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6164304d8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NTROL" sheetId="1" r:id="R2774eee35551402a"/>
    <x:sheet xmlns:r="http://schemas.openxmlformats.org/officeDocument/2006/relationships" name="02_PARAMETROS" sheetId="2" r:id="Rb99579fcd7f24100"/>
    <x:sheet xmlns:r="http://schemas.openxmlformats.org/officeDocument/2006/relationships" name="03_SUS_RESUMEN" sheetId="3" r:id="R720ab77927a1437e"/>
    <x:sheet xmlns:r="http://schemas.openxmlformats.org/officeDocument/2006/relationships" name="04_TAREAS" sheetId="4" r:id="R6d91aa2f1a7a44fc"/>
    <x:sheet xmlns:r="http://schemas.openxmlformats.org/officeDocument/2006/relationships" name="05_FALLOS" sheetId="5" r:id="R7998a0368dea462f"/>
    <x:sheet xmlns:r="http://schemas.openxmlformats.org/officeDocument/2006/relationships" name="06_DISPONIBILIDAD" sheetId="6" r:id="R916a2c0611b44848"/>
    <x:sheet xmlns:r="http://schemas.openxmlformats.org/officeDocument/2006/relationships" name="07_RENDIMIENTO" sheetId="7" r:id="R59ee0656af1c4c50"/>
    <x:sheet xmlns:r="http://schemas.openxmlformats.org/officeDocument/2006/relationships" name="08_CONFORMIDAD" sheetId="8" r:id="Rab71bc790a7e40e8"/>
    <x:sheet xmlns:r="http://schemas.openxmlformats.org/officeDocument/2006/relationships" name="09_DUPLICADOS" sheetId="9" r:id="Rc9d6ea95894442cb"/>
    <x:sheet xmlns:r="http://schemas.openxmlformats.org/officeDocument/2006/relationships" name="10_CONTRASTES" sheetId="10" r:id="R05fc22805c414b6a"/>
    <x:sheet xmlns:r="http://schemas.openxmlformats.org/officeDocument/2006/relationships" name="11_CONTROL_CALIDAD" sheetId="11" r:id="R75b7523cd4e54cd1"/>
    <x:sheet xmlns:r="http://schemas.openxmlformats.org/officeDocument/2006/relationships" name="12_PENDIENTES_PARA_COMPLETAR" sheetId="12" r:id="R8e093b7ac3b9465e"/>
    <x:sheet xmlns:r="http://schemas.openxmlformats.org/officeDocument/2006/relationships" name="13_SUS_CAPTURA" sheetId="13" r:id="Re957bb75d287472b"/>
    <x:sheet xmlns:r="http://schemas.openxmlformats.org/officeDocument/2006/relationships" name="14_TIEMPOS_CRUDOS" sheetId="14" r:id="R756ea422164b4ded"/>
    <x:sheet xmlns:r="http://schemas.openxmlformats.org/officeDocument/2006/relationships" name="15_INTENTOS_TAREAS" sheetId="15" r:id="R1e558a1f98a644fb"/>
    <x:sheet xmlns:r="http://schemas.openxmlformats.org/officeDocument/2006/relationships" name="16_OPERACIONES_CRUDAS" sheetId="16" r:id="R1f530f38051245ea"/>
    <x:sheet xmlns:r="http://schemas.openxmlformats.org/officeDocument/2006/relationships" name="17_FORMULARIOS_REGISTRO" sheetId="17" r:id="Rcbeda5b4b6bf437f"/>
    <x:sheet xmlns:r="http://schemas.openxmlformats.org/officeDocument/2006/relationships" name="18_DUPLICADOS_REGISTRO" sheetId="18" r:id="R030fd1feee654c83"/>
    <x:sheet xmlns:r="http://schemas.openxmlformats.org/officeDocument/2006/relationships" name="19_FUENTES" sheetId="19" r:id="R22da8b8a4957452f"/>
    <x:sheet xmlns:r="http://schemas.openxmlformats.org/officeDocument/2006/relationships" name="20_GUIA_USO" sheetId="20" r:id="Rd03cfb333f62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.00"/>
    <x:numFmt numFmtId="203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24364B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D4E"/>
      </x:patternFill>
    </x:fill>
    <x:fill>
      <x:patternFill patternType="solid">
        <x:fgColor rgb="FFEAF0F6"/>
      </x:patternFill>
    </x:fill>
    <x:fill>
      <x:patternFill patternType="solid">
        <x:fgColor rgb="FF23466B"/>
      </x:patternFill>
    </x:fill>
    <x:fill>
      <x:patternFill patternType="solid">
        <x:fgColor rgb="FFFFF6DE"/>
      </x:patternFill>
    </x:fill>
    <x:fill>
      <x:patternFill patternType="solid">
        <x:fgColor rgb="FFEFF8F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  <x:dxfs count="7"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e236345cf47eb" /><Relationship Type="http://schemas.openxmlformats.org/officeDocument/2006/relationships/theme" Target="/xl/theme/theme1.xml" Id="Re635cc965c3844c0" /><Relationship Type="http://schemas.openxmlformats.org/officeDocument/2006/relationships/sharedStrings" Target="/xl/sharedStrings.xml" Id="Ra92bd544eb664fdc" /><Relationship Type="http://schemas.openxmlformats.org/officeDocument/2006/relationships/worksheet" Target="/xl/worksheets/sheet1.xml" Id="R2774eee35551402a" /><Relationship Type="http://schemas.openxmlformats.org/officeDocument/2006/relationships/worksheet" Target="/xl/worksheets/sheet2.xml" Id="Rb99579fcd7f24100" /><Relationship Type="http://schemas.openxmlformats.org/officeDocument/2006/relationships/worksheet" Target="/xl/worksheets/sheet3.xml" Id="R720ab77927a1437e" /><Relationship Type="http://schemas.openxmlformats.org/officeDocument/2006/relationships/worksheet" Target="/xl/worksheets/sheet4.xml" Id="R6d91aa2f1a7a44fc" /><Relationship Type="http://schemas.openxmlformats.org/officeDocument/2006/relationships/worksheet" Target="/xl/worksheets/sheet5.xml" Id="R7998a0368dea462f" /><Relationship Type="http://schemas.openxmlformats.org/officeDocument/2006/relationships/worksheet" Target="/xl/worksheets/sheet6.xml" Id="R916a2c0611b44848" /><Relationship Type="http://schemas.openxmlformats.org/officeDocument/2006/relationships/worksheet" Target="/xl/worksheets/sheet7.xml" Id="R59ee0656af1c4c50" /><Relationship Type="http://schemas.openxmlformats.org/officeDocument/2006/relationships/worksheet" Target="/xl/worksheets/sheet8.xml" Id="Rab71bc790a7e40e8" /><Relationship Type="http://schemas.openxmlformats.org/officeDocument/2006/relationships/worksheet" Target="/xl/worksheets/sheet9.xml" Id="Rc9d6ea95894442cb" /><Relationship Type="http://schemas.openxmlformats.org/officeDocument/2006/relationships/worksheet" Target="/xl/worksheets/sheet10.xml" Id="R05fc22805c414b6a" /><Relationship Type="http://schemas.openxmlformats.org/officeDocument/2006/relationships/worksheet" Target="/xl/worksheets/sheet11.xml" Id="R75b7523cd4e54cd1" /><Relationship Type="http://schemas.openxmlformats.org/officeDocument/2006/relationships/worksheet" Target="/xl/worksheets/sheet12.xml" Id="R8e093b7ac3b9465e" /><Relationship Type="http://schemas.openxmlformats.org/officeDocument/2006/relationships/worksheet" Target="/xl/worksheets/sheet13.xml" Id="Re957bb75d287472b" /><Relationship Type="http://schemas.openxmlformats.org/officeDocument/2006/relationships/worksheet" Target="/xl/worksheets/sheet14.xml" Id="R756ea422164b4ded" /><Relationship Type="http://schemas.openxmlformats.org/officeDocument/2006/relationships/worksheet" Target="/xl/worksheets/sheet15.xml" Id="R1e558a1f98a644fb" /><Relationship Type="http://schemas.openxmlformats.org/officeDocument/2006/relationships/worksheet" Target="/xl/worksheets/sheet16.xml" Id="R1f530f38051245ea" /><Relationship Type="http://schemas.openxmlformats.org/officeDocument/2006/relationships/worksheet" Target="/xl/worksheets/sheet17.xml" Id="Rcbeda5b4b6bf437f" /><Relationship Type="http://schemas.openxmlformats.org/officeDocument/2006/relationships/worksheet" Target="/xl/worksheets/sheet18.xml" Id="R030fd1feee654c83" /><Relationship Type="http://schemas.openxmlformats.org/officeDocument/2006/relationships/worksheet" Target="/xl/worksheets/sheet19.xml" Id="R22da8b8a4957452f" /><Relationship Type="http://schemas.openxmlformats.org/officeDocument/2006/relationships/worksheet" Target="/xl/worksheets/sheet20.xml" Id="Rd03cfb333f624330" /></Relationships>
</file>

<file path=xl/tables/table1.xml><?xml version="1.0" encoding="utf-8"?>
<x:table xmlns:x="http://schemas.openxmlformats.org/spreadsheetml/2006/main" id="2" name="IcaroSUSResumen" displayName="IcaroSUSResumen" ref="A4:D204" headerRowCount="1" totalsRowCount="0" totalsRowShown="0">
  <x:tableColumns count="4">
    <x:tableColumn id="1" name="Código participante"/>
    <x:tableColumn id="2" name="Estado cuestionario"/>
    <x:tableColumn id="3" name="Puntuación SUS"/>
    <x:tableColumn id="4" name="Evidencia / cuestiona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CAROTareas" displayName="ICAROTareas" ref="A4:L10" headerRowCount="1" totalsRowCount="0" totalsRowShown="0">
  <x:tableColumns count="12">
    <x:tableColumn id="1" name="Tarea"/>
    <x:tableColumn id="2" name="Escenario"/>
    <x:tableColumn id="3" name="Intentos registrados"/>
    <x:tableColumn id="4" name="Intentos válidos"/>
    <x:tableColumn id="5" name="Correctos"/>
    <x:tableColumn id="6" name="Incorrectos"/>
    <x:tableColumn id="7" name="Excluidos"/>
    <x:tableColumn id="8" name="Tasa de éxito (%)"/>
    <x:tableColumn id="9" name="Evidencia"/>
    <x:tableColumn id="10" name="Estado análisis"/>
    <x:tableColumn id="11" name="Criterio documentado"/>
    <x:tableColumn id="12" name="Dictam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caroFallos" displayName="IcaroFallos" ref="A4:L10" headerRowCount="1" totalsRowCount="0" totalsRowShown="0">
  <x:tableColumns count="12">
    <x:tableColumn id="1" name="Escenario"/>
    <x:tableColumn id="2" name="Operaciones registradas"/>
    <x:tableColumn id="3" name="Operaciones válidas"/>
    <x:tableColumn id="4" name="Fallos confirmados"/>
    <x:tableColumn id="5" name="Respuestas esperadas"/>
    <x:tableColumn id="6" name="Excluidas"/>
    <x:tableColumn id="7" name="Observaciones incompletas"/>
    <x:tableColumn id="8" name="Fallos por 1.000"/>
    <x:tableColumn id="9" name="Evidencia"/>
    <x:tableColumn id="10" name="Estado"/>
    <x:tableColumn id="11" name="Umbral"/>
    <x:tableColumn id="12" name="Dictam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caroDisponibilidad" displayName="IcaroDisponibilidad" ref="A4:L104" headerRowCount="1" totalsRowCount="0" totalsRowShown="0">
  <x:tableColumns count="12">
    <x:tableColumn id="1" name="Servicio evaluado"/>
    <x:tableColumn id="2" name="Ventana"/>
    <x:tableColumn id="3" name="Fecha inicio"/>
    <x:tableColumn id="4" name="Fecha fin"/>
    <x:tableColumn id="5" name="Minutos programados"/>
    <x:tableColumn id="6" name="Minutos operativos"/>
    <x:tableColumn id="7" name="Minutos no disponibles"/>
    <x:tableColumn id="8" name="Disponibilidad (%)"/>
    <x:tableColumn id="9" name="Umbral aplicable (%)"/>
    <x:tableColumn id="10" name="Evidencia"/>
    <x:tableColumn id="11" name="Estado"/>
    <x:tableColumn id="12" name="Dictam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caroRendimiento" displayName="IcaroRendimiento" ref="A4:N64" headerRowCount="1" totalsRowCount="0" totalsRowShown="0">
  <x:tableColumns count="14">
    <x:tableColumn id="1" name="Escenario"/>
    <x:tableColumn id="2" name="ID ejecución"/>
    <x:tableColumn id="3" name="Solicitudes registradas"/>
    <x:tableColumn id="4" name="Observaciones válidas"/>
    <x:tableColumn id="5" name="P95 (ms)"/>
    <x:tableColumn id="6" name="P99 (ms)"/>
    <x:tableColumn id="7" name="Unidad"/>
    <x:tableColumn id="8" name="Condiciones de carga"/>
    <x:tableColumn id="9" name="Fuente observaciones"/>
    <x:tableColumn id="10" name="Advertencia metodológica"/>
    <x:tableColumn id="11" name="Evidencia"/>
    <x:tableColumn id="12" name="Estado interpretación"/>
    <x:tableColumn id="13" name="Dictamen P95"/>
    <x:tableColumn id="14" name="Dictamen P99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caroConformidad" displayName="IcaroConformidad" ref="A4:N14" headerRowCount="1" totalsRowCount="0" totalsRowShown="0">
  <x:tableColumns count="14">
    <x:tableColumn id="1" name="Formulario"/>
    <x:tableColumn id="2" name="Módulo"/>
    <x:tableColumn id="3" name="Nombre"/>
    <x:tableColumn id="4" name="Elegible"/>
    <x:tableColumn id="5" name="Estado de evaluación"/>
    <x:tableColumn id="6" name="Veredicto"/>
    <x:tableColumn id="7" name="Elegibles"/>
    <x:tableColumn id="8" name="Evaluados"/>
    <x:tableColumn id="9" name="Conformes"/>
    <x:tableColumn id="10" name="No conformes"/>
    <x:tableColumn id="11" name="Conformidad (%)"/>
    <x:tableColumn id="12" name="Cobertura (%)"/>
    <x:tableColumn id="13" name="Evidencia"/>
    <x:tableColumn id="14" name="Regla aprobad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caroDuplicados" displayName="IcaroDuplicados" ref="A4:K23" headerRowCount="1" totalsRowCount="0" totalsRowShown="0">
  <x:tableColumns count="11">
    <x:tableColumn id="1" name="Entidad"/>
    <x:tableColumn id="2" name="Modelo Prisma"/>
    <x:tableColumn id="3" name="Tabla"/>
    <x:tableColumn id="4" name="Clave de negocio aprobada"/>
    <x:tableColumn id="5" name="Regla duplicidad"/>
    <x:tableColumn id="6" name="Registros examinados"/>
    <x:tableColumn id="7" name="Duplicados confirmados"/>
    <x:tableColumn id="8" name="Consulta SQL / método"/>
    <x:tableColumn id="9" name="Evidencia"/>
    <x:tableColumn id="10" name="Estado"/>
    <x:tableColumn id="11" name="Dictame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caroContrastes" displayName="IcaroContrastes" ref="A4:P64" headerRowCount="1" totalsRowCount="0" totalsRowShown="0">
  <x:tableColumns count="16">
    <x:tableColumn id="1" name="Hipótesis"/>
    <x:tableColumn id="2" name="Variable"/>
    <x:tableColumn id="3" name="Indicador"/>
    <x:tableColumn id="4" name="Diseño"/>
    <x:tableColumn id="5" name="Muestra n"/>
    <x:tableColumn id="6" name="Supuestos evaluados"/>
    <x:tableColumn id="7" name="Normalidad si aplica"/>
    <x:tableColumn id="8" name="Prueba estadística"/>
    <x:tableColumn id="9" name="Estadístico"/>
    <x:tableColumn id="10" name="Valor p"/>
    <x:tableColumn id="11" name="Tamaño efecto"/>
    <x:tableColumn id="12" name="IC"/>
    <x:tableColumn id="13" name="Interpretación"/>
    <x:tableColumn id="14" name="Herramienta"/>
    <x:tableColumn id="15" name="Evidencia"/>
    <x:tableColumn id="16" name="Est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caroPendientes" displayName="IcaroPendientes" ref="A4:J104" headerRowCount="1" totalsRowCount="0" totalsRowShown="0">
  <x:tableColumns count="10">
    <x:tableColumn id="1" name="ID"/>
    <x:tableColumn id="2" name="Hoja"/>
    <x:tableColumn id="3" name="Campo / referencia"/>
    <x:tableColumn id="4" name="Información pendiente"/>
    <x:tableColumn id="5" name="Cómo obtenerla"/>
    <x:tableColumn id="6" name="Documento relacionado"/>
    <x:tableColumn id="7" name="Responsable"/>
    <x:tableColumn id="8" name="Estado"/>
    <x:tableColumn id="9" name="Fecha resolución"/>
    <x:tableColumn id="10" name="Evide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caroCapturaSUS" displayName="IcaroCapturaSUS" ref="A4:S204" headerRowCount="1" totalsRowCount="0" totalsRowShown="0">
  <x:tableColumns count="19">
    <x:tableColumn id="1" name="Código anónimo"/>
    <x:tableColumn id="2" name="Rol"/>
    <x:tableColumn id="3" name="Elegible confirmado"/>
    <x:tableColumn id="4" name="Sesión realizada"/>
    <x:tableColumn id="5" name="Consentimiento"/>
    <x:tableColumn id="6" name="Q1"/>
    <x:tableColumn id="7" name="Q2"/>
    <x:tableColumn id="8" name="Q3"/>
    <x:tableColumn id="9" name="Q4"/>
    <x:tableColumn id="10" name="Q5"/>
    <x:tableColumn id="11" name="Q6"/>
    <x:tableColumn id="12" name="Q7"/>
    <x:tableColumn id="13" name="Q8"/>
    <x:tableColumn id="14" name="Q9"/>
    <x:tableColumn id="15" name="Q10"/>
    <x:tableColumn id="16" name="Estado validez"/>
    <x:tableColumn id="17" name="SUS (0-100)"/>
    <x:tableColumn id="18" name="Evidencia"/>
    <x:tableColumn id="19" name="Observacion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caroTiempos" displayName="IcaroTiempos" ref="A4:H304" headerRowCount="1" totalsRowCount="0" totalsRowShown="0">
  <x:tableColumns count="8">
    <x:tableColumn id="1" name="ID observación"/>
    <x:tableColumn id="2" name="Escenario ET"/>
    <x:tableColumn id="3" name="ID ejecución"/>
    <x:tableColumn id="4" name="Duración (ms)"/>
    <x:tableColumn id="5" name="Elegible"/>
    <x:tableColumn id="6" name="Fuente/log"/>
    <x:tableColumn id="7" name="Evidencia"/>
    <x:tableColumn id="8" name="Estado contr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caroIntentos" displayName="IcaroIntentos" ref="A4:M204" headerRowCount="1" totalsRowCount="0" totalsRowShown="0">
  <x:tableColumns count="13">
    <x:tableColumn id="1" name="ID intento"/>
    <x:tableColumn id="2" name="Participante"/>
    <x:tableColumn id="3" name="Tarea T-US"/>
    <x:tableColumn id="4" name="Autorizado"/>
    <x:tableColumn id="5" name="Realizado"/>
    <x:tableColumn id="6" name="Resultado"/>
    <x:tableColumn id="7" name="Asistencia"/>
    <x:tableColumn id="8" name="Duración (s)"/>
    <x:tableColumn id="9" name="Evidencia"/>
    <x:tableColumn id="10" name="Sesión"/>
    <x:tableColumn id="11" name="Motivo exclusión"/>
    <x:tableColumn id="12" name="Observación"/>
    <x:tableColumn id="13" name="Estado contro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caroOperaciones" displayName="IcaroOperaciones" ref="A4:L304" headerRowCount="1" totalsRowCount="0" totalsRowShown="0">
  <x:tableColumns count="12">
    <x:tableColumn id="1" name="ID operación"/>
    <x:tableColumn id="2" name="Escenario ET"/>
    <x:tableColumn id="3" name="Operación / endpoint"/>
    <x:tableColumn id="4" name="Respuesta esperada"/>
    <x:tableColumn id="5" name="Respuesta observada"/>
    <x:tableColumn id="6" name="Clasificación"/>
    <x:tableColumn id="7" name="Elegible"/>
    <x:tableColumn id="8" name="Código HTTP"/>
    <x:tableColumn id="9" name="Evidencia"/>
    <x:tableColumn id="10" name="Fuente sesión"/>
    <x:tableColumn id="11" name="Motivo exclusión"/>
    <x:tableColumn id="12" name="Estado contr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caroFormularios" displayName="IcaroFormularios" ref="A4:J154" headerRowCount="1" totalsRowCount="0" totalsRowShown="0">
  <x:tableColumns count="10">
    <x:tableColumn id="1" name="ID evaluación"/>
    <x:tableColumn id="2" name="Formulario FOR"/>
    <x:tableColumn id="3" name="Regla / criterio"/>
    <x:tableColumn id="4" name="Elegible"/>
    <x:tableColumn id="5" name="Evaluación ejecutada"/>
    <x:tableColumn id="6" name="Resultado"/>
    <x:tableColumn id="7" name="Rúbrica completa"/>
    <x:tableColumn id="8" name="Fuente"/>
    <x:tableColumn id="9" name="Evidencia"/>
    <x:tableColumn id="10" name="Estado contro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caroCapturaDuplicados" displayName="IcaroCapturaDuplicados" ref="A4:J124" headerRowCount="1" totalsRowCount="0" totalsRowShown="0">
  <x:tableColumns count="10">
    <x:tableColumn id="1" name="ID conjunto"/>
    <x:tableColumn id="2" name="Entidad ENT"/>
    <x:tableColumn id="3" name="Clave aprobada"/>
    <x:tableColumn id="4" name="Regla aprobada"/>
    <x:tableColumn id="5" name="Registros examinados"/>
    <x:tableColumn id="6" name="Duplicados confirmados"/>
    <x:tableColumn id="7" name="SQL / método"/>
    <x:tableColumn id="8" name="Conjunto/version"/>
    <x:tableColumn id="9" name="Evidencia"/>
    <x:tableColumn id="10" name="Estado contr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caroFuentes" displayName="IcaroFuentes" ref="A4:G27" headerRowCount="1" totalsRowCount="0" totalsRowShown="0">
  <x:tableColumns count="7">
    <x:tableColumn id="1" name="Código"/>
    <x:tableColumn id="2" name="Tipo"/>
    <x:tableColumn id="3" name="Archivo / ruta"/>
    <x:tableColumn id="4" name="Sección / uso"/>
    <x:tableColumn id="5" name="Versión / fecha"/>
    <x:tableColumn id="6" name="URL o ubicación"/>
    <x:tableColumn id="7" name="Limitación / observacion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caroGuia" displayName="IcaroGuia" ref="A4:D24" headerRowCount="1" totalsRowCount="0" totalsRowShown="0">
  <x:tableColumns count="4">
    <x:tableColumn id="1" name="Paso"/>
    <x:tableColumn id="2" name="Hoja(s)"/>
    <x:tableColumn id="3" name="Acción del usuario"/>
    <x:tableColumn id="4" name="Comprobación / precau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88bf58d128f48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331fbb0353b45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6590f82f7b148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0d13c1dfbe8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00bb4fc995341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5051f4f02b41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a03248b65974c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4acf21dff2641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98a5ac7614c644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6faf3a5a39411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e1db7608e42417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30431728c7e40b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966b2777f3a046d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85e65e3705c14b7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ba6ca63e82d84c7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82c8f0216533451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27b6c942378c4e1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4" hidden="0" customWidth="1"/>
    <x:col min="3" max="3" width="67" hidden="0" customWidth="1"/>
    <x:col min="4" max="4" width="49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ICARO  |  MATRIZ DE PROCESAMIENTO Y ANÁLISIS DE DATOS</x:v>
      </x:c>
      <x:c r="B1" s="3"/>
      <x:c r="C1" s="3"/>
      <x:c r="D1" s="3"/>
      <x:c r="E1" s="3"/>
      <x:c r="F1" s="3"/>
    </x:row>
    <x:row r="4" ht="28" customHeight="1">
      <x:c r="A4" s="18" t="str">
        <x:v>Campo</x:v>
      </x:c>
      <x:c r="B4" s="18" t="str">
        <x:v>Valor / descripción</x:v>
      </x:c>
      <x:c r="C4" s="18" t="str">
        <x:v>Fuente de verificación</x:v>
      </x:c>
      <x:c r="D4" s="18" t="str">
        <x:v>Estado o salvedad</x:v>
      </x:c>
    </x:row>
    <x:row r="5">
      <x:c r="A5" t="str">
        <x:v>Proyecto</x:v>
      </x:c>
      <x:c r="B5" t="str">
        <x:v>Desarrollo de un sistema web y móvil para la gestión integral en la empresa ICARO CONSTRUCTORES BMGM S.A.S.</x:v>
      </x:c>
      <x:c r="C5" t="str">
        <x:v>SRS revisión 1; Arquitectura v2</x:v>
      </x:c>
      <x:c r="D5" t="str">
        <x:v>Verificado en fuentes</x:v>
      </x:c>
    </x:row>
    <x:row r="6">
      <x:c r="A6" t="str">
        <x:v>Documento</x:v>
      </x:c>
      <x:c r="B6" t="str">
        <x:v>D-37-02_Matriz_Procesamiento_Analisis_ICARO.xlsx</x:v>
      </x:c>
      <x:c r="C6" t="str">
        <x:v>Solicitud de elaboración</x:v>
      </x:c>
      <x:c r="D6" t="str">
        <x:v>Instrumento de procesamiento (no resultados)</x:v>
      </x:c>
    </x:row>
    <x:row r="7">
      <x:c r="A7" t="str">
        <x:v>Objetivo</x:v>
      </x:c>
      <x:c r="B7" t="str">
        <x:v>Registrar, validar, procesar y contrastar posteriormente mediciones reales de calidad del producto.</x:v>
      </x:c>
      <x:c r="C7" t="str">
        <x:v>D-34 y Plan de Verificación</x:v>
      </x:c>
      <x:c r="D7" t="str">
        <x:v>Preparado; sin campañas aplicadas</x:v>
      </x:c>
    </x:row>
    <x:row r="8">
      <x:c r="A8" t="str">
        <x:v>Versión del instrumento</x:v>
      </x:c>
      <x:c r="B8" t="str">
        <x:v>1.0</x:v>
      </x:c>
      <x:c r="C8" t="str">
        <x:v>Elaboración inicial</x:v>
      </x:c>
      <x:c r="D8" t="str">
        <x:v>Revisión académica pendiente</x:v>
      </x:c>
    </x:row>
    <x:row r="9">
      <x:c r="A9" t="str">
        <x:v>Fecha de elaboración</x:v>
      </x:c>
      <x:c r="B9" t="str">
        <x:v>2026-10-15</x:v>
      </x:c>
      <x:c r="C9" t="str">
        <x:v>Fecha de construcción del instrumento</x:v>
      </x:c>
      <x:c r="D9" t="str">
        <x:v>No es fecha de ejecución de pruebas</x:v>
      </x:c>
    </x:row>
    <x:row r="10">
      <x:c r="A10" t="str">
        <x:v>Responsables del trabajo</x:v>
      </x:c>
      <x:c r="B10" t="str">
        <x:v>Isaac Sebastián Castro Muesmueran; Iván Santiago Pulgar León</x:v>
      </x:c>
      <x:c r="C10" t="str">
        <x:v>SRS y Arquitectura v2</x:v>
      </x:c>
      <x:c r="D10" t="str">
        <x:v>Responsabilidad de este instrumento por confirmar</x:v>
      </x:c>
    </x:row>
    <x:row r="11">
      <x:c r="A11" t="str">
        <x:v>Director del trabajo</x:v>
      </x:c>
      <x:c r="B11" t="str">
        <x:v>Ing. Jaime David Camacho Castillo</x:v>
      </x:c>
      <x:c r="C11" t="str">
        <x:v>SRS y Arquitectura v2</x:v>
      </x:c>
      <x:c r="D11" t="str">
        <x:v>Aprobación de instrumento pendiente</x:v>
      </x:c>
    </x:row>
    <x:row r="12">
      <x:c r="A12" t="str">
        <x:v>Estado documental</x:v>
      </x:c>
      <x:c r="B12" t="str">
        <x:v>BORRADOR OPERATIVO — PENDIENTE DE VALIDACIÓN</x:v>
      </x:c>
      <x:c r="C12" t="str">
        <x:v>Sin acta de aprobación aportada</x:v>
      </x:c>
      <x:c r="D12" t="str">
        <x:v>No aplicar dictámenes sin respaldo</x:v>
      </x:c>
    </x:row>
    <x:row r="13">
      <x:c r="A13" t="str">
        <x:v>Repositorio GitHub</x:v>
      </x:c>
      <x:c r="B13" t="str">
        <x:v>https://github.com/SebastianCM020/Sistema_Gestion_Integral_Constructora</x:v>
      </x:c>
      <x:c r="C13" t="str">
        <x:v>Conector GitHub, lectura de repositorio</x:v>
      </x:c>
      <x:c r="D13" t="str">
        <x:v>Sin modificaciones</x:v>
      </x:c>
    </x:row>
    <x:row r="14">
      <x:c r="A14" t="str">
        <x:v>Rama consultada</x:v>
      </x:c>
      <x:c r="B14" t="str">
        <x:v>main</x:v>
      </x:c>
      <x:c r="C14" t="str">
        <x:v>GitHub default_branch / consulta actual</x:v>
      </x:c>
      <x:c r="D14" t="str">
        <x:v>Confirmada</x:v>
      </x:c>
    </x:row>
    <x:row r="15">
      <x:c r="A15" t="str">
        <x:v>Commit main consultado</x:v>
      </x:c>
      <x:c r="B15" t="str">
        <x:v>b74af8e9f656b59bf68924daa02f5e22ca2c49ff</x:v>
      </x:c>
      <x:c r="C15" t="str">
        <x:v>GitHub REST commits/main, 2026-10-15 02:30:08Z</x:v>
      </x:c>
      <x:c r="D15" t="str">
        <x:v>Último commit comprobado al elaborar</x:v>
      </x:c>
    </x:row>
    <x:row r="16">
      <x:c r="A16" t="str">
        <x:v>D-37-01 Plan análisis estadístico</x:v>
      </x:c>
      <x:c r="B16" t="str"/>
      <x:c r="C16" t="str">
        <x:v>No localizado entre archivos adjuntos ni en árbol main</x:v>
      </x:c>
      <x:c r="D16" t="str">
        <x:v>LIMITACIÓN: referencia pendiente</x:v>
      </x:c>
    </x:row>
    <x:row r="17">
      <x:c r="A17" t="str">
        <x:v>Matriz 02 operacionalización</x:v>
      </x:c>
      <x:c r="B17" s="20" t="str">
        <x:v>02_Matriz_Operacionalizacion_Variables_ICARO.xlsx</x:v>
      </x:c>
      <x:c r="C17" t="str">
        <x:v>Manual de llenado; ruta en Documentos Base/main</x:v>
      </x:c>
      <x:c r="D17" t="str">
        <x:v>Original no adjunto en /mnt/data; pendiente contraste binario</x:v>
      </x:c>
    </x:row>
    <x:row r="18">
      <x:c r="A18" t="str">
        <x:v>Plan 03 verificación</x:v>
      </x:c>
      <x:c r="B18" t="str">
        <x:v>03_Plan_Verificacion_Criterios_Aceptacion_ICARO.xlsx</x:v>
      </x:c>
      <x:c r="C18" t="str">
        <x:v>Adjunto: PLAN_CRITERIOS y DISCREPANCIAS</x:v>
      </x:c>
      <x:c r="D18" t="str">
        <x:v>Criterios candidatos contrastados</x:v>
      </x:c>
    </x:row>
    <x:row r="19">
      <x:c r="A19" t="str">
        <x:v>Instrumentos D-34</x:v>
      </x:c>
      <x:c r="B19" t="str">
        <x:v>D-34-01 / 02 / 03 / 04, versiones CORREGIDAS</x:v>
      </x:c>
      <x:c r="C19" t="str">
        <x:v>Archivos Excel adjuntos</x:v>
      </x:c>
      <x:c r="D19" t="str">
        <x:v>Códigos preliminares, no pruebas ejecutadas</x:v>
      </x:c>
    </x:row>
    <x:row r="20">
      <x:c r="A20" t="str">
        <x:v>Instrumentos D-36</x:v>
      </x:c>
      <x:c r="B20" t="str">
        <x:v>D-36-01 Ficha ambiente; D-36-02 Matriz normas</x:v>
      </x:c>
      <x:c r="C20" t="str">
        <x:v>Adjuntos Excel</x:v>
      </x:c>
      <x:c r="D20" t="str">
        <x:v>Entorno medido y aplicación formal pendientes</x:v>
      </x:c>
    </x:row>
    <x:row r="21">
      <x:c r="A21" t="str">
        <x:v>SRS / arquitectura / pruebas</x:v>
      </x:c>
      <x:c r="B21" t="str">
        <x:v>SRS Rev. 1; Arquitectura v2; informe técnico de pruebas</x:v>
      </x:c>
      <x:c r="C21" t="str">
        <x:v>Documentos del proyecto</x:v>
      </x:c>
      <x:c r="D21" t="str">
        <x:v>Diferencias de versión y evidencia anotadas</x:v>
      </x:c>
    </x:row>
    <x:row r="22">
      <x:c r="A22" t="str">
        <x:v>Seguridad / confidencialidad</x:v>
      </x:c>
      <x:c r="B22" t="str">
        <x:v>Capturar únicamente códigos anónimos y referencias a evidencias custodiadas.</x:v>
      </x:c>
      <x:c r="C22" t="str">
        <x:v>D-34-02, lineamientos ESPOCH</x:v>
      </x:c>
      <x:c r="D22" t="str">
        <x:v>No incluir nombres personales de participantes</x:v>
      </x:c>
    </x:row>
    <x:row r="23">
      <x:c r="A23" t="str">
        <x:v>Precaución P95</x:v>
      </x:c>
      <x:c r="B23" t="str">
        <x:v>Anteproyecto ≤2.000 ms; k6 &lt;2.000 ms.</x:v>
      </x:c>
      <x:c r="C23" t="str">
        <x:v>PLAN_CRITERIOS PV-05 / backend/tests/load_test.js</x:v>
      </x:c>
      <x:c r="D23" t="str">
        <x:v>EN DISCREPANCIA; dictamen bloqueado</x:v>
      </x:c>
    </x:row>
    <x:row r="24">
      <x:c r="A24" t="str">
        <x:v>Precaución mensual</x:v>
      </x:c>
      <x:c r="B24" t="str">
        <x:v>PV-03 registra ≥99,5 %; otras fuentes mencionan ≥99 % mensual.</x:v>
      </x:c>
      <x:c r="C24" t="str">
        <x:v>D-34-03 y plan de verificación</x:v>
      </x:c>
      <x:c r="D24" t="str">
        <x:v>EN DISCREPANCIA; dictamen bloqueado</x:v>
      </x:c>
    </x:row>
    <x:row r="25">
      <x:c r="A25" t="str">
        <x:v>Precaución P99</x:v>
      </x:c>
      <x:c r="B25" t="str">
        <x:v>PV-06 registra &lt;5.000 ms, pero falta homologación/instrumentación.</x:v>
      </x:c>
      <x:c r="C25" t="str">
        <x:v>03 PLAN_CRITERIOS / D-36-01</x:v>
      </x:c>
      <x:c r="D25" t="str">
        <x:v>POR CONFIRMAR; dictamen bloqueado</x:v>
      </x:c>
    </x:row>
    <x:row r="26">
      <x:c r="A26" t="str">
        <x:v>Precaución SUS</x:v>
      </x:c>
      <x:c r="B26" t="str">
        <x:v>Umbral ≥75 puntos documentado; no equivale a porcentaje de tareas.</x:v>
      </x:c>
      <x:c r="C26" t="str">
        <x:v>PV-04 / Sprint 11</x:v>
      </x:c>
      <x:c r="D26" t="str">
        <x:v>APROBADO en antecedente, datos faltantes</x:v>
      </x:c>
    </x:row>
    <x:row r="27">
      <x:c r="A27" t="str">
        <x:v>Precaución fallos</x:v>
      </x:c>
      <x:c r="B27" t="str">
        <x:v>HTTP 401, 403 o 422 previstos pueden ser correctos.</x:v>
      </x:c>
      <x:c r="C27" t="str">
        <x:v>Plan PV-01 / pruebas de seguridad</x:v>
      </x:c>
      <x:c r="D27" t="str">
        <x:v>Clasificar caso a caso</x:v>
      </x:c>
    </x:row>
    <x:row r="28">
      <x:c r="A28" t="str">
        <x:v>Límite de interpretación</x:v>
      </x:c>
      <x:c r="B28" t="str">
        <x:v>Las estadísticas se calculan solo desde observaciones con evidencia y registros válidos.</x:v>
      </x:c>
      <x:c r="C28" t="str">
        <x:v>D-34, normas y plan</x:v>
      </x:c>
      <x:c r="D28" t="str">
        <x:v>No inferir ausencia de fallos por celdas vacías</x:v>
      </x:c>
    </x:row>
    <x:row r="29">
      <x:c r="A29" t="str">
        <x:v>Compatibilidad</x:v>
      </x:c>
      <x:c r="B29" t="str">
        <x:v>Se utiliza FILTER() para percentiles agrupados y PERCENTILE.INC.</x:v>
      </x:c>
      <x:c r="C29" t="str">
        <x:v>Diseño de fórmula D-37-02</x:v>
      </x:c>
      <x:c r="D29" t="str">
        <x:v>Requiere Microsoft 365 / Excel 2021+ con matrices dinámicas</x:v>
      </x:c>
    </x:row>
    <x:row r="30">
      <x:c r="A30" t="str">
        <x:v>Uso inicial</x:v>
      </x:c>
      <x:c r="B30" t="str">
        <x:v>1) Revisar 02_PARAMETROS y 12_PENDIENTES. 2) Completar hojas 13-18 con evidencia.</x:v>
      </x:c>
      <x:c r="C30" t="str">
        <x:v>20_GUIA_USO</x:v>
      </x:c>
      <x:c r="D30" t="str">
        <x:v>No modificar campos calculados</x:v>
      </x:c>
    </x:row>
    <x:row r="31">
      <x:c r="A31" t="str">
        <x:v>Uso posterior</x:v>
      </x:c>
      <x:c r="B31" t="str">
        <x:v>3) Completar 06_DISPONIBILIDAD. 4) Revisar hojas 03-11 y documentar decisiones.</x:v>
      </x:c>
      <x:c r="C31" t="str">
        <x:v>20_GUIA_USO</x:v>
      </x:c>
      <x:c r="D31" t="str">
        <x:v>Aprobar criterios antes del dictamen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7" hidden="0" customWidth="1"/>
    <x:col min="4" max="4" width="25" hidden="0" customWidth="1"/>
    <x:col min="5" max="5" width="37" hidden="0" customWidth="1"/>
    <x:col min="6" max="6" width="75" hidden="0" customWidth="1"/>
    <x:col min="7" max="7" width="20" hidden="0" customWidth="1"/>
    <x:col min="8" max="8" width="15" hidden="0" customWidth="1"/>
    <x:col min="9" max="9" width="24" hidden="0" customWidth="1"/>
    <x:col min="10" max="10" width="38" hidden="0" customWidth="1"/>
    <x:col min="11" max="11" width="76" hidden="0" customWidth="1"/>
  </x:cols>
  <x:sheetData>
    <x:row r="1" ht="35" customHeight="1">
      <x:c r="A1" s="3" t="str">
        <x:v>PARÁMETROS Y CRITERIOS DE EVALUACIÓN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9" customHeight="1">
      <x:c r="A2" s="7" t="str">
        <x:v>Umbrales documentados ≠ resultados observados. Comparaciones solo con criterio aprobado.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1" customHeight="1">
      <x:c r="A4" s="13" t="str">
        <x:v>Código</x:v>
      </x:c>
      <x:c r="B4" s="13" t="str">
        <x:v>Característica</x:v>
      </x:c>
      <x:c r="C4" s="13" t="str">
        <x:v>Indicador</x:v>
      </x:c>
      <x:c r="D4" s="13" t="str">
        <x:v>Unidad</x:v>
      </x:c>
      <x:c r="E4" s="13" t="str">
        <x:v>Unidad de análisis</x:v>
      </x:c>
      <x:c r="F4" s="13" t="str">
        <x:v>Método de cálculo</x:v>
      </x:c>
      <x:c r="G4" s="13" t="str">
        <x:v>Umbral documentado</x:v>
      </x:c>
      <x:c r="H4" s="13" t="str">
        <x:v>Operador</x:v>
      </x:c>
      <x:c r="I4" s="13" t="str">
        <x:v>Estado de aprobación</x:v>
      </x:c>
      <x:c r="J4" s="13" t="str">
        <x:v>Fuente</x:v>
      </x:c>
      <x:c r="K4" s="13" t="str">
        <x:v>Observaciones</x:v>
      </x:c>
    </x:row>
    <x:row r="5" ht="22" customHeight="1">
      <x:c r="A5" t="str">
        <x:v>OP-01</x:v>
      </x:c>
      <x:c r="B5" t="str">
        <x:v>Fiabilidad</x:v>
      </x:c>
      <x:c r="C5" t="str">
        <x:v>Fallos por 1.000 operaciones</x:v>
      </x:c>
      <x:c r="D5" t="str">
        <x:v>Fallos/1.000</x:v>
      </x:c>
      <x:c r="E5" t="str">
        <x:v>Operación válida</x:v>
      </x:c>
      <x:c r="F5" t="str">
        <x:v>N_f / N_o × 1000</x:v>
      </x:c>
      <x:c r="G5" s="20" t="n">
        <x:v>1</x:v>
      </x:c>
      <x:c r="H5" s="20" t="str">
        <x:v>&lt;=</x:v>
      </x:c>
      <x:c r="I5" s="20" t="str">
        <x:v>APROBADO</x:v>
      </x:c>
      <x:c r="J5" t="str">
        <x:v>PV-01 / ANT-01</x:v>
      </x:c>
      <x:c r="K5" t="str">
        <x:v>Criterio numérico respaldado; exige definición y clasificación de fallo real.</x:v>
      </x:c>
    </x:row>
    <x:row r="6" ht="22" customHeight="1">
      <x:c r="A6" t="str">
        <x:v>OP-02</x:v>
      </x:c>
      <x:c r="B6" t="str">
        <x:v>Fiabilidad / disponibilidad</x:v>
      </x:c>
      <x:c r="C6" t="str">
        <x:v>Disponibilidad semanal</x:v>
      </x:c>
      <x:c r="D6" t="str">
        <x:v>%</x:v>
      </x:c>
      <x:c r="E6" t="str">
        <x:v>Ventana semanal / servicio</x:v>
      </x:c>
      <x:c r="F6" t="str">
        <x:v>100 × minutos operativos / programados</x:v>
      </x:c>
      <x:c r="G6" s="20" t="n">
        <x:v>99</x:v>
      </x:c>
      <x:c r="H6" s="20" t="str">
        <x:v>&gt;=</x:v>
      </x:c>
      <x:c r="I6" s="20" t="str">
        <x:v>APROBADO</x:v>
      </x:c>
      <x:c r="J6" t="str">
        <x:v>PV-02 / ANT-01</x:v>
      </x:c>
      <x:c r="K6" t="str">
        <x:v>Confirmar ventana, servicio, resolución y caídas.</x:v>
      </x:c>
    </x:row>
    <x:row r="7" ht="22" customHeight="1">
      <x:c r="A7" t="str">
        <x:v>OP-03</x:v>
      </x:c>
      <x:c r="B7" t="str">
        <x:v>Fiabilidad / disponibilidad</x:v>
      </x:c>
      <x:c r="C7" t="str">
        <x:v>Disponibilidad mensual</x:v>
      </x:c>
      <x:c r="D7" t="str">
        <x:v>%</x:v>
      </x:c>
      <x:c r="E7" t="str">
        <x:v>Ventana mensual / servicio</x:v>
      </x:c>
      <x:c r="F7" t="str">
        <x:v>100 × minutos operativos / programados</x:v>
      </x:c>
      <x:c r="G7" s="20" t="n">
        <x:v>99.5</x:v>
      </x:c>
      <x:c r="H7" s="20" t="str">
        <x:v>&gt;=</x:v>
      </x:c>
      <x:c r="I7" s="20" t="str">
        <x:v>EN DISCREPANCIA</x:v>
      </x:c>
      <x:c r="J7" t="str">
        <x:v>PV-03; SRS; D-34-03</x:v>
      </x:c>
      <x:c r="K7" t="str">
        <x:v>99 % vs 99,5 % entre fuentes; valor PV registrado pero pendiente homologación.</x:v>
      </x:c>
    </x:row>
    <x:row r="8" ht="22" customHeight="1">
      <x:c r="A8" t="str">
        <x:v>OP-04</x:v>
      </x:c>
      <x:c r="B8" t="str">
        <x:v>Usabilidad percibida</x:v>
      </x:c>
      <x:c r="C8" t="str">
        <x:v>Puntuación media SUS</x:v>
      </x:c>
      <x:c r="D8" t="str">
        <x:v>Puntos (0–100)</x:v>
      </x:c>
      <x:c r="E8" t="str">
        <x:v>Cuestionario válido / participante</x:v>
      </x:c>
      <x:c r="F8" t="str">
        <x:v>Media de SUS_i; SUS_i=2,5×[Σimpares(q−1)+Σpares(5−q)]</x:v>
      </x:c>
      <x:c r="G8" s="20" t="n">
        <x:v>75</x:v>
      </x:c>
      <x:c r="H8" s="20" t="str">
        <x:v>&gt;=</x:v>
      </x:c>
      <x:c r="I8" s="20" t="str">
        <x:v>APROBADO</x:v>
      </x:c>
      <x:c r="J8" t="str">
        <x:v>PV-04; Sprint 11; ANT-01</x:v>
      </x:c>
      <x:c r="K8" t="str">
        <x:v>≥75 puntos es meta; no es resultado ni porcentaje.</x:v>
      </x:c>
    </x:row>
    <x:row r="9" ht="22" customHeight="1">
      <x:c r="A9" t="str">
        <x:v>OP-05</x:v>
      </x:c>
      <x:c r="B9" t="str">
        <x:v>Calidad en uso / eficacia</x:v>
      </x:c>
      <x:c r="C9" t="str">
        <x:v>Tasa de éxito de tareas</x:v>
      </x:c>
      <x:c r="D9" t="str">
        <x:v>%</x:v>
      </x:c>
      <x:c r="E9" t="str">
        <x:v>Intento válido</x:v>
      </x:c>
      <x:c r="F9" t="str">
        <x:v>100 × intentos correctos / intentos válidos</x:v>
      </x:c>
      <x:c r="G9" s="20"/>
      <x:c r="H9" s="20"/>
      <x:c r="I9" s="20" t="str">
        <x:v>SIN REGLA</x:v>
      </x:c>
      <x:c r="J9" t="str">
        <x:v>PV-09; D-34-02</x:v>
      </x:c>
      <x:c r="K9" t="str">
        <x:v>No existe umbral aprobado para la tasa global.</x:v>
      </x:c>
    </x:row>
    <x:row r="10" ht="22" customHeight="1">
      <x:c r="A10" t="str">
        <x:v>OP-06</x:v>
      </x:c>
      <x:c r="B10" t="str">
        <x:v>Comportamiento temporal</x:v>
      </x:c>
      <x:c r="C10" t="str">
        <x:v>Percentil 95 de respuesta</x:v>
      </x:c>
      <x:c r="D10" t="str">
        <x:v>ms</x:v>
      </x:c>
      <x:c r="E10" t="str">
        <x:v>Solicitud válida por ET / ejecución</x:v>
      </x:c>
      <x:c r="F10" t="str">
        <x:v>PERCENTILE.INC(tiempos válidos,0,95)</x:v>
      </x:c>
      <x:c r="G10" s="20" t="n">
        <x:v>2000</x:v>
      </x:c>
      <x:c r="H10" s="20" t="str">
        <x:v>&lt;=</x:v>
      </x:c>
      <x:c r="I10" s="20" t="str">
        <x:v>EN DISCREPANCIA</x:v>
      </x:c>
      <x:c r="J10" t="str">
        <x:v>PV-05; load_test.js</x:v>
      </x:c>
      <x:c r="K10" t="str">
        <x:v>≤2000 (anteproyecto) vs &lt;2000 (k6); decidir comparador.</x:v>
      </x:c>
    </x:row>
    <x:row r="11" ht="22" customHeight="1">
      <x:c r="A11" t="str">
        <x:v>OP-07</x:v>
      </x:c>
      <x:c r="B11" t="str">
        <x:v>Comportamiento temporal</x:v>
      </x:c>
      <x:c r="C11" t="str">
        <x:v>Percentil 99 de respuesta</x:v>
      </x:c>
      <x:c r="D11" t="str">
        <x:v>ms</x:v>
      </x:c>
      <x:c r="E11" t="str">
        <x:v>Solicitud válida por ET / ejecución</x:v>
      </x:c>
      <x:c r="F11" t="str">
        <x:v>PERCENTILE.INC(tiempos válidos,0,99)</x:v>
      </x:c>
      <x:c r="G11" s="20" t="n">
        <x:v>5000</x:v>
      </x:c>
      <x:c r="H11" s="20" t="str">
        <x:v>&lt;</x:v>
      </x:c>
      <x:c r="I11" s="20" t="str">
        <x:v>POR CONFIRMAR</x:v>
      </x:c>
      <x:c r="J11" t="str">
        <x:v>PV-06; D-36-01</x:v>
      </x:c>
      <x:c r="K11" t="str">
        <x:v>&lt;5000 aparece en PV, sin protocolo/P99 implementados; aprobación definitiva pendiente.</x:v>
      </x:c>
    </x:row>
    <x:row r="12" ht="22" customHeight="1">
      <x:c r="A12" t="str">
        <x:v>OP-08</x:v>
      </x:c>
      <x:c r="B12" t="str">
        <x:v>Conformidad funcional</x:v>
      </x:c>
      <x:c r="C12" t="str">
        <x:v>Proporción de formularios conformes</x:v>
      </x:c>
      <x:c r="D12" t="str">
        <x:v>%</x:v>
      </x:c>
      <x:c r="E12" t="str">
        <x:v>Formulario evaluado elegible</x:v>
      </x:c>
      <x:c r="F12" t="str">
        <x:v>100 × formularios conformes / formularios evaluados</x:v>
      </x:c>
      <x:c r="G12" s="20" t="n">
        <x:v>95</x:v>
      </x:c>
      <x:c r="H12" s="20" t="str">
        <x:v>&gt;=</x:v>
      </x:c>
      <x:c r="I12" s="20" t="str">
        <x:v>APROBADO</x:v>
      </x:c>
      <x:c r="J12" t="str">
        <x:v>PV-07; D-34-04</x:v>
      </x:c>
      <x:c r="K12" t="str">
        <x:v>Reglas/rúbrica y cobertura de universo deben cerrarse.</x:v>
      </x:c>
    </x:row>
    <x:row r="13" ht="22" customHeight="1">
      <x:c r="A13" t="str">
        <x:v>OP-09</x:v>
      </x:c>
      <x:c r="B13" t="str">
        <x:v>Integridad de datos</x:v>
      </x:c>
      <x:c r="C13" t="str">
        <x:v>Duplicados indebidos detectados</x:v>
      </x:c>
      <x:c r="D13" t="str">
        <x:v>Conteo</x:v>
      </x:c>
      <x:c r="E13" t="str">
        <x:v>Registros examinados / clave negocio</x:v>
      </x:c>
      <x:c r="F13" t="str">
        <x:v>Conteo confirmado de duplicados indebidos</x:v>
      </x:c>
      <x:c r="G13" s="20" t="n">
        <x:v>0</x:v>
      </x:c>
      <x:c r="H13" s="20" t="str">
        <x:v>=</x:v>
      </x:c>
      <x:c r="I13" s="20" t="str">
        <x:v>APROBADO</x:v>
      </x:c>
      <x:c r="J13" t="str">
        <x:v>PV-08; D-34-04</x:v>
      </x:c>
      <x:c r="K13" t="str">
        <x:v>Cero evaluable solo con revisión SQL reproducible y regla aprobada.</x:v>
      </x:c>
    </x:row>
    <x:row r="14" ht="22" customHeight="1">
      <x:c r="A14" t="str">
        <x:v>OP-10</x:v>
      </x:c>
      <x:c r="B14" t="str">
        <x:v>Fiabilidad / recuperación</x:v>
      </x:c>
      <x:c r="C14" t="str">
        <x:v>Recuperaciones satisfactorias</x:v>
      </x:c>
      <x:c r="D14" t="str">
        <x:v>Por confirmar</x:v>
      </x:c>
      <x:c r="E14" t="str">
        <x:v>Evento de recuperación</x:v>
      </x:c>
      <x:c r="F14" t="str">
        <x:v>Método y denominador pendientes</x:v>
      </x:c>
      <x:c r="G14" s="20"/>
      <x:c r="H14" s="20"/>
      <x:c r="I14" s="20" t="str">
        <x:v>SIN REGLA</x:v>
      </x:c>
      <x:c r="J14" t="str">
        <x:v>02 operacionalización; manual</x:v>
      </x:c>
      <x:c r="K14" t="str">
        <x:v>Complementario; aprobar fórmula, unidad y muestra.</x:v>
      </x:c>
    </x:row>
    <x:row r="15" ht="22" customHeight="1">
      <x:c r="A15" t="str">
        <x:v>OP-11</x:v>
      </x:c>
      <x:c r="B15" t="str">
        <x:v>Fiabilidad / continuidad</x:v>
      </x:c>
      <x:c r="C15" t="str">
        <x:v>Tiempo medio entre fallos (MTBF)</x:v>
      </x:c>
      <x:c r="D15" t="str">
        <x:v>Por confirmar</x:v>
      </x:c>
      <x:c r="E15" t="str">
        <x:v>Tiempo operativo entre fallos</x:v>
      </x:c>
      <x:c r="F15" t="str">
        <x:v>MTBF por formalizar</x:v>
      </x:c>
      <x:c r="G15" s="20"/>
      <x:c r="H15" s="20"/>
      <x:c r="I15" s="20" t="str">
        <x:v>SIN REGLA</x:v>
      </x:c>
      <x:c r="J15" t="str">
        <x:v>02 operacionalización; manual</x:v>
      </x:c>
      <x:c r="K15" t="str">
        <x:v>Complementario; definir unidad, eventos y fórmula.</x:v>
      </x:c>
    </x:row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</x:sheetData>
  <x:mergeCells>
    <x:mergeCell ref="A1:K1"/>
    <x:mergeCell ref="A2:K2"/>
  </x:mergeCells>
  <x:dataValidations count="2">
    <x:dataValidation type="list" sqref="I5:I15">
      <x:formula1>"APROBADO,POR CONFIRMAR,EN DISCREPANCIA,SIN REGLA"</x:formula1>
    </x:dataValidation>
    <x:dataValidation type="list" sqref="H5:H15">
      <x:formula1>"&lt;,&gt;,&lt;=,&gt;=,="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9" hidden="0" customWidth="1"/>
    <x:col min="4" max="4" width="34" hidden="0" customWidth="1"/>
    <x:col min="6" max="6" width="43" hidden="0" customWidth="1"/>
    <x:col min="7" max="7" width="44" hidden="0" customWidth="1"/>
  </x:cols>
  <x:sheetData>
    <x:row r="1" ht="35" customHeight="1">
      <x:c r="A1" s="3" t="str">
        <x:v>RESUMEN DE USABILIDAD SUS</x:v>
      </x:c>
      <x:c r="B1" s="3"/>
      <x:c r="C1" s="3"/>
      <x:c r="D1" s="3"/>
    </x:row>
    <x:row r="2" ht="29" customHeight="1">
      <x:c r="A2" s="7" t="str">
        <x:v>Solo se calculan cuestionarios completos, elegibles, con consentimiento y evidencia.</x:v>
      </x:c>
      <x:c r="B2" s="7"/>
      <x:c r="C2" s="7"/>
      <x:c r="D2" s="7"/>
    </x:row>
    <x:row r="4" ht="31" customHeight="1">
      <x:c r="A4" s="13" t="str">
        <x:v>Código participante</x:v>
      </x:c>
      <x:c r="B4" s="13" t="str">
        <x:v>Estado cuestionario</x:v>
      </x:c>
      <x:c r="C4" s="13" t="str">
        <x:v>Puntuación SUS</x:v>
      </x:c>
      <x:c r="D4" s="13" t="str">
        <x:v>Evidencia / cuestionario</x:v>
      </x:c>
      <x:c r="F4" s="18" t="str">
        <x:v>Resumen estadístico</x:v>
      </x:c>
      <x:c r="G4" s="18" t="str">
        <x:v>Valor calculado</x:v>
      </x:c>
    </x:row>
    <x:row r="5" ht="22" customHeight="1">
      <x:c r="A5" t="str">
        <x:f>IF('13_SUS_CAPTURA'!A5="","",'13_SUS_CAPTURA'!A5)</x:f>
      </x:c>
      <x:c r="B5" t="str">
        <x:f>IF(A5="","",'13_SUS_CAPTURA'!P5)</x:f>
      </x:c>
      <x:c r="C5" s="28" t="str">
        <x:f>IF(B5="VÁLIDO",'13_SUS_CAPTURA'!Q5,"")</x:f>
      </x:c>
      <x:c r="D5" t="str">
        <x:f>IF(A5="","",'13_SUS_CAPTURA'!R5)</x:f>
      </x:c>
      <x:c r="F5" t="str">
        <x:v>Participantes con sesión acreditada</x:v>
      </x:c>
      <x:c r="G5" t="str">
        <x:f>IF(COUNTA('13_SUS_CAPTURA'!A5:A204)=0,"SIN DATOS",COUNTIFS('13_SUS_CAPTURA'!A5:A204,"&lt;&gt;",'13_SUS_CAPTURA'!D5:D204,"Sí",'13_SUS_CAPTURA'!R5:R204,"&lt;&gt;"))</x:f>
        <x:v>SIN DATOS</x:v>
      </x:c>
    </x:row>
    <x:row r="6" ht="22" customHeight="1">
      <x:c r="A6" t="str">
        <x:f>IF('13_SUS_CAPTURA'!A6="","",'13_SUS_CAPTURA'!A6)</x:f>
      </x:c>
      <x:c r="B6" t="str">
        <x:f>IF(A6="","",'13_SUS_CAPTURA'!P6)</x:f>
      </x:c>
      <x:c r="C6" s="28" t="str">
        <x:f>IF(B6="VÁLIDO",'13_SUS_CAPTURA'!Q6,"")</x:f>
      </x:c>
      <x:c r="D6" t="str">
        <x:f>IF(A6="","",'13_SUS_CAPTURA'!R6)</x:f>
      </x:c>
      <x:c r="F6" t="str">
        <x:v>Cuestionarios completos y válidos</x:v>
      </x:c>
      <x:c r="G6" t="str">
        <x:f>IF(COUNTA('13_SUS_CAPTURA'!A5:A204)=0,"SIN DATOS",COUNTIF(B5:B204,"VÁLIDO"))</x:f>
        <x:v>SIN DATOS</x:v>
      </x:c>
    </x:row>
    <x:row r="7" ht="22" customHeight="1">
      <x:c r="A7" t="str">
        <x:f>IF('13_SUS_CAPTURA'!A7="","",'13_SUS_CAPTURA'!A7)</x:f>
      </x:c>
      <x:c r="B7" t="str">
        <x:f>IF(A7="","",'13_SUS_CAPTURA'!P7)</x:f>
      </x:c>
      <x:c r="C7" s="28" t="str">
        <x:f>IF(B7="VÁLIDO",'13_SUS_CAPTURA'!Q7,"")</x:f>
      </x:c>
      <x:c r="D7" t="str">
        <x:f>IF(A7="","",'13_SUS_CAPTURA'!R7)</x:f>
      </x:c>
      <x:c r="F7" t="str">
        <x:v>Media (puntos)</x:v>
      </x:c>
      <x:c r="G7" s="28" t="str">
        <x:f>IF(COUNT(C5:C204)=0,"SIN DATOS",AVERAGE(C5:C204))</x:f>
        <x:v>SIN DATOS</x:v>
      </x:c>
    </x:row>
    <x:row r="8" ht="22" customHeight="1">
      <x:c r="A8" t="str">
        <x:f>IF('13_SUS_CAPTURA'!A8="","",'13_SUS_CAPTURA'!A8)</x:f>
      </x:c>
      <x:c r="B8" t="str">
        <x:f>IF(A8="","",'13_SUS_CAPTURA'!P8)</x:f>
      </x:c>
      <x:c r="C8" s="28" t="str">
        <x:f>IF(B8="VÁLIDO",'13_SUS_CAPTURA'!Q8,"")</x:f>
      </x:c>
      <x:c r="D8" t="str">
        <x:f>IF(A8="","",'13_SUS_CAPTURA'!R8)</x:f>
      </x:c>
      <x:c r="F8" t="str">
        <x:v>Mediana (puntos)</x:v>
      </x:c>
      <x:c r="G8" s="28" t="str">
        <x:f>IF(COUNT(C5:C204)=0,"SIN DATOS",MEDIAN(C5:C204))</x:f>
        <x:v>SIN DATOS</x:v>
      </x:c>
    </x:row>
    <x:row r="9" ht="22" customHeight="1">
      <x:c r="A9" t="str">
        <x:f>IF('13_SUS_CAPTURA'!A9="","",'13_SUS_CAPTURA'!A9)</x:f>
      </x:c>
      <x:c r="B9" t="str">
        <x:f>IF(A9="","",'13_SUS_CAPTURA'!P9)</x:f>
      </x:c>
      <x:c r="C9" s="28" t="str">
        <x:f>IF(B9="VÁLIDO",'13_SUS_CAPTURA'!Q9,"")</x:f>
      </x:c>
      <x:c r="D9" t="str">
        <x:f>IF(A9="","",'13_SUS_CAPTURA'!R9)</x:f>
      </x:c>
      <x:c r="F9" t="str">
        <x:v>Desviación estándar muestral</x:v>
      </x:c>
      <x:c r="G9" s="28" t="str">
        <x:f>IF(COUNT(C5:C204)&lt;2,"SIN DATOS",_xlfn.STDEV.S(C5:C204))</x:f>
        <x:v>SIN DATOS</x:v>
      </x:c>
    </x:row>
    <x:row r="10" ht="22" customHeight="1">
      <x:c r="A10" t="str">
        <x:f>IF('13_SUS_CAPTURA'!A10="","",'13_SUS_CAPTURA'!A10)</x:f>
      </x:c>
      <x:c r="B10" t="str">
        <x:f>IF(A10="","",'13_SUS_CAPTURA'!P10)</x:f>
      </x:c>
      <x:c r="C10" s="28" t="str">
        <x:f>IF(B10="VÁLIDO",'13_SUS_CAPTURA'!Q10,"")</x:f>
      </x:c>
      <x:c r="D10" t="str">
        <x:f>IF(A10="","",'13_SUS_CAPTURA'!R10)</x:f>
      </x:c>
      <x:c r="F10" t="str">
        <x:v>Mínimo</x:v>
      </x:c>
      <x:c r="G10" s="28" t="str">
        <x:f>IF(COUNT(C5:C204)=0,"SIN DATOS",MIN(C5:C204))</x:f>
        <x:v>SIN DATOS</x:v>
      </x:c>
    </x:row>
    <x:row r="11" ht="22" customHeight="1">
      <x:c r="A11" t="str">
        <x:f>IF('13_SUS_CAPTURA'!A11="","",'13_SUS_CAPTURA'!A11)</x:f>
      </x:c>
      <x:c r="B11" t="str">
        <x:f>IF(A11="","",'13_SUS_CAPTURA'!P11)</x:f>
      </x:c>
      <x:c r="C11" s="28" t="str">
        <x:f>IF(B11="VÁLIDO",'13_SUS_CAPTURA'!Q11,"")</x:f>
      </x:c>
      <x:c r="D11" t="str">
        <x:f>IF(A11="","",'13_SUS_CAPTURA'!R11)</x:f>
      </x:c>
      <x:c r="F11" t="str">
        <x:v>Máximo</x:v>
      </x:c>
      <x:c r="G11" s="28" t="str">
        <x:f>IF(COUNT(C5:C204)=0,"SIN DATOS",MAX(C5:C204))</x:f>
        <x:v>SIN DATOS</x:v>
      </x:c>
    </x:row>
    <x:row r="12" ht="22" customHeight="1">
      <x:c r="A12" t="str">
        <x:f>IF('13_SUS_CAPTURA'!A12="","",'13_SUS_CAPTURA'!A12)</x:f>
      </x:c>
      <x:c r="B12" t="str">
        <x:f>IF(A12="","",'13_SUS_CAPTURA'!P12)</x:f>
      </x:c>
      <x:c r="C12" s="28" t="str">
        <x:f>IF(B12="VÁLIDO",'13_SUS_CAPTURA'!Q12,"")</x:f>
      </x:c>
      <x:c r="D12" t="str">
        <x:f>IF(A12="","",'13_SUS_CAPTURA'!R12)</x:f>
      </x:c>
      <x:c r="F12" t="str">
        <x:v>Umbral documental</x:v>
      </x:c>
      <x:c r="G12" s="28" t="n">
        <x:f>IF('02_PARAMETROS'!G8="","",'02_PARAMETROS'!G8)</x:f>
        <x:v>75</x:v>
      </x:c>
    </x:row>
    <x:row r="13" ht="22" customHeight="1">
      <x:c r="A13" t="str">
        <x:f>IF('13_SUS_CAPTURA'!A13="","",'13_SUS_CAPTURA'!A13)</x:f>
      </x:c>
      <x:c r="B13" t="str">
        <x:f>IF(A13="","",'13_SUS_CAPTURA'!P13)</x:f>
      </x:c>
      <x:c r="C13" s="28" t="str">
        <x:f>IF(B13="VÁLIDO",'13_SUS_CAPTURA'!Q13,"")</x:f>
      </x:c>
      <x:c r="D13" t="str">
        <x:f>IF(A13="","",'13_SUS_CAPTURA'!R13)</x:f>
      </x:c>
      <x:c r="F13" t="str">
        <x:v>Estado de evidencia</x:v>
      </x:c>
      <x:c r="G13" t="str">
        <x:f>IF(COUNT(C5:C204)=0,"SIN DATOS",IF(COUNTIF(B5:B204,"INCOMPLETO")+COUNTIF(B5:B204,"REVISAR")&gt;0,"REVISAR","VÁLIDO"))</x:f>
        <x:v>SIN DATOS</x:v>
      </x:c>
    </x:row>
    <x:row r="14" ht="22" customHeight="1">
      <x:c r="A14" t="str">
        <x:f>IF('13_SUS_CAPTURA'!A14="","",'13_SUS_CAPTURA'!A14)</x:f>
      </x:c>
      <x:c r="B14" t="str">
        <x:f>IF(A14="","",'13_SUS_CAPTURA'!P14)</x:f>
      </x:c>
      <x:c r="C14" s="28" t="str">
        <x:f>IF(B14="VÁLIDO",'13_SUS_CAPTURA'!Q14,"")</x:f>
      </x:c>
      <x:c r="D14" t="str">
        <x:f>IF(A14="","",'13_SUS_CAPTURA'!R14)</x:f>
      </x:c>
      <x:c r="F14" t="str">
        <x:v>Dictamen SUS</x:v>
      </x:c>
      <x:c r="G14" t="str">
        <x:f>IF($G$13&lt;&gt;"VÁLIDO","SIN DATOS",IF(OR('02_PARAMETROS'!$I$8&lt;&gt;"APROBADO",NOT(ISNUMBER('02_PARAMETROS'!$G$8)),'02_PARAMETROS'!$H$8=""),"PENDIENTE DE APROBACIÓN",IF(OR(AND('02_PARAMETROS'!$H$8="&gt;=",$G$7&gt;='02_PARAMETROS'!$G$8),AND('02_PARAMETROS'!$H$8="&lt;=",$G$7&lt;='02_PARAMETROS'!$G$8),AND('02_PARAMETROS'!$H$8="&gt;",$G$7&gt;'02_PARAMETROS'!$G$8),AND('02_PARAMETROS'!$H$8="&lt;",$G$7&lt;'02_PARAMETROS'!$G$8),AND('02_PARAMETROS'!$H$8="=",$G$7='02_PARAMETROS'!$G$8)),"CUMPLE","NO CUMPLE")))</x:f>
        <x:v>SIN DATOS</x:v>
      </x:c>
    </x:row>
    <x:row r="15" ht="22" customHeight="1">
      <x:c r="A15" t="str">
        <x:f>IF('13_SUS_CAPTURA'!A15="","",'13_SUS_CAPTURA'!A15)</x:f>
      </x:c>
      <x:c r="B15" t="str">
        <x:f>IF(A15="","",'13_SUS_CAPTURA'!P15)</x:f>
      </x:c>
      <x:c r="C15" s="28" t="str">
        <x:f>IF(B15="VÁLIDO",'13_SUS_CAPTURA'!Q15,"")</x:f>
      </x:c>
      <x:c r="D15" t="str">
        <x:f>IF(A15="","",'13_SUS_CAPTURA'!R15)</x:f>
      </x:c>
      <x:c r="F15" t="str">
        <x:v>Estado de muestra</x:v>
      </x:c>
      <x:c r="G15" t="str">
        <x:f>IF(COUNT(C5:C204)=0,"SIN DATOS","REVISAR COBERTURA Y CENSO APROBADO")</x:f>
        <x:v>SIN DATOS</x:v>
      </x:c>
    </x:row>
    <x:row r="16" ht="22" customHeight="1">
      <x:c r="A16" t="str">
        <x:f>IF('13_SUS_CAPTURA'!A16="","",'13_SUS_CAPTURA'!A16)</x:f>
      </x:c>
      <x:c r="B16" t="str">
        <x:f>IF(A16="","",'13_SUS_CAPTURA'!P16)</x:f>
      </x:c>
      <x:c r="C16" s="28" t="str">
        <x:f>IF(B16="VÁLIDO",'13_SUS_CAPTURA'!Q16,"")</x:f>
      </x:c>
      <x:c r="D16" t="str">
        <x:f>IF(A16="","",'13_SUS_CAPTURA'!R16)</x:f>
      </x:c>
    </x:row>
    <x:row r="17" ht="22" customHeight="1">
      <x:c r="A17" t="str">
        <x:f>IF('13_SUS_CAPTURA'!A17="","",'13_SUS_CAPTURA'!A17)</x:f>
      </x:c>
      <x:c r="B17" t="str">
        <x:f>IF(A17="","",'13_SUS_CAPTURA'!P17)</x:f>
      </x:c>
      <x:c r="C17" s="28" t="str">
        <x:f>IF(B17="VÁLIDO",'13_SUS_CAPTURA'!Q17,"")</x:f>
      </x:c>
      <x:c r="D17" t="str">
        <x:f>IF(A17="","",'13_SUS_CAPTURA'!R17)</x:f>
      </x:c>
    </x:row>
    <x:row r="18" ht="22" customHeight="1">
      <x:c r="A18" t="str">
        <x:f>IF('13_SUS_CAPTURA'!A18="","",'13_SUS_CAPTURA'!A18)</x:f>
      </x:c>
      <x:c r="B18" t="str">
        <x:f>IF(A18="","",'13_SUS_CAPTURA'!P18)</x:f>
      </x:c>
      <x:c r="C18" s="28" t="str">
        <x:f>IF(B18="VÁLIDO",'13_SUS_CAPTURA'!Q18,"")</x:f>
      </x:c>
      <x:c r="D18" t="str">
        <x:f>IF(A18="","",'13_SUS_CAPTURA'!R18)</x:f>
      </x:c>
    </x:row>
    <x:row r="19" ht="22" customHeight="1">
      <x:c r="A19" t="str">
        <x:f>IF('13_SUS_CAPTURA'!A19="","",'13_SUS_CAPTURA'!A19)</x:f>
      </x:c>
      <x:c r="B19" t="str">
        <x:f>IF(A19="","",'13_SUS_CAPTURA'!P19)</x:f>
      </x:c>
      <x:c r="C19" s="28" t="str">
        <x:f>IF(B19="VÁLIDO",'13_SUS_CAPTURA'!Q19,"")</x:f>
      </x:c>
      <x:c r="D19" t="str">
        <x:f>IF(A19="","",'13_SUS_CAPTURA'!R19)</x:f>
      </x:c>
    </x:row>
    <x:row r="20" ht="22" customHeight="1">
      <x:c r="A20" t="str">
        <x:f>IF('13_SUS_CAPTURA'!A20="","",'13_SUS_CAPTURA'!A20)</x:f>
      </x:c>
      <x:c r="B20" t="str">
        <x:f>IF(A20="","",'13_SUS_CAPTURA'!P20)</x:f>
      </x:c>
      <x:c r="C20" s="28" t="str">
        <x:f>IF(B20="VÁLIDO",'13_SUS_CAPTURA'!Q20,"")</x:f>
      </x:c>
      <x:c r="D20" t="str">
        <x:f>IF(A20="","",'13_SUS_CAPTURA'!R20)</x:f>
      </x:c>
    </x:row>
    <x:row r="21" ht="22" customHeight="1">
      <x:c r="A21" t="str">
        <x:f>IF('13_SUS_CAPTURA'!A21="","",'13_SUS_CAPTURA'!A21)</x:f>
      </x:c>
      <x:c r="B21" t="str">
        <x:f>IF(A21="","",'13_SUS_CAPTURA'!P21)</x:f>
      </x:c>
      <x:c r="C21" s="28" t="str">
        <x:f>IF(B21="VÁLIDO",'13_SUS_CAPTURA'!Q21,"")</x:f>
      </x:c>
      <x:c r="D21" t="str">
        <x:f>IF(A21="","",'13_SUS_CAPTURA'!R21)</x:f>
      </x:c>
    </x:row>
    <x:row r="22" ht="22" customHeight="1">
      <x:c r="A22" t="str">
        <x:f>IF('13_SUS_CAPTURA'!A22="","",'13_SUS_CAPTURA'!A22)</x:f>
      </x:c>
      <x:c r="B22" t="str">
        <x:f>IF(A22="","",'13_SUS_CAPTURA'!P22)</x:f>
      </x:c>
      <x:c r="C22" s="28" t="str">
        <x:f>IF(B22="VÁLIDO",'13_SUS_CAPTURA'!Q22,"")</x:f>
      </x:c>
      <x:c r="D22" t="str">
        <x:f>IF(A22="","",'13_SUS_CAPTURA'!R22)</x:f>
      </x:c>
    </x:row>
    <x:row r="23" ht="22" customHeight="1">
      <x:c r="A23" t="str">
        <x:f>IF('13_SUS_CAPTURA'!A23="","",'13_SUS_CAPTURA'!A23)</x:f>
      </x:c>
      <x:c r="B23" t="str">
        <x:f>IF(A23="","",'13_SUS_CAPTURA'!P23)</x:f>
      </x:c>
      <x:c r="C23" s="28" t="str">
        <x:f>IF(B23="VÁLIDO",'13_SUS_CAPTURA'!Q23,"")</x:f>
      </x:c>
      <x:c r="D23" t="str">
        <x:f>IF(A23="","",'13_SUS_CAPTURA'!R23)</x:f>
      </x:c>
    </x:row>
    <x:row r="24" ht="22" customHeight="1">
      <x:c r="A24" t="str">
        <x:f>IF('13_SUS_CAPTURA'!A24="","",'13_SUS_CAPTURA'!A24)</x:f>
      </x:c>
      <x:c r="B24" t="str">
        <x:f>IF(A24="","",'13_SUS_CAPTURA'!P24)</x:f>
      </x:c>
      <x:c r="C24" s="28" t="str">
        <x:f>IF(B24="VÁLIDO",'13_SUS_CAPTURA'!Q24,"")</x:f>
      </x:c>
      <x:c r="D24" t="str">
        <x:f>IF(A24="","",'13_SUS_CAPTURA'!R24)</x:f>
      </x:c>
    </x:row>
    <x:row r="25" ht="22" customHeight="1">
      <x:c r="A25" t="str">
        <x:f>IF('13_SUS_CAPTURA'!A25="","",'13_SUS_CAPTURA'!A25)</x:f>
      </x:c>
      <x:c r="B25" t="str">
        <x:f>IF(A25="","",'13_SUS_CAPTURA'!P25)</x:f>
      </x:c>
      <x:c r="C25" s="28" t="str">
        <x:f>IF(B25="VÁLIDO",'13_SUS_CAPTURA'!Q25,"")</x:f>
      </x:c>
      <x:c r="D25" t="str">
        <x:f>IF(A25="","",'13_SUS_CAPTURA'!R25)</x:f>
      </x:c>
    </x:row>
    <x:row r="26" ht="22" customHeight="1">
      <x:c r="A26" t="str">
        <x:f>IF('13_SUS_CAPTURA'!A26="","",'13_SUS_CAPTURA'!A26)</x:f>
      </x:c>
      <x:c r="B26" t="str">
        <x:f>IF(A26="","",'13_SUS_CAPTURA'!P26)</x:f>
      </x:c>
      <x:c r="C26" s="28" t="str">
        <x:f>IF(B26="VÁLIDO",'13_SUS_CAPTURA'!Q26,"")</x:f>
      </x:c>
      <x:c r="D26" t="str">
        <x:f>IF(A26="","",'13_SUS_CAPTURA'!R26)</x:f>
      </x:c>
    </x:row>
    <x:row r="27" ht="22" customHeight="1">
      <x:c r="A27" t="str">
        <x:f>IF('13_SUS_CAPTURA'!A27="","",'13_SUS_CAPTURA'!A27)</x:f>
      </x:c>
      <x:c r="B27" t="str">
        <x:f>IF(A27="","",'13_SUS_CAPTURA'!P27)</x:f>
      </x:c>
      <x:c r="C27" s="28" t="str">
        <x:f>IF(B27="VÁLIDO",'13_SUS_CAPTURA'!Q27,"")</x:f>
      </x:c>
      <x:c r="D27" t="str">
        <x:f>IF(A27="","",'13_SUS_CAPTURA'!R27)</x:f>
      </x:c>
    </x:row>
    <x:row r="28" ht="22" customHeight="1">
      <x:c r="A28" t="str">
        <x:f>IF('13_SUS_CAPTURA'!A28="","",'13_SUS_CAPTURA'!A28)</x:f>
      </x:c>
      <x:c r="B28" t="str">
        <x:f>IF(A28="","",'13_SUS_CAPTURA'!P28)</x:f>
      </x:c>
      <x:c r="C28" s="28" t="str">
        <x:f>IF(B28="VÁLIDO",'13_SUS_CAPTURA'!Q28,"")</x:f>
      </x:c>
      <x:c r="D28" t="str">
        <x:f>IF(A28="","",'13_SUS_CAPTURA'!R28)</x:f>
      </x:c>
    </x:row>
    <x:row r="29" ht="22" customHeight="1">
      <x:c r="A29" t="str">
        <x:f>IF('13_SUS_CAPTURA'!A29="","",'13_SUS_CAPTURA'!A29)</x:f>
      </x:c>
      <x:c r="B29" t="str">
        <x:f>IF(A29="","",'13_SUS_CAPTURA'!P29)</x:f>
      </x:c>
      <x:c r="C29" s="28" t="str">
        <x:f>IF(B29="VÁLIDO",'13_SUS_CAPTURA'!Q29,"")</x:f>
      </x:c>
      <x:c r="D29" t="str">
        <x:f>IF(A29="","",'13_SUS_CAPTURA'!R29)</x:f>
      </x:c>
    </x:row>
    <x:row r="30" ht="22" customHeight="1">
      <x:c r="A30" t="str">
        <x:f>IF('13_SUS_CAPTURA'!A30="","",'13_SUS_CAPTURA'!A30)</x:f>
      </x:c>
      <x:c r="B30" t="str">
        <x:f>IF(A30="","",'13_SUS_CAPTURA'!P30)</x:f>
      </x:c>
      <x:c r="C30" s="28" t="str">
        <x:f>IF(B30="VÁLIDO",'13_SUS_CAPTURA'!Q30,"")</x:f>
      </x:c>
      <x:c r="D30" t="str">
        <x:f>IF(A30="","",'13_SUS_CAPTURA'!R30)</x:f>
      </x:c>
    </x:row>
    <x:row r="31">
      <x:c r="A31" t="str">
        <x:f>IF('13_SUS_CAPTURA'!A31="","",'13_SUS_CAPTURA'!A31)</x:f>
      </x:c>
      <x:c r="B31" t="str">
        <x:f>IF(A31="","",'13_SUS_CAPTURA'!P31)</x:f>
      </x:c>
      <x:c r="C31" s="28" t="str">
        <x:f>IF(B31="VÁLIDO",'13_SUS_CAPTURA'!Q31,"")</x:f>
      </x:c>
      <x:c r="D31" t="str">
        <x:f>IF(A31="","",'13_SUS_CAPTURA'!R31)</x:f>
      </x:c>
    </x:row>
    <x:row r="32">
      <x:c r="A32" t="str">
        <x:f>IF('13_SUS_CAPTURA'!A32="","",'13_SUS_CAPTURA'!A32)</x:f>
      </x:c>
      <x:c r="B32" t="str">
        <x:f>IF(A32="","",'13_SUS_CAPTURA'!P32)</x:f>
      </x:c>
      <x:c r="C32" s="28" t="str">
        <x:f>IF(B32="VÁLIDO",'13_SUS_CAPTURA'!Q32,"")</x:f>
      </x:c>
      <x:c r="D32" t="str">
        <x:f>IF(A32="","",'13_SUS_CAPTURA'!R32)</x:f>
      </x:c>
    </x:row>
    <x:row r="33">
      <x:c r="A33" t="str">
        <x:f>IF('13_SUS_CAPTURA'!A33="","",'13_SUS_CAPTURA'!A33)</x:f>
      </x:c>
      <x:c r="B33" t="str">
        <x:f>IF(A33="","",'13_SUS_CAPTURA'!P33)</x:f>
      </x:c>
      <x:c r="C33" s="28" t="str">
        <x:f>IF(B33="VÁLIDO",'13_SUS_CAPTURA'!Q33,"")</x:f>
      </x:c>
      <x:c r="D33" t="str">
        <x:f>IF(A33="","",'13_SUS_CAPTURA'!R33)</x:f>
      </x:c>
    </x:row>
    <x:row r="34">
      <x:c r="A34" t="str">
        <x:f>IF('13_SUS_CAPTURA'!A34="","",'13_SUS_CAPTURA'!A34)</x:f>
      </x:c>
      <x:c r="B34" t="str">
        <x:f>IF(A34="","",'13_SUS_CAPTURA'!P34)</x:f>
      </x:c>
      <x:c r="C34" s="28" t="str">
        <x:f>IF(B34="VÁLIDO",'13_SUS_CAPTURA'!Q34,"")</x:f>
      </x:c>
      <x:c r="D34" t="str">
        <x:f>IF(A34="","",'13_SUS_CAPTURA'!R34)</x:f>
      </x:c>
    </x:row>
    <x:row r="35">
      <x:c r="A35" t="str">
        <x:f>IF('13_SUS_CAPTURA'!A35="","",'13_SUS_CAPTURA'!A35)</x:f>
      </x:c>
      <x:c r="B35" t="str">
        <x:f>IF(A35="","",'13_SUS_CAPTURA'!P35)</x:f>
      </x:c>
      <x:c r="C35" s="28" t="str">
        <x:f>IF(B35="VÁLIDO",'13_SUS_CAPTURA'!Q35,"")</x:f>
      </x:c>
      <x:c r="D35" t="str">
        <x:f>IF(A35="","",'13_SUS_CAPTURA'!R35)</x:f>
      </x:c>
    </x:row>
    <x:row r="36">
      <x:c r="A36" t="str">
        <x:f>IF('13_SUS_CAPTURA'!A36="","",'13_SUS_CAPTURA'!A36)</x:f>
      </x:c>
      <x:c r="B36" t="str">
        <x:f>IF(A36="","",'13_SUS_CAPTURA'!P36)</x:f>
      </x:c>
      <x:c r="C36" s="28" t="str">
        <x:f>IF(B36="VÁLIDO",'13_SUS_CAPTURA'!Q36,"")</x:f>
      </x:c>
      <x:c r="D36" t="str">
        <x:f>IF(A36="","",'13_SUS_CAPTURA'!R36)</x:f>
      </x:c>
    </x:row>
    <x:row r="37">
      <x:c r="A37" t="str">
        <x:f>IF('13_SUS_CAPTURA'!A37="","",'13_SUS_CAPTURA'!A37)</x:f>
      </x:c>
      <x:c r="B37" t="str">
        <x:f>IF(A37="","",'13_SUS_CAPTURA'!P37)</x:f>
      </x:c>
      <x:c r="C37" s="28" t="str">
        <x:f>IF(B37="VÁLIDO",'13_SUS_CAPTURA'!Q37,"")</x:f>
      </x:c>
      <x:c r="D37" t="str">
        <x:f>IF(A37="","",'13_SUS_CAPTURA'!R37)</x:f>
      </x:c>
    </x:row>
    <x:row r="38">
      <x:c r="A38" t="str">
        <x:f>IF('13_SUS_CAPTURA'!A38="","",'13_SUS_CAPTURA'!A38)</x:f>
      </x:c>
      <x:c r="B38" t="str">
        <x:f>IF(A38="","",'13_SUS_CAPTURA'!P38)</x:f>
      </x:c>
      <x:c r="C38" s="28" t="str">
        <x:f>IF(B38="VÁLIDO",'13_SUS_CAPTURA'!Q38,"")</x:f>
      </x:c>
      <x:c r="D38" t="str">
        <x:f>IF(A38="","",'13_SUS_CAPTURA'!R38)</x:f>
      </x:c>
    </x:row>
    <x:row r="39">
      <x:c r="A39" t="str">
        <x:f>IF('13_SUS_CAPTURA'!A39="","",'13_SUS_CAPTURA'!A39)</x:f>
      </x:c>
      <x:c r="B39" t="str">
        <x:f>IF(A39="","",'13_SUS_CAPTURA'!P39)</x:f>
      </x:c>
      <x:c r="C39" s="28" t="str">
        <x:f>IF(B39="VÁLIDO",'13_SUS_CAPTURA'!Q39,"")</x:f>
      </x:c>
      <x:c r="D39" t="str">
        <x:f>IF(A39="","",'13_SUS_CAPTURA'!R39)</x:f>
      </x:c>
    </x:row>
    <x:row r="40">
      <x:c r="A40" t="str">
        <x:f>IF('13_SUS_CAPTURA'!A40="","",'13_SUS_CAPTURA'!A40)</x:f>
      </x:c>
      <x:c r="B40" t="str">
        <x:f>IF(A40="","",'13_SUS_CAPTURA'!P40)</x:f>
      </x:c>
      <x:c r="C40" s="28" t="str">
        <x:f>IF(B40="VÁLIDO",'13_SUS_CAPTURA'!Q40,"")</x:f>
      </x:c>
      <x:c r="D40" t="str">
        <x:f>IF(A40="","",'13_SUS_CAPTURA'!R40)</x:f>
      </x:c>
    </x:row>
    <x:row r="41">
      <x:c r="A41" t="str">
        <x:f>IF('13_SUS_CAPTURA'!A41="","",'13_SUS_CAPTURA'!A41)</x:f>
      </x:c>
      <x:c r="B41" t="str">
        <x:f>IF(A41="","",'13_SUS_CAPTURA'!P41)</x:f>
      </x:c>
      <x:c r="C41" s="28" t="str">
        <x:f>IF(B41="VÁLIDO",'13_SUS_CAPTURA'!Q41,"")</x:f>
      </x:c>
      <x:c r="D41" t="str">
        <x:f>IF(A41="","",'13_SUS_CAPTURA'!R41)</x:f>
      </x:c>
    </x:row>
    <x:row r="42">
      <x:c r="A42" t="str">
        <x:f>IF('13_SUS_CAPTURA'!A42="","",'13_SUS_CAPTURA'!A42)</x:f>
      </x:c>
      <x:c r="B42" t="str">
        <x:f>IF(A42="","",'13_SUS_CAPTURA'!P42)</x:f>
      </x:c>
      <x:c r="C42" s="28" t="str">
        <x:f>IF(B42="VÁLIDO",'13_SUS_CAPTURA'!Q42,"")</x:f>
      </x:c>
      <x:c r="D42" t="str">
        <x:f>IF(A42="","",'13_SUS_CAPTURA'!R42)</x:f>
      </x:c>
    </x:row>
    <x:row r="43">
      <x:c r="A43" t="str">
        <x:f>IF('13_SUS_CAPTURA'!A43="","",'13_SUS_CAPTURA'!A43)</x:f>
      </x:c>
      <x:c r="B43" t="str">
        <x:f>IF(A43="","",'13_SUS_CAPTURA'!P43)</x:f>
      </x:c>
      <x:c r="C43" s="28" t="str">
        <x:f>IF(B43="VÁLIDO",'13_SUS_CAPTURA'!Q43,"")</x:f>
      </x:c>
      <x:c r="D43" t="str">
        <x:f>IF(A43="","",'13_SUS_CAPTURA'!R43)</x:f>
      </x:c>
    </x:row>
    <x:row r="44">
      <x:c r="A44" t="str">
        <x:f>IF('13_SUS_CAPTURA'!A44="","",'13_SUS_CAPTURA'!A44)</x:f>
      </x:c>
      <x:c r="B44" t="str">
        <x:f>IF(A44="","",'13_SUS_CAPTURA'!P44)</x:f>
      </x:c>
      <x:c r="C44" s="28" t="str">
        <x:f>IF(B44="VÁLIDO",'13_SUS_CAPTURA'!Q44,"")</x:f>
      </x:c>
      <x:c r="D44" t="str">
        <x:f>IF(A44="","",'13_SUS_CAPTURA'!R44)</x:f>
      </x:c>
    </x:row>
    <x:row r="45">
      <x:c r="A45" t="str">
        <x:f>IF('13_SUS_CAPTURA'!A45="","",'13_SUS_CAPTURA'!A45)</x:f>
      </x:c>
      <x:c r="B45" t="str">
        <x:f>IF(A45="","",'13_SUS_CAPTURA'!P45)</x:f>
      </x:c>
      <x:c r="C45" s="28" t="str">
        <x:f>IF(B45="VÁLIDO",'13_SUS_CAPTURA'!Q45,"")</x:f>
      </x:c>
      <x:c r="D45" t="str">
        <x:f>IF(A45="","",'13_SUS_CAPTURA'!R45)</x:f>
      </x:c>
    </x:row>
    <x:row r="46">
      <x:c r="A46" t="str">
        <x:f>IF('13_SUS_CAPTURA'!A46="","",'13_SUS_CAPTURA'!A46)</x:f>
      </x:c>
      <x:c r="B46" t="str">
        <x:f>IF(A46="","",'13_SUS_CAPTURA'!P46)</x:f>
      </x:c>
      <x:c r="C46" s="28" t="str">
        <x:f>IF(B46="VÁLIDO",'13_SUS_CAPTURA'!Q46,"")</x:f>
      </x:c>
      <x:c r="D46" t="str">
        <x:f>IF(A46="","",'13_SUS_CAPTURA'!R46)</x:f>
      </x:c>
    </x:row>
    <x:row r="47">
      <x:c r="A47" t="str">
        <x:f>IF('13_SUS_CAPTURA'!A47="","",'13_SUS_CAPTURA'!A47)</x:f>
      </x:c>
      <x:c r="B47" t="str">
        <x:f>IF(A47="","",'13_SUS_CAPTURA'!P47)</x:f>
      </x:c>
      <x:c r="C47" s="28" t="str">
        <x:f>IF(B47="VÁLIDO",'13_SUS_CAPTURA'!Q47,"")</x:f>
      </x:c>
      <x:c r="D47" t="str">
        <x:f>IF(A47="","",'13_SUS_CAPTURA'!R47)</x:f>
      </x:c>
    </x:row>
    <x:row r="48">
      <x:c r="A48" t="str">
        <x:f>IF('13_SUS_CAPTURA'!A48="","",'13_SUS_CAPTURA'!A48)</x:f>
      </x:c>
      <x:c r="B48" t="str">
        <x:f>IF(A48="","",'13_SUS_CAPTURA'!P48)</x:f>
      </x:c>
      <x:c r="C48" s="28" t="str">
        <x:f>IF(B48="VÁLIDO",'13_SUS_CAPTURA'!Q48,"")</x:f>
      </x:c>
      <x:c r="D48" t="str">
        <x:f>IF(A48="","",'13_SUS_CAPTURA'!R48)</x:f>
      </x:c>
    </x:row>
    <x:row r="49">
      <x:c r="A49" t="str">
        <x:f>IF('13_SUS_CAPTURA'!A49="","",'13_SUS_CAPTURA'!A49)</x:f>
      </x:c>
      <x:c r="B49" t="str">
        <x:f>IF(A49="","",'13_SUS_CAPTURA'!P49)</x:f>
      </x:c>
      <x:c r="C49" s="28" t="str">
        <x:f>IF(B49="VÁLIDO",'13_SUS_CAPTURA'!Q49,"")</x:f>
      </x:c>
      <x:c r="D49" t="str">
        <x:f>IF(A49="","",'13_SUS_CAPTURA'!R49)</x:f>
      </x:c>
    </x:row>
    <x:row r="50">
      <x:c r="A50" t="str">
        <x:f>IF('13_SUS_CAPTURA'!A50="","",'13_SUS_CAPTURA'!A50)</x:f>
      </x:c>
      <x:c r="B50" t="str">
        <x:f>IF(A50="","",'13_SUS_CAPTURA'!P50)</x:f>
      </x:c>
      <x:c r="C50" s="28" t="str">
        <x:f>IF(B50="VÁLIDO",'13_SUS_CAPTURA'!Q50,"")</x:f>
      </x:c>
      <x:c r="D50" t="str">
        <x:f>IF(A50="","",'13_SUS_CAPTURA'!R50)</x:f>
      </x:c>
    </x:row>
    <x:row r="51">
      <x:c r="A51" t="str">
        <x:f>IF('13_SUS_CAPTURA'!A51="","",'13_SUS_CAPTURA'!A51)</x:f>
      </x:c>
      <x:c r="B51" t="str">
        <x:f>IF(A51="","",'13_SUS_CAPTURA'!P51)</x:f>
      </x:c>
      <x:c r="C51" s="28" t="str">
        <x:f>IF(B51="VÁLIDO",'13_SUS_CAPTURA'!Q51,"")</x:f>
      </x:c>
      <x:c r="D51" t="str">
        <x:f>IF(A51="","",'13_SUS_CAPTURA'!R51)</x:f>
      </x:c>
    </x:row>
    <x:row r="52">
      <x:c r="A52" t="str">
        <x:f>IF('13_SUS_CAPTURA'!A52="","",'13_SUS_CAPTURA'!A52)</x:f>
      </x:c>
      <x:c r="B52" t="str">
        <x:f>IF(A52="","",'13_SUS_CAPTURA'!P52)</x:f>
      </x:c>
      <x:c r="C52" s="28" t="str">
        <x:f>IF(B52="VÁLIDO",'13_SUS_CAPTURA'!Q52,"")</x:f>
      </x:c>
      <x:c r="D52" t="str">
        <x:f>IF(A52="","",'13_SUS_CAPTURA'!R52)</x:f>
      </x:c>
    </x:row>
    <x:row r="53">
      <x:c r="A53" t="str">
        <x:f>IF('13_SUS_CAPTURA'!A53="","",'13_SUS_CAPTURA'!A53)</x:f>
      </x:c>
      <x:c r="B53" t="str">
        <x:f>IF(A53="","",'13_SUS_CAPTURA'!P53)</x:f>
      </x:c>
      <x:c r="C53" s="28" t="str">
        <x:f>IF(B53="VÁLIDO",'13_SUS_CAPTURA'!Q53,"")</x:f>
      </x:c>
      <x:c r="D53" t="str">
        <x:f>IF(A53="","",'13_SUS_CAPTURA'!R53)</x:f>
      </x:c>
    </x:row>
    <x:row r="54">
      <x:c r="A54" t="str">
        <x:f>IF('13_SUS_CAPTURA'!A54="","",'13_SUS_CAPTURA'!A54)</x:f>
      </x:c>
      <x:c r="B54" t="str">
        <x:f>IF(A54="","",'13_SUS_CAPTURA'!P54)</x:f>
      </x:c>
      <x:c r="C54" s="28" t="str">
        <x:f>IF(B54="VÁLIDO",'13_SUS_CAPTURA'!Q54,"")</x:f>
      </x:c>
      <x:c r="D54" t="str">
        <x:f>IF(A54="","",'13_SUS_CAPTURA'!R54)</x:f>
      </x:c>
    </x:row>
    <x:row r="55">
      <x:c r="A55" t="str">
        <x:f>IF('13_SUS_CAPTURA'!A55="","",'13_SUS_CAPTURA'!A55)</x:f>
      </x:c>
      <x:c r="B55" t="str">
        <x:f>IF(A55="","",'13_SUS_CAPTURA'!P55)</x:f>
      </x:c>
      <x:c r="C55" s="28" t="str">
        <x:f>IF(B55="VÁLIDO",'13_SUS_CAPTURA'!Q55,"")</x:f>
      </x:c>
      <x:c r="D55" t="str">
        <x:f>IF(A55="","",'13_SUS_CAPTURA'!R55)</x:f>
      </x:c>
    </x:row>
    <x:row r="56">
      <x:c r="A56" t="str">
        <x:f>IF('13_SUS_CAPTURA'!A56="","",'13_SUS_CAPTURA'!A56)</x:f>
      </x:c>
      <x:c r="B56" t="str">
        <x:f>IF(A56="","",'13_SUS_CAPTURA'!P56)</x:f>
      </x:c>
      <x:c r="C56" s="28" t="str">
        <x:f>IF(B56="VÁLIDO",'13_SUS_CAPTURA'!Q56,"")</x:f>
      </x:c>
      <x:c r="D56" t="str">
        <x:f>IF(A56="","",'13_SUS_CAPTURA'!R56)</x:f>
      </x:c>
    </x:row>
    <x:row r="57">
      <x:c r="A57" t="str">
        <x:f>IF('13_SUS_CAPTURA'!A57="","",'13_SUS_CAPTURA'!A57)</x:f>
      </x:c>
      <x:c r="B57" t="str">
        <x:f>IF(A57="","",'13_SUS_CAPTURA'!P57)</x:f>
      </x:c>
      <x:c r="C57" s="28" t="str">
        <x:f>IF(B57="VÁLIDO",'13_SUS_CAPTURA'!Q57,"")</x:f>
      </x:c>
      <x:c r="D57" t="str">
        <x:f>IF(A57="","",'13_SUS_CAPTURA'!R57)</x:f>
      </x:c>
    </x:row>
    <x:row r="58">
      <x:c r="A58" t="str">
        <x:f>IF('13_SUS_CAPTURA'!A58="","",'13_SUS_CAPTURA'!A58)</x:f>
      </x:c>
      <x:c r="B58" t="str">
        <x:f>IF(A58="","",'13_SUS_CAPTURA'!P58)</x:f>
      </x:c>
      <x:c r="C58" s="28" t="str">
        <x:f>IF(B58="VÁLIDO",'13_SUS_CAPTURA'!Q58,"")</x:f>
      </x:c>
      <x:c r="D58" t="str">
        <x:f>IF(A58="","",'13_SUS_CAPTURA'!R58)</x:f>
      </x:c>
    </x:row>
    <x:row r="59">
      <x:c r="A59" t="str">
        <x:f>IF('13_SUS_CAPTURA'!A59="","",'13_SUS_CAPTURA'!A59)</x:f>
      </x:c>
      <x:c r="B59" t="str">
        <x:f>IF(A59="","",'13_SUS_CAPTURA'!P59)</x:f>
      </x:c>
      <x:c r="C59" s="28" t="str">
        <x:f>IF(B59="VÁLIDO",'13_SUS_CAPTURA'!Q59,"")</x:f>
      </x:c>
      <x:c r="D59" t="str">
        <x:f>IF(A59="","",'13_SUS_CAPTURA'!R59)</x:f>
      </x:c>
    </x:row>
    <x:row r="60">
      <x:c r="A60" t="str">
        <x:f>IF('13_SUS_CAPTURA'!A60="","",'13_SUS_CAPTURA'!A60)</x:f>
      </x:c>
      <x:c r="B60" t="str">
        <x:f>IF(A60="","",'13_SUS_CAPTURA'!P60)</x:f>
      </x:c>
      <x:c r="C60" s="28" t="str">
        <x:f>IF(B60="VÁLIDO",'13_SUS_CAPTURA'!Q60,"")</x:f>
      </x:c>
      <x:c r="D60" t="str">
        <x:f>IF(A60="","",'13_SUS_CAPTURA'!R60)</x:f>
      </x:c>
    </x:row>
    <x:row r="61">
      <x:c r="A61" t="str">
        <x:f>IF('13_SUS_CAPTURA'!A61="","",'13_SUS_CAPTURA'!A61)</x:f>
      </x:c>
      <x:c r="B61" t="str">
        <x:f>IF(A61="","",'13_SUS_CAPTURA'!P61)</x:f>
      </x:c>
      <x:c r="C61" s="28" t="str">
        <x:f>IF(B61="VÁLIDO",'13_SUS_CAPTURA'!Q61,"")</x:f>
      </x:c>
      <x:c r="D61" t="str">
        <x:f>IF(A61="","",'13_SUS_CAPTURA'!R61)</x:f>
      </x:c>
    </x:row>
    <x:row r="62">
      <x:c r="A62" t="str">
        <x:f>IF('13_SUS_CAPTURA'!A62="","",'13_SUS_CAPTURA'!A62)</x:f>
      </x:c>
      <x:c r="B62" t="str">
        <x:f>IF(A62="","",'13_SUS_CAPTURA'!P62)</x:f>
      </x:c>
      <x:c r="C62" s="28" t="str">
        <x:f>IF(B62="VÁLIDO",'13_SUS_CAPTURA'!Q62,"")</x:f>
      </x:c>
      <x:c r="D62" t="str">
        <x:f>IF(A62="","",'13_SUS_CAPTURA'!R62)</x:f>
      </x:c>
    </x:row>
    <x:row r="63">
      <x:c r="A63" t="str">
        <x:f>IF('13_SUS_CAPTURA'!A63="","",'13_SUS_CAPTURA'!A63)</x:f>
      </x:c>
      <x:c r="B63" t="str">
        <x:f>IF(A63="","",'13_SUS_CAPTURA'!P63)</x:f>
      </x:c>
      <x:c r="C63" s="28" t="str">
        <x:f>IF(B63="VÁLIDO",'13_SUS_CAPTURA'!Q63,"")</x:f>
      </x:c>
      <x:c r="D63" t="str">
        <x:f>IF(A63="","",'13_SUS_CAPTURA'!R63)</x:f>
      </x:c>
    </x:row>
    <x:row r="64">
      <x:c r="A64" t="str">
        <x:f>IF('13_SUS_CAPTURA'!A64="","",'13_SUS_CAPTURA'!A64)</x:f>
      </x:c>
      <x:c r="B64" t="str">
        <x:f>IF(A64="","",'13_SUS_CAPTURA'!P64)</x:f>
      </x:c>
      <x:c r="C64" s="28" t="str">
        <x:f>IF(B64="VÁLIDO",'13_SUS_CAPTURA'!Q64,"")</x:f>
      </x:c>
      <x:c r="D64" t="str">
        <x:f>IF(A64="","",'13_SUS_CAPTURA'!R64)</x:f>
      </x:c>
    </x:row>
    <x:row r="65">
      <x:c r="A65" t="str">
        <x:f>IF('13_SUS_CAPTURA'!A65="","",'13_SUS_CAPTURA'!A65)</x:f>
      </x:c>
      <x:c r="B65" t="str">
        <x:f>IF(A65="","",'13_SUS_CAPTURA'!P65)</x:f>
      </x:c>
      <x:c r="C65" s="28" t="str">
        <x:f>IF(B65="VÁLIDO",'13_SUS_CAPTURA'!Q65,"")</x:f>
      </x:c>
      <x:c r="D65" t="str">
        <x:f>IF(A65="","",'13_SUS_CAPTURA'!R65)</x:f>
      </x:c>
    </x:row>
    <x:row r="66">
      <x:c r="A66" t="str">
        <x:f>IF('13_SUS_CAPTURA'!A66="","",'13_SUS_CAPTURA'!A66)</x:f>
      </x:c>
      <x:c r="B66" t="str">
        <x:f>IF(A66="","",'13_SUS_CAPTURA'!P66)</x:f>
      </x:c>
      <x:c r="C66" s="28" t="str">
        <x:f>IF(B66="VÁLIDO",'13_SUS_CAPTURA'!Q66,"")</x:f>
      </x:c>
      <x:c r="D66" t="str">
        <x:f>IF(A66="","",'13_SUS_CAPTURA'!R66)</x:f>
      </x:c>
    </x:row>
    <x:row r="67">
      <x:c r="A67" t="str">
        <x:f>IF('13_SUS_CAPTURA'!A67="","",'13_SUS_CAPTURA'!A67)</x:f>
      </x:c>
      <x:c r="B67" t="str">
        <x:f>IF(A67="","",'13_SUS_CAPTURA'!P67)</x:f>
      </x:c>
      <x:c r="C67" s="28" t="str">
        <x:f>IF(B67="VÁLIDO",'13_SUS_CAPTURA'!Q67,"")</x:f>
      </x:c>
      <x:c r="D67" t="str">
        <x:f>IF(A67="","",'13_SUS_CAPTURA'!R67)</x:f>
      </x:c>
    </x:row>
    <x:row r="68">
      <x:c r="A68" t="str">
        <x:f>IF('13_SUS_CAPTURA'!A68="","",'13_SUS_CAPTURA'!A68)</x:f>
      </x:c>
      <x:c r="B68" t="str">
        <x:f>IF(A68="","",'13_SUS_CAPTURA'!P68)</x:f>
      </x:c>
      <x:c r="C68" s="28" t="str">
        <x:f>IF(B68="VÁLIDO",'13_SUS_CAPTURA'!Q68,"")</x:f>
      </x:c>
      <x:c r="D68" t="str">
        <x:f>IF(A68="","",'13_SUS_CAPTURA'!R68)</x:f>
      </x:c>
    </x:row>
    <x:row r="69">
      <x:c r="A69" t="str">
        <x:f>IF('13_SUS_CAPTURA'!A69="","",'13_SUS_CAPTURA'!A69)</x:f>
      </x:c>
      <x:c r="B69" t="str">
        <x:f>IF(A69="","",'13_SUS_CAPTURA'!P69)</x:f>
      </x:c>
      <x:c r="C69" s="28" t="str">
        <x:f>IF(B69="VÁLIDO",'13_SUS_CAPTURA'!Q69,"")</x:f>
      </x:c>
      <x:c r="D69" t="str">
        <x:f>IF(A69="","",'13_SUS_CAPTURA'!R69)</x:f>
      </x:c>
    </x:row>
    <x:row r="70">
      <x:c r="A70" t="str">
        <x:f>IF('13_SUS_CAPTURA'!A70="","",'13_SUS_CAPTURA'!A70)</x:f>
      </x:c>
      <x:c r="B70" t="str">
        <x:f>IF(A70="","",'13_SUS_CAPTURA'!P70)</x:f>
      </x:c>
      <x:c r="C70" s="28" t="str">
        <x:f>IF(B70="VÁLIDO",'13_SUS_CAPTURA'!Q70,"")</x:f>
      </x:c>
      <x:c r="D70" t="str">
        <x:f>IF(A70="","",'13_SUS_CAPTURA'!R70)</x:f>
      </x:c>
    </x:row>
    <x:row r="71">
      <x:c r="A71" t="str">
        <x:f>IF('13_SUS_CAPTURA'!A71="","",'13_SUS_CAPTURA'!A71)</x:f>
      </x:c>
      <x:c r="B71" t="str">
        <x:f>IF(A71="","",'13_SUS_CAPTURA'!P71)</x:f>
      </x:c>
      <x:c r="C71" s="28" t="str">
        <x:f>IF(B71="VÁLIDO",'13_SUS_CAPTURA'!Q71,"")</x:f>
      </x:c>
      <x:c r="D71" t="str">
        <x:f>IF(A71="","",'13_SUS_CAPTURA'!R71)</x:f>
      </x:c>
    </x:row>
    <x:row r="72">
      <x:c r="A72" t="str">
        <x:f>IF('13_SUS_CAPTURA'!A72="","",'13_SUS_CAPTURA'!A72)</x:f>
      </x:c>
      <x:c r="B72" t="str">
        <x:f>IF(A72="","",'13_SUS_CAPTURA'!P72)</x:f>
      </x:c>
      <x:c r="C72" s="28" t="str">
        <x:f>IF(B72="VÁLIDO",'13_SUS_CAPTURA'!Q72,"")</x:f>
      </x:c>
      <x:c r="D72" t="str">
        <x:f>IF(A72="","",'13_SUS_CAPTURA'!R72)</x:f>
      </x:c>
    </x:row>
    <x:row r="73">
      <x:c r="A73" t="str">
        <x:f>IF('13_SUS_CAPTURA'!A73="","",'13_SUS_CAPTURA'!A73)</x:f>
      </x:c>
      <x:c r="B73" t="str">
        <x:f>IF(A73="","",'13_SUS_CAPTURA'!P73)</x:f>
      </x:c>
      <x:c r="C73" s="28" t="str">
        <x:f>IF(B73="VÁLIDO",'13_SUS_CAPTURA'!Q73,"")</x:f>
      </x:c>
      <x:c r="D73" t="str">
        <x:f>IF(A73="","",'13_SUS_CAPTURA'!R73)</x:f>
      </x:c>
    </x:row>
    <x:row r="74">
      <x:c r="A74" t="str">
        <x:f>IF('13_SUS_CAPTURA'!A74="","",'13_SUS_CAPTURA'!A74)</x:f>
      </x:c>
      <x:c r="B74" t="str">
        <x:f>IF(A74="","",'13_SUS_CAPTURA'!P74)</x:f>
      </x:c>
      <x:c r="C74" s="28" t="str">
        <x:f>IF(B74="VÁLIDO",'13_SUS_CAPTURA'!Q74,"")</x:f>
      </x:c>
      <x:c r="D74" t="str">
        <x:f>IF(A74="","",'13_SUS_CAPTURA'!R74)</x:f>
      </x:c>
    </x:row>
    <x:row r="75">
      <x:c r="A75" t="str">
        <x:f>IF('13_SUS_CAPTURA'!A75="","",'13_SUS_CAPTURA'!A75)</x:f>
      </x:c>
      <x:c r="B75" t="str">
        <x:f>IF(A75="","",'13_SUS_CAPTURA'!P75)</x:f>
      </x:c>
      <x:c r="C75" s="28" t="str">
        <x:f>IF(B75="VÁLIDO",'13_SUS_CAPTURA'!Q75,"")</x:f>
      </x:c>
      <x:c r="D75" t="str">
        <x:f>IF(A75="","",'13_SUS_CAPTURA'!R75)</x:f>
      </x:c>
    </x:row>
    <x:row r="76">
      <x:c r="A76" t="str">
        <x:f>IF('13_SUS_CAPTURA'!A76="","",'13_SUS_CAPTURA'!A76)</x:f>
      </x:c>
      <x:c r="B76" t="str">
        <x:f>IF(A76="","",'13_SUS_CAPTURA'!P76)</x:f>
      </x:c>
      <x:c r="C76" s="28" t="str">
        <x:f>IF(B76="VÁLIDO",'13_SUS_CAPTURA'!Q76,"")</x:f>
      </x:c>
      <x:c r="D76" t="str">
        <x:f>IF(A76="","",'13_SUS_CAPTURA'!R76)</x:f>
      </x:c>
    </x:row>
    <x:row r="77">
      <x:c r="A77" t="str">
        <x:f>IF('13_SUS_CAPTURA'!A77="","",'13_SUS_CAPTURA'!A77)</x:f>
      </x:c>
      <x:c r="B77" t="str">
        <x:f>IF(A77="","",'13_SUS_CAPTURA'!P77)</x:f>
      </x:c>
      <x:c r="C77" s="28" t="str">
        <x:f>IF(B77="VÁLIDO",'13_SUS_CAPTURA'!Q77,"")</x:f>
      </x:c>
      <x:c r="D77" t="str">
        <x:f>IF(A77="","",'13_SUS_CAPTURA'!R77)</x:f>
      </x:c>
    </x:row>
    <x:row r="78">
      <x:c r="A78" t="str">
        <x:f>IF('13_SUS_CAPTURA'!A78="","",'13_SUS_CAPTURA'!A78)</x:f>
      </x:c>
      <x:c r="B78" t="str">
        <x:f>IF(A78="","",'13_SUS_CAPTURA'!P78)</x:f>
      </x:c>
      <x:c r="C78" s="28" t="str">
        <x:f>IF(B78="VÁLIDO",'13_SUS_CAPTURA'!Q78,"")</x:f>
      </x:c>
      <x:c r="D78" t="str">
        <x:f>IF(A78="","",'13_SUS_CAPTURA'!R78)</x:f>
      </x:c>
    </x:row>
    <x:row r="79">
      <x:c r="A79" t="str">
        <x:f>IF('13_SUS_CAPTURA'!A79="","",'13_SUS_CAPTURA'!A79)</x:f>
      </x:c>
      <x:c r="B79" t="str">
        <x:f>IF(A79="","",'13_SUS_CAPTURA'!P79)</x:f>
      </x:c>
      <x:c r="C79" s="28" t="str">
        <x:f>IF(B79="VÁLIDO",'13_SUS_CAPTURA'!Q79,"")</x:f>
      </x:c>
      <x:c r="D79" t="str">
        <x:f>IF(A79="","",'13_SUS_CAPTURA'!R79)</x:f>
      </x:c>
    </x:row>
    <x:row r="80">
      <x:c r="A80" t="str">
        <x:f>IF('13_SUS_CAPTURA'!A80="","",'13_SUS_CAPTURA'!A80)</x:f>
      </x:c>
      <x:c r="B80" t="str">
        <x:f>IF(A80="","",'13_SUS_CAPTURA'!P80)</x:f>
      </x:c>
      <x:c r="C80" s="28" t="str">
        <x:f>IF(B80="VÁLIDO",'13_SUS_CAPTURA'!Q80,"")</x:f>
      </x:c>
      <x:c r="D80" t="str">
        <x:f>IF(A80="","",'13_SUS_CAPTURA'!R80)</x:f>
      </x:c>
    </x:row>
    <x:row r="81">
      <x:c r="A81" t="str">
        <x:f>IF('13_SUS_CAPTURA'!A81="","",'13_SUS_CAPTURA'!A81)</x:f>
      </x:c>
      <x:c r="B81" t="str">
        <x:f>IF(A81="","",'13_SUS_CAPTURA'!P81)</x:f>
      </x:c>
      <x:c r="C81" s="28" t="str">
        <x:f>IF(B81="VÁLIDO",'13_SUS_CAPTURA'!Q81,"")</x:f>
      </x:c>
      <x:c r="D81" t="str">
        <x:f>IF(A81="","",'13_SUS_CAPTURA'!R81)</x:f>
      </x:c>
    </x:row>
    <x:row r="82">
      <x:c r="A82" t="str">
        <x:f>IF('13_SUS_CAPTURA'!A82="","",'13_SUS_CAPTURA'!A82)</x:f>
      </x:c>
      <x:c r="B82" t="str">
        <x:f>IF(A82="","",'13_SUS_CAPTURA'!P82)</x:f>
      </x:c>
      <x:c r="C82" s="28" t="str">
        <x:f>IF(B82="VÁLIDO",'13_SUS_CAPTURA'!Q82,"")</x:f>
      </x:c>
      <x:c r="D82" t="str">
        <x:f>IF(A82="","",'13_SUS_CAPTURA'!R82)</x:f>
      </x:c>
    </x:row>
    <x:row r="83">
      <x:c r="A83" t="str">
        <x:f>IF('13_SUS_CAPTURA'!A83="","",'13_SUS_CAPTURA'!A83)</x:f>
      </x:c>
      <x:c r="B83" t="str">
        <x:f>IF(A83="","",'13_SUS_CAPTURA'!P83)</x:f>
      </x:c>
      <x:c r="C83" s="28" t="str">
        <x:f>IF(B83="VÁLIDO",'13_SUS_CAPTURA'!Q83,"")</x:f>
      </x:c>
      <x:c r="D83" t="str">
        <x:f>IF(A83="","",'13_SUS_CAPTURA'!R83)</x:f>
      </x:c>
    </x:row>
    <x:row r="84">
      <x:c r="A84" t="str">
        <x:f>IF('13_SUS_CAPTURA'!A84="","",'13_SUS_CAPTURA'!A84)</x:f>
      </x:c>
      <x:c r="B84" t="str">
        <x:f>IF(A84="","",'13_SUS_CAPTURA'!P84)</x:f>
      </x:c>
      <x:c r="C84" s="28" t="str">
        <x:f>IF(B84="VÁLIDO",'13_SUS_CAPTURA'!Q84,"")</x:f>
      </x:c>
      <x:c r="D84" t="str">
        <x:f>IF(A84="","",'13_SUS_CAPTURA'!R84)</x:f>
      </x:c>
    </x:row>
    <x:row r="85">
      <x:c r="A85" t="str">
        <x:f>IF('13_SUS_CAPTURA'!A85="","",'13_SUS_CAPTURA'!A85)</x:f>
      </x:c>
      <x:c r="B85" t="str">
        <x:f>IF(A85="","",'13_SUS_CAPTURA'!P85)</x:f>
      </x:c>
      <x:c r="C85" s="28" t="str">
        <x:f>IF(B85="VÁLIDO",'13_SUS_CAPTURA'!Q85,"")</x:f>
      </x:c>
      <x:c r="D85" t="str">
        <x:f>IF(A85="","",'13_SUS_CAPTURA'!R85)</x:f>
      </x:c>
    </x:row>
    <x:row r="86">
      <x:c r="A86" t="str">
        <x:f>IF('13_SUS_CAPTURA'!A86="","",'13_SUS_CAPTURA'!A86)</x:f>
      </x:c>
      <x:c r="B86" t="str">
        <x:f>IF(A86="","",'13_SUS_CAPTURA'!P86)</x:f>
      </x:c>
      <x:c r="C86" s="28" t="str">
        <x:f>IF(B86="VÁLIDO",'13_SUS_CAPTURA'!Q86,"")</x:f>
      </x:c>
      <x:c r="D86" t="str">
        <x:f>IF(A86="","",'13_SUS_CAPTURA'!R86)</x:f>
      </x:c>
    </x:row>
    <x:row r="87">
      <x:c r="A87" t="str">
        <x:f>IF('13_SUS_CAPTURA'!A87="","",'13_SUS_CAPTURA'!A87)</x:f>
      </x:c>
      <x:c r="B87" t="str">
        <x:f>IF(A87="","",'13_SUS_CAPTURA'!P87)</x:f>
      </x:c>
      <x:c r="C87" s="28" t="str">
        <x:f>IF(B87="VÁLIDO",'13_SUS_CAPTURA'!Q87,"")</x:f>
      </x:c>
      <x:c r="D87" t="str">
        <x:f>IF(A87="","",'13_SUS_CAPTURA'!R87)</x:f>
      </x:c>
    </x:row>
    <x:row r="88">
      <x:c r="A88" t="str">
        <x:f>IF('13_SUS_CAPTURA'!A88="","",'13_SUS_CAPTURA'!A88)</x:f>
      </x:c>
      <x:c r="B88" t="str">
        <x:f>IF(A88="","",'13_SUS_CAPTURA'!P88)</x:f>
      </x:c>
      <x:c r="C88" s="28" t="str">
        <x:f>IF(B88="VÁLIDO",'13_SUS_CAPTURA'!Q88,"")</x:f>
      </x:c>
      <x:c r="D88" t="str">
        <x:f>IF(A88="","",'13_SUS_CAPTURA'!R88)</x:f>
      </x:c>
    </x:row>
    <x:row r="89">
      <x:c r="A89" t="str">
        <x:f>IF('13_SUS_CAPTURA'!A89="","",'13_SUS_CAPTURA'!A89)</x:f>
      </x:c>
      <x:c r="B89" t="str">
        <x:f>IF(A89="","",'13_SUS_CAPTURA'!P89)</x:f>
      </x:c>
      <x:c r="C89" s="28" t="str">
        <x:f>IF(B89="VÁLIDO",'13_SUS_CAPTURA'!Q89,"")</x:f>
      </x:c>
      <x:c r="D89" t="str">
        <x:f>IF(A89="","",'13_SUS_CAPTURA'!R89)</x:f>
      </x:c>
    </x:row>
    <x:row r="90">
      <x:c r="A90" t="str">
        <x:f>IF('13_SUS_CAPTURA'!A90="","",'13_SUS_CAPTURA'!A90)</x:f>
      </x:c>
      <x:c r="B90" t="str">
        <x:f>IF(A90="","",'13_SUS_CAPTURA'!P90)</x:f>
      </x:c>
      <x:c r="C90" s="28" t="str">
        <x:f>IF(B90="VÁLIDO",'13_SUS_CAPTURA'!Q90,"")</x:f>
      </x:c>
      <x:c r="D90" t="str">
        <x:f>IF(A90="","",'13_SUS_CAPTURA'!R90)</x:f>
      </x:c>
    </x:row>
    <x:row r="91">
      <x:c r="A91" t="str">
        <x:f>IF('13_SUS_CAPTURA'!A91="","",'13_SUS_CAPTURA'!A91)</x:f>
      </x:c>
      <x:c r="B91" t="str">
        <x:f>IF(A91="","",'13_SUS_CAPTURA'!P91)</x:f>
      </x:c>
      <x:c r="C91" s="28" t="str">
        <x:f>IF(B91="VÁLIDO",'13_SUS_CAPTURA'!Q91,"")</x:f>
      </x:c>
      <x:c r="D91" t="str">
        <x:f>IF(A91="","",'13_SUS_CAPTURA'!R91)</x:f>
      </x:c>
    </x:row>
    <x:row r="92">
      <x:c r="A92" t="str">
        <x:f>IF('13_SUS_CAPTURA'!A92="","",'13_SUS_CAPTURA'!A92)</x:f>
      </x:c>
      <x:c r="B92" t="str">
        <x:f>IF(A92="","",'13_SUS_CAPTURA'!P92)</x:f>
      </x:c>
      <x:c r="C92" s="28" t="str">
        <x:f>IF(B92="VÁLIDO",'13_SUS_CAPTURA'!Q92,"")</x:f>
      </x:c>
      <x:c r="D92" t="str">
        <x:f>IF(A92="","",'13_SUS_CAPTURA'!R92)</x:f>
      </x:c>
    </x:row>
    <x:row r="93">
      <x:c r="A93" t="str">
        <x:f>IF('13_SUS_CAPTURA'!A93="","",'13_SUS_CAPTURA'!A93)</x:f>
      </x:c>
      <x:c r="B93" t="str">
        <x:f>IF(A93="","",'13_SUS_CAPTURA'!P93)</x:f>
      </x:c>
      <x:c r="C93" s="28" t="str">
        <x:f>IF(B93="VÁLIDO",'13_SUS_CAPTURA'!Q93,"")</x:f>
      </x:c>
      <x:c r="D93" t="str">
        <x:f>IF(A93="","",'13_SUS_CAPTURA'!R93)</x:f>
      </x:c>
    </x:row>
    <x:row r="94">
      <x:c r="A94" t="str">
        <x:f>IF('13_SUS_CAPTURA'!A94="","",'13_SUS_CAPTURA'!A94)</x:f>
      </x:c>
      <x:c r="B94" t="str">
        <x:f>IF(A94="","",'13_SUS_CAPTURA'!P94)</x:f>
      </x:c>
      <x:c r="C94" s="28" t="str">
        <x:f>IF(B94="VÁLIDO",'13_SUS_CAPTURA'!Q94,"")</x:f>
      </x:c>
      <x:c r="D94" t="str">
        <x:f>IF(A94="","",'13_SUS_CAPTURA'!R94)</x:f>
      </x:c>
    </x:row>
    <x:row r="95">
      <x:c r="A95" t="str">
        <x:f>IF('13_SUS_CAPTURA'!A95="","",'13_SUS_CAPTURA'!A95)</x:f>
      </x:c>
      <x:c r="B95" t="str">
        <x:f>IF(A95="","",'13_SUS_CAPTURA'!P95)</x:f>
      </x:c>
      <x:c r="C95" s="28" t="str">
        <x:f>IF(B95="VÁLIDO",'13_SUS_CAPTURA'!Q95,"")</x:f>
      </x:c>
      <x:c r="D95" t="str">
        <x:f>IF(A95="","",'13_SUS_CAPTURA'!R95)</x:f>
      </x:c>
    </x:row>
    <x:row r="96">
      <x:c r="A96" t="str">
        <x:f>IF('13_SUS_CAPTURA'!A96="","",'13_SUS_CAPTURA'!A96)</x:f>
      </x:c>
      <x:c r="B96" t="str">
        <x:f>IF(A96="","",'13_SUS_CAPTURA'!P96)</x:f>
      </x:c>
      <x:c r="C96" s="28" t="str">
        <x:f>IF(B96="VÁLIDO",'13_SUS_CAPTURA'!Q96,"")</x:f>
      </x:c>
      <x:c r="D96" t="str">
        <x:f>IF(A96="","",'13_SUS_CAPTURA'!R96)</x:f>
      </x:c>
    </x:row>
    <x:row r="97">
      <x:c r="A97" t="str">
        <x:f>IF('13_SUS_CAPTURA'!A97="","",'13_SUS_CAPTURA'!A97)</x:f>
      </x:c>
      <x:c r="B97" t="str">
        <x:f>IF(A97="","",'13_SUS_CAPTURA'!P97)</x:f>
      </x:c>
      <x:c r="C97" s="28" t="str">
        <x:f>IF(B97="VÁLIDO",'13_SUS_CAPTURA'!Q97,"")</x:f>
      </x:c>
      <x:c r="D97" t="str">
        <x:f>IF(A97="","",'13_SUS_CAPTURA'!R97)</x:f>
      </x:c>
    </x:row>
    <x:row r="98">
      <x:c r="A98" t="str">
        <x:f>IF('13_SUS_CAPTURA'!A98="","",'13_SUS_CAPTURA'!A98)</x:f>
      </x:c>
      <x:c r="B98" t="str">
        <x:f>IF(A98="","",'13_SUS_CAPTURA'!P98)</x:f>
      </x:c>
      <x:c r="C98" s="28" t="str">
        <x:f>IF(B98="VÁLIDO",'13_SUS_CAPTURA'!Q98,"")</x:f>
      </x:c>
      <x:c r="D98" t="str">
        <x:f>IF(A98="","",'13_SUS_CAPTURA'!R98)</x:f>
      </x:c>
    </x:row>
    <x:row r="99">
      <x:c r="A99" t="str">
        <x:f>IF('13_SUS_CAPTURA'!A99="","",'13_SUS_CAPTURA'!A99)</x:f>
      </x:c>
      <x:c r="B99" t="str">
        <x:f>IF(A99="","",'13_SUS_CAPTURA'!P99)</x:f>
      </x:c>
      <x:c r="C99" s="28" t="str">
        <x:f>IF(B99="VÁLIDO",'13_SUS_CAPTURA'!Q99,"")</x:f>
      </x:c>
      <x:c r="D99" t="str">
        <x:f>IF(A99="","",'13_SUS_CAPTURA'!R99)</x:f>
      </x:c>
    </x:row>
    <x:row r="100">
      <x:c r="A100" t="str">
        <x:f>IF('13_SUS_CAPTURA'!A100="","",'13_SUS_CAPTURA'!A100)</x:f>
      </x:c>
      <x:c r="B100" t="str">
        <x:f>IF(A100="","",'13_SUS_CAPTURA'!P100)</x:f>
      </x:c>
      <x:c r="C100" s="28" t="str">
        <x:f>IF(B100="VÁLIDO",'13_SUS_CAPTURA'!Q100,"")</x:f>
      </x:c>
      <x:c r="D100" t="str">
        <x:f>IF(A100="","",'13_SUS_CAPTURA'!R100)</x:f>
      </x:c>
    </x:row>
    <x:row r="101">
      <x:c r="A101" t="str">
        <x:f>IF('13_SUS_CAPTURA'!A101="","",'13_SUS_CAPTURA'!A101)</x:f>
      </x:c>
      <x:c r="B101" t="str">
        <x:f>IF(A101="","",'13_SUS_CAPTURA'!P101)</x:f>
      </x:c>
      <x:c r="C101" s="28" t="str">
        <x:f>IF(B101="VÁLIDO",'13_SUS_CAPTURA'!Q101,"")</x:f>
      </x:c>
      <x:c r="D101" t="str">
        <x:f>IF(A101="","",'13_SUS_CAPTURA'!R101)</x:f>
      </x:c>
    </x:row>
    <x:row r="102">
      <x:c r="A102" t="str">
        <x:f>IF('13_SUS_CAPTURA'!A102="","",'13_SUS_CAPTURA'!A102)</x:f>
      </x:c>
      <x:c r="B102" t="str">
        <x:f>IF(A102="","",'13_SUS_CAPTURA'!P102)</x:f>
      </x:c>
      <x:c r="C102" s="28" t="str">
        <x:f>IF(B102="VÁLIDO",'13_SUS_CAPTURA'!Q102,"")</x:f>
      </x:c>
      <x:c r="D102" t="str">
        <x:f>IF(A102="","",'13_SUS_CAPTURA'!R102)</x:f>
      </x:c>
    </x:row>
    <x:row r="103">
      <x:c r="A103" t="str">
        <x:f>IF('13_SUS_CAPTURA'!A103="","",'13_SUS_CAPTURA'!A103)</x:f>
      </x:c>
      <x:c r="B103" t="str">
        <x:f>IF(A103="","",'13_SUS_CAPTURA'!P103)</x:f>
      </x:c>
      <x:c r="C103" s="28" t="str">
        <x:f>IF(B103="VÁLIDO",'13_SUS_CAPTURA'!Q103,"")</x:f>
      </x:c>
      <x:c r="D103" t="str">
        <x:f>IF(A103="","",'13_SUS_CAPTURA'!R103)</x:f>
      </x:c>
    </x:row>
    <x:row r="104">
      <x:c r="A104" t="str">
        <x:f>IF('13_SUS_CAPTURA'!A104="","",'13_SUS_CAPTURA'!A104)</x:f>
      </x:c>
      <x:c r="B104" t="str">
        <x:f>IF(A104="","",'13_SUS_CAPTURA'!P104)</x:f>
      </x:c>
      <x:c r="C104" s="28" t="str">
        <x:f>IF(B104="VÁLIDO",'13_SUS_CAPTURA'!Q104,"")</x:f>
      </x:c>
      <x:c r="D104" t="str">
        <x:f>IF(A104="","",'13_SUS_CAPTURA'!R104)</x:f>
      </x:c>
    </x:row>
    <x:row r="105">
      <x:c r="A105" t="str">
        <x:f>IF('13_SUS_CAPTURA'!A105="","",'13_SUS_CAPTURA'!A105)</x:f>
      </x:c>
      <x:c r="B105" t="str">
        <x:f>IF(A105="","",'13_SUS_CAPTURA'!P105)</x:f>
      </x:c>
      <x:c r="C105" s="28" t="str">
        <x:f>IF(B105="VÁLIDO",'13_SUS_CAPTURA'!Q105,"")</x:f>
      </x:c>
      <x:c r="D105" t="str">
        <x:f>IF(A105="","",'13_SUS_CAPTURA'!R105)</x:f>
      </x:c>
    </x:row>
    <x:row r="106">
      <x:c r="A106" t="str">
        <x:f>IF('13_SUS_CAPTURA'!A106="","",'13_SUS_CAPTURA'!A106)</x:f>
      </x:c>
      <x:c r="B106" t="str">
        <x:f>IF(A106="","",'13_SUS_CAPTURA'!P106)</x:f>
      </x:c>
      <x:c r="C106" s="28" t="str">
        <x:f>IF(B106="VÁLIDO",'13_SUS_CAPTURA'!Q106,"")</x:f>
      </x:c>
      <x:c r="D106" t="str">
        <x:f>IF(A106="","",'13_SUS_CAPTURA'!R106)</x:f>
      </x:c>
    </x:row>
    <x:row r="107">
      <x:c r="A107" t="str">
        <x:f>IF('13_SUS_CAPTURA'!A107="","",'13_SUS_CAPTURA'!A107)</x:f>
      </x:c>
      <x:c r="B107" t="str">
        <x:f>IF(A107="","",'13_SUS_CAPTURA'!P107)</x:f>
      </x:c>
      <x:c r="C107" s="28" t="str">
        <x:f>IF(B107="VÁLIDO",'13_SUS_CAPTURA'!Q107,"")</x:f>
      </x:c>
      <x:c r="D107" t="str">
        <x:f>IF(A107="","",'13_SUS_CAPTURA'!R107)</x:f>
      </x:c>
    </x:row>
    <x:row r="108">
      <x:c r="A108" t="str">
        <x:f>IF('13_SUS_CAPTURA'!A108="","",'13_SUS_CAPTURA'!A108)</x:f>
      </x:c>
      <x:c r="B108" t="str">
        <x:f>IF(A108="","",'13_SUS_CAPTURA'!P108)</x:f>
      </x:c>
      <x:c r="C108" s="28" t="str">
        <x:f>IF(B108="VÁLIDO",'13_SUS_CAPTURA'!Q108,"")</x:f>
      </x:c>
      <x:c r="D108" t="str">
        <x:f>IF(A108="","",'13_SUS_CAPTURA'!R108)</x:f>
      </x:c>
    </x:row>
    <x:row r="109">
      <x:c r="A109" t="str">
        <x:f>IF('13_SUS_CAPTURA'!A109="","",'13_SUS_CAPTURA'!A109)</x:f>
      </x:c>
      <x:c r="B109" t="str">
        <x:f>IF(A109="","",'13_SUS_CAPTURA'!P109)</x:f>
      </x:c>
      <x:c r="C109" s="28" t="str">
        <x:f>IF(B109="VÁLIDO",'13_SUS_CAPTURA'!Q109,"")</x:f>
      </x:c>
      <x:c r="D109" t="str">
        <x:f>IF(A109="","",'13_SUS_CAPTURA'!R109)</x:f>
      </x:c>
    </x:row>
    <x:row r="110">
      <x:c r="A110" t="str">
        <x:f>IF('13_SUS_CAPTURA'!A110="","",'13_SUS_CAPTURA'!A110)</x:f>
      </x:c>
      <x:c r="B110" t="str">
        <x:f>IF(A110="","",'13_SUS_CAPTURA'!P110)</x:f>
      </x:c>
      <x:c r="C110" s="28" t="str">
        <x:f>IF(B110="VÁLIDO",'13_SUS_CAPTURA'!Q110,"")</x:f>
      </x:c>
      <x:c r="D110" t="str">
        <x:f>IF(A110="","",'13_SUS_CAPTURA'!R110)</x:f>
      </x:c>
    </x:row>
    <x:row r="111">
      <x:c r="A111" t="str">
        <x:f>IF('13_SUS_CAPTURA'!A111="","",'13_SUS_CAPTURA'!A111)</x:f>
      </x:c>
      <x:c r="B111" t="str">
        <x:f>IF(A111="","",'13_SUS_CAPTURA'!P111)</x:f>
      </x:c>
      <x:c r="C111" s="28" t="str">
        <x:f>IF(B111="VÁLIDO",'13_SUS_CAPTURA'!Q111,"")</x:f>
      </x:c>
      <x:c r="D111" t="str">
        <x:f>IF(A111="","",'13_SUS_CAPTURA'!R111)</x:f>
      </x:c>
    </x:row>
    <x:row r="112">
      <x:c r="A112" t="str">
        <x:f>IF('13_SUS_CAPTURA'!A112="","",'13_SUS_CAPTURA'!A112)</x:f>
      </x:c>
      <x:c r="B112" t="str">
        <x:f>IF(A112="","",'13_SUS_CAPTURA'!P112)</x:f>
      </x:c>
      <x:c r="C112" s="28" t="str">
        <x:f>IF(B112="VÁLIDO",'13_SUS_CAPTURA'!Q112,"")</x:f>
      </x:c>
      <x:c r="D112" t="str">
        <x:f>IF(A112="","",'13_SUS_CAPTURA'!R112)</x:f>
      </x:c>
    </x:row>
    <x:row r="113">
      <x:c r="A113" t="str">
        <x:f>IF('13_SUS_CAPTURA'!A113="","",'13_SUS_CAPTURA'!A113)</x:f>
      </x:c>
      <x:c r="B113" t="str">
        <x:f>IF(A113="","",'13_SUS_CAPTURA'!P113)</x:f>
      </x:c>
      <x:c r="C113" s="28" t="str">
        <x:f>IF(B113="VÁLIDO",'13_SUS_CAPTURA'!Q113,"")</x:f>
      </x:c>
      <x:c r="D113" t="str">
        <x:f>IF(A113="","",'13_SUS_CAPTURA'!R113)</x:f>
      </x:c>
    </x:row>
    <x:row r="114">
      <x:c r="A114" t="str">
        <x:f>IF('13_SUS_CAPTURA'!A114="","",'13_SUS_CAPTURA'!A114)</x:f>
      </x:c>
      <x:c r="B114" t="str">
        <x:f>IF(A114="","",'13_SUS_CAPTURA'!P114)</x:f>
      </x:c>
      <x:c r="C114" s="28" t="str">
        <x:f>IF(B114="VÁLIDO",'13_SUS_CAPTURA'!Q114,"")</x:f>
      </x:c>
      <x:c r="D114" t="str">
        <x:f>IF(A114="","",'13_SUS_CAPTURA'!R114)</x:f>
      </x:c>
    </x:row>
    <x:row r="115">
      <x:c r="A115" t="str">
        <x:f>IF('13_SUS_CAPTURA'!A115="","",'13_SUS_CAPTURA'!A115)</x:f>
      </x:c>
      <x:c r="B115" t="str">
        <x:f>IF(A115="","",'13_SUS_CAPTURA'!P115)</x:f>
      </x:c>
      <x:c r="C115" s="28" t="str">
        <x:f>IF(B115="VÁLIDO",'13_SUS_CAPTURA'!Q115,"")</x:f>
      </x:c>
      <x:c r="D115" t="str">
        <x:f>IF(A115="","",'13_SUS_CAPTURA'!R115)</x:f>
      </x:c>
    </x:row>
    <x:row r="116">
      <x:c r="A116" t="str">
        <x:f>IF('13_SUS_CAPTURA'!A116="","",'13_SUS_CAPTURA'!A116)</x:f>
      </x:c>
      <x:c r="B116" t="str">
        <x:f>IF(A116="","",'13_SUS_CAPTURA'!P116)</x:f>
      </x:c>
      <x:c r="C116" s="28" t="str">
        <x:f>IF(B116="VÁLIDO",'13_SUS_CAPTURA'!Q116,"")</x:f>
      </x:c>
      <x:c r="D116" t="str">
        <x:f>IF(A116="","",'13_SUS_CAPTURA'!R116)</x:f>
      </x:c>
    </x:row>
    <x:row r="117">
      <x:c r="A117" t="str">
        <x:f>IF('13_SUS_CAPTURA'!A117="","",'13_SUS_CAPTURA'!A117)</x:f>
      </x:c>
      <x:c r="B117" t="str">
        <x:f>IF(A117="","",'13_SUS_CAPTURA'!P117)</x:f>
      </x:c>
      <x:c r="C117" s="28" t="str">
        <x:f>IF(B117="VÁLIDO",'13_SUS_CAPTURA'!Q117,"")</x:f>
      </x:c>
      <x:c r="D117" t="str">
        <x:f>IF(A117="","",'13_SUS_CAPTURA'!R117)</x:f>
      </x:c>
    </x:row>
    <x:row r="118">
      <x:c r="A118" t="str">
        <x:f>IF('13_SUS_CAPTURA'!A118="","",'13_SUS_CAPTURA'!A118)</x:f>
      </x:c>
      <x:c r="B118" t="str">
        <x:f>IF(A118="","",'13_SUS_CAPTURA'!P118)</x:f>
      </x:c>
      <x:c r="C118" s="28" t="str">
        <x:f>IF(B118="VÁLIDO",'13_SUS_CAPTURA'!Q118,"")</x:f>
      </x:c>
      <x:c r="D118" t="str">
        <x:f>IF(A118="","",'13_SUS_CAPTURA'!R118)</x:f>
      </x:c>
    </x:row>
    <x:row r="119">
      <x:c r="A119" t="str">
        <x:f>IF('13_SUS_CAPTURA'!A119="","",'13_SUS_CAPTURA'!A119)</x:f>
      </x:c>
      <x:c r="B119" t="str">
        <x:f>IF(A119="","",'13_SUS_CAPTURA'!P119)</x:f>
      </x:c>
      <x:c r="C119" s="28" t="str">
        <x:f>IF(B119="VÁLIDO",'13_SUS_CAPTURA'!Q119,"")</x:f>
      </x:c>
      <x:c r="D119" t="str">
        <x:f>IF(A119="","",'13_SUS_CAPTURA'!R119)</x:f>
      </x:c>
    </x:row>
    <x:row r="120">
      <x:c r="A120" t="str">
        <x:f>IF('13_SUS_CAPTURA'!A120="","",'13_SUS_CAPTURA'!A120)</x:f>
      </x:c>
      <x:c r="B120" t="str">
        <x:f>IF(A120="","",'13_SUS_CAPTURA'!P120)</x:f>
      </x:c>
      <x:c r="C120" s="28" t="str">
        <x:f>IF(B120="VÁLIDO",'13_SUS_CAPTURA'!Q120,"")</x:f>
      </x:c>
      <x:c r="D120" t="str">
        <x:f>IF(A120="","",'13_SUS_CAPTURA'!R120)</x:f>
      </x:c>
    </x:row>
    <x:row r="121">
      <x:c r="A121" t="str">
        <x:f>IF('13_SUS_CAPTURA'!A121="","",'13_SUS_CAPTURA'!A121)</x:f>
      </x:c>
      <x:c r="B121" t="str">
        <x:f>IF(A121="","",'13_SUS_CAPTURA'!P121)</x:f>
      </x:c>
      <x:c r="C121" s="28" t="str">
        <x:f>IF(B121="VÁLIDO",'13_SUS_CAPTURA'!Q121,"")</x:f>
      </x:c>
      <x:c r="D121" t="str">
        <x:f>IF(A121="","",'13_SUS_CAPTURA'!R121)</x:f>
      </x:c>
    </x:row>
    <x:row r="122">
      <x:c r="A122" t="str">
        <x:f>IF('13_SUS_CAPTURA'!A122="","",'13_SUS_CAPTURA'!A122)</x:f>
      </x:c>
      <x:c r="B122" t="str">
        <x:f>IF(A122="","",'13_SUS_CAPTURA'!P122)</x:f>
      </x:c>
      <x:c r="C122" s="28" t="str">
        <x:f>IF(B122="VÁLIDO",'13_SUS_CAPTURA'!Q122,"")</x:f>
      </x:c>
      <x:c r="D122" t="str">
        <x:f>IF(A122="","",'13_SUS_CAPTURA'!R122)</x:f>
      </x:c>
    </x:row>
    <x:row r="123">
      <x:c r="A123" t="str">
        <x:f>IF('13_SUS_CAPTURA'!A123="","",'13_SUS_CAPTURA'!A123)</x:f>
      </x:c>
      <x:c r="B123" t="str">
        <x:f>IF(A123="","",'13_SUS_CAPTURA'!P123)</x:f>
      </x:c>
      <x:c r="C123" s="28" t="str">
        <x:f>IF(B123="VÁLIDO",'13_SUS_CAPTURA'!Q123,"")</x:f>
      </x:c>
      <x:c r="D123" t="str">
        <x:f>IF(A123="","",'13_SUS_CAPTURA'!R123)</x:f>
      </x:c>
    </x:row>
    <x:row r="124">
      <x:c r="A124" t="str">
        <x:f>IF('13_SUS_CAPTURA'!A124="","",'13_SUS_CAPTURA'!A124)</x:f>
      </x:c>
      <x:c r="B124" t="str">
        <x:f>IF(A124="","",'13_SUS_CAPTURA'!P124)</x:f>
      </x:c>
      <x:c r="C124" s="28" t="str">
        <x:f>IF(B124="VÁLIDO",'13_SUS_CAPTURA'!Q124,"")</x:f>
      </x:c>
      <x:c r="D124" t="str">
        <x:f>IF(A124="","",'13_SUS_CAPTURA'!R124)</x:f>
      </x:c>
    </x:row>
    <x:row r="125">
      <x:c r="A125" t="str">
        <x:f>IF('13_SUS_CAPTURA'!A125="","",'13_SUS_CAPTURA'!A125)</x:f>
      </x:c>
      <x:c r="B125" t="str">
        <x:f>IF(A125="","",'13_SUS_CAPTURA'!P125)</x:f>
      </x:c>
      <x:c r="C125" s="28" t="str">
        <x:f>IF(B125="VÁLIDO",'13_SUS_CAPTURA'!Q125,"")</x:f>
      </x:c>
      <x:c r="D125" t="str">
        <x:f>IF(A125="","",'13_SUS_CAPTURA'!R125)</x:f>
      </x:c>
    </x:row>
    <x:row r="126">
      <x:c r="A126" t="str">
        <x:f>IF('13_SUS_CAPTURA'!A126="","",'13_SUS_CAPTURA'!A126)</x:f>
      </x:c>
      <x:c r="B126" t="str">
        <x:f>IF(A126="","",'13_SUS_CAPTURA'!P126)</x:f>
      </x:c>
      <x:c r="C126" s="28" t="str">
        <x:f>IF(B126="VÁLIDO",'13_SUS_CAPTURA'!Q126,"")</x:f>
      </x:c>
      <x:c r="D126" t="str">
        <x:f>IF(A126="","",'13_SUS_CAPTURA'!R126)</x:f>
      </x:c>
    </x:row>
    <x:row r="127">
      <x:c r="A127" t="str">
        <x:f>IF('13_SUS_CAPTURA'!A127="","",'13_SUS_CAPTURA'!A127)</x:f>
      </x:c>
      <x:c r="B127" t="str">
        <x:f>IF(A127="","",'13_SUS_CAPTURA'!P127)</x:f>
      </x:c>
      <x:c r="C127" s="28" t="str">
        <x:f>IF(B127="VÁLIDO",'13_SUS_CAPTURA'!Q127,"")</x:f>
      </x:c>
      <x:c r="D127" t="str">
        <x:f>IF(A127="","",'13_SUS_CAPTURA'!R127)</x:f>
      </x:c>
    </x:row>
    <x:row r="128">
      <x:c r="A128" t="str">
        <x:f>IF('13_SUS_CAPTURA'!A128="","",'13_SUS_CAPTURA'!A128)</x:f>
      </x:c>
      <x:c r="B128" t="str">
        <x:f>IF(A128="","",'13_SUS_CAPTURA'!P128)</x:f>
      </x:c>
      <x:c r="C128" s="28" t="str">
        <x:f>IF(B128="VÁLIDO",'13_SUS_CAPTURA'!Q128,"")</x:f>
      </x:c>
      <x:c r="D128" t="str">
        <x:f>IF(A128="","",'13_SUS_CAPTURA'!R128)</x:f>
      </x:c>
    </x:row>
    <x:row r="129">
      <x:c r="A129" t="str">
        <x:f>IF('13_SUS_CAPTURA'!A129="","",'13_SUS_CAPTURA'!A129)</x:f>
      </x:c>
      <x:c r="B129" t="str">
        <x:f>IF(A129="","",'13_SUS_CAPTURA'!P129)</x:f>
      </x:c>
      <x:c r="C129" s="28" t="str">
        <x:f>IF(B129="VÁLIDO",'13_SUS_CAPTURA'!Q129,"")</x:f>
      </x:c>
      <x:c r="D129" t="str">
        <x:f>IF(A129="","",'13_SUS_CAPTURA'!R129)</x:f>
      </x:c>
    </x:row>
    <x:row r="130">
      <x:c r="A130" t="str">
        <x:f>IF('13_SUS_CAPTURA'!A130="","",'13_SUS_CAPTURA'!A130)</x:f>
      </x:c>
      <x:c r="B130" t="str">
        <x:f>IF(A130="","",'13_SUS_CAPTURA'!P130)</x:f>
      </x:c>
      <x:c r="C130" s="28" t="str">
        <x:f>IF(B130="VÁLIDO",'13_SUS_CAPTURA'!Q130,"")</x:f>
      </x:c>
      <x:c r="D130" t="str">
        <x:f>IF(A130="","",'13_SUS_CAPTURA'!R130)</x:f>
      </x:c>
    </x:row>
    <x:row r="131">
      <x:c r="A131" t="str">
        <x:f>IF('13_SUS_CAPTURA'!A131="","",'13_SUS_CAPTURA'!A131)</x:f>
      </x:c>
      <x:c r="B131" t="str">
        <x:f>IF(A131="","",'13_SUS_CAPTURA'!P131)</x:f>
      </x:c>
      <x:c r="C131" s="28" t="str">
        <x:f>IF(B131="VÁLIDO",'13_SUS_CAPTURA'!Q131,"")</x:f>
      </x:c>
      <x:c r="D131" t="str">
        <x:f>IF(A131="","",'13_SUS_CAPTURA'!R131)</x:f>
      </x:c>
    </x:row>
    <x:row r="132">
      <x:c r="A132" t="str">
        <x:f>IF('13_SUS_CAPTURA'!A132="","",'13_SUS_CAPTURA'!A132)</x:f>
      </x:c>
      <x:c r="B132" t="str">
        <x:f>IF(A132="","",'13_SUS_CAPTURA'!P132)</x:f>
      </x:c>
      <x:c r="C132" s="28" t="str">
        <x:f>IF(B132="VÁLIDO",'13_SUS_CAPTURA'!Q132,"")</x:f>
      </x:c>
      <x:c r="D132" t="str">
        <x:f>IF(A132="","",'13_SUS_CAPTURA'!R132)</x:f>
      </x:c>
    </x:row>
    <x:row r="133">
      <x:c r="A133" t="str">
        <x:f>IF('13_SUS_CAPTURA'!A133="","",'13_SUS_CAPTURA'!A133)</x:f>
      </x:c>
      <x:c r="B133" t="str">
        <x:f>IF(A133="","",'13_SUS_CAPTURA'!P133)</x:f>
      </x:c>
      <x:c r="C133" s="28" t="str">
        <x:f>IF(B133="VÁLIDO",'13_SUS_CAPTURA'!Q133,"")</x:f>
      </x:c>
      <x:c r="D133" t="str">
        <x:f>IF(A133="","",'13_SUS_CAPTURA'!R133)</x:f>
      </x:c>
    </x:row>
    <x:row r="134">
      <x:c r="A134" t="str">
        <x:f>IF('13_SUS_CAPTURA'!A134="","",'13_SUS_CAPTURA'!A134)</x:f>
      </x:c>
      <x:c r="B134" t="str">
        <x:f>IF(A134="","",'13_SUS_CAPTURA'!P134)</x:f>
      </x:c>
      <x:c r="C134" s="28" t="str">
        <x:f>IF(B134="VÁLIDO",'13_SUS_CAPTURA'!Q134,"")</x:f>
      </x:c>
      <x:c r="D134" t="str">
        <x:f>IF(A134="","",'13_SUS_CAPTURA'!R134)</x:f>
      </x:c>
    </x:row>
    <x:row r="135">
      <x:c r="A135" t="str">
        <x:f>IF('13_SUS_CAPTURA'!A135="","",'13_SUS_CAPTURA'!A135)</x:f>
      </x:c>
      <x:c r="B135" t="str">
        <x:f>IF(A135="","",'13_SUS_CAPTURA'!P135)</x:f>
      </x:c>
      <x:c r="C135" s="28" t="str">
        <x:f>IF(B135="VÁLIDO",'13_SUS_CAPTURA'!Q135,"")</x:f>
      </x:c>
      <x:c r="D135" t="str">
        <x:f>IF(A135="","",'13_SUS_CAPTURA'!R135)</x:f>
      </x:c>
    </x:row>
    <x:row r="136">
      <x:c r="A136" t="str">
        <x:f>IF('13_SUS_CAPTURA'!A136="","",'13_SUS_CAPTURA'!A136)</x:f>
      </x:c>
      <x:c r="B136" t="str">
        <x:f>IF(A136="","",'13_SUS_CAPTURA'!P136)</x:f>
      </x:c>
      <x:c r="C136" s="28" t="str">
        <x:f>IF(B136="VÁLIDO",'13_SUS_CAPTURA'!Q136,"")</x:f>
      </x:c>
      <x:c r="D136" t="str">
        <x:f>IF(A136="","",'13_SUS_CAPTURA'!R136)</x:f>
      </x:c>
    </x:row>
    <x:row r="137">
      <x:c r="A137" t="str">
        <x:f>IF('13_SUS_CAPTURA'!A137="","",'13_SUS_CAPTURA'!A137)</x:f>
      </x:c>
      <x:c r="B137" t="str">
        <x:f>IF(A137="","",'13_SUS_CAPTURA'!P137)</x:f>
      </x:c>
      <x:c r="C137" s="28" t="str">
        <x:f>IF(B137="VÁLIDO",'13_SUS_CAPTURA'!Q137,"")</x:f>
      </x:c>
      <x:c r="D137" t="str">
        <x:f>IF(A137="","",'13_SUS_CAPTURA'!R137)</x:f>
      </x:c>
    </x:row>
    <x:row r="138">
      <x:c r="A138" t="str">
        <x:f>IF('13_SUS_CAPTURA'!A138="","",'13_SUS_CAPTURA'!A138)</x:f>
      </x:c>
      <x:c r="B138" t="str">
        <x:f>IF(A138="","",'13_SUS_CAPTURA'!P138)</x:f>
      </x:c>
      <x:c r="C138" s="28" t="str">
        <x:f>IF(B138="VÁLIDO",'13_SUS_CAPTURA'!Q138,"")</x:f>
      </x:c>
      <x:c r="D138" t="str">
        <x:f>IF(A138="","",'13_SUS_CAPTURA'!R138)</x:f>
      </x:c>
    </x:row>
    <x:row r="139">
      <x:c r="A139" t="str">
        <x:f>IF('13_SUS_CAPTURA'!A139="","",'13_SUS_CAPTURA'!A139)</x:f>
      </x:c>
      <x:c r="B139" t="str">
        <x:f>IF(A139="","",'13_SUS_CAPTURA'!P139)</x:f>
      </x:c>
      <x:c r="C139" s="28" t="str">
        <x:f>IF(B139="VÁLIDO",'13_SUS_CAPTURA'!Q139,"")</x:f>
      </x:c>
      <x:c r="D139" t="str">
        <x:f>IF(A139="","",'13_SUS_CAPTURA'!R139)</x:f>
      </x:c>
    </x:row>
    <x:row r="140">
      <x:c r="A140" t="str">
        <x:f>IF('13_SUS_CAPTURA'!A140="","",'13_SUS_CAPTURA'!A140)</x:f>
      </x:c>
      <x:c r="B140" t="str">
        <x:f>IF(A140="","",'13_SUS_CAPTURA'!P140)</x:f>
      </x:c>
      <x:c r="C140" s="28" t="str">
        <x:f>IF(B140="VÁLIDO",'13_SUS_CAPTURA'!Q140,"")</x:f>
      </x:c>
      <x:c r="D140" t="str">
        <x:f>IF(A140="","",'13_SUS_CAPTURA'!R140)</x:f>
      </x:c>
    </x:row>
    <x:row r="141">
      <x:c r="A141" t="str">
        <x:f>IF('13_SUS_CAPTURA'!A141="","",'13_SUS_CAPTURA'!A141)</x:f>
      </x:c>
      <x:c r="B141" t="str">
        <x:f>IF(A141="","",'13_SUS_CAPTURA'!P141)</x:f>
      </x:c>
      <x:c r="C141" s="28" t="str">
        <x:f>IF(B141="VÁLIDO",'13_SUS_CAPTURA'!Q141,"")</x:f>
      </x:c>
      <x:c r="D141" t="str">
        <x:f>IF(A141="","",'13_SUS_CAPTURA'!R141)</x:f>
      </x:c>
    </x:row>
    <x:row r="142">
      <x:c r="A142" t="str">
        <x:f>IF('13_SUS_CAPTURA'!A142="","",'13_SUS_CAPTURA'!A142)</x:f>
      </x:c>
      <x:c r="B142" t="str">
        <x:f>IF(A142="","",'13_SUS_CAPTURA'!P142)</x:f>
      </x:c>
      <x:c r="C142" s="28" t="str">
        <x:f>IF(B142="VÁLIDO",'13_SUS_CAPTURA'!Q142,"")</x:f>
      </x:c>
      <x:c r="D142" t="str">
        <x:f>IF(A142="","",'13_SUS_CAPTURA'!R142)</x:f>
      </x:c>
    </x:row>
    <x:row r="143">
      <x:c r="A143" t="str">
        <x:f>IF('13_SUS_CAPTURA'!A143="","",'13_SUS_CAPTURA'!A143)</x:f>
      </x:c>
      <x:c r="B143" t="str">
        <x:f>IF(A143="","",'13_SUS_CAPTURA'!P143)</x:f>
      </x:c>
      <x:c r="C143" s="28" t="str">
        <x:f>IF(B143="VÁLIDO",'13_SUS_CAPTURA'!Q143,"")</x:f>
      </x:c>
      <x:c r="D143" t="str">
        <x:f>IF(A143="","",'13_SUS_CAPTURA'!R143)</x:f>
      </x:c>
    </x:row>
    <x:row r="144">
      <x:c r="A144" t="str">
        <x:f>IF('13_SUS_CAPTURA'!A144="","",'13_SUS_CAPTURA'!A144)</x:f>
      </x:c>
      <x:c r="B144" t="str">
        <x:f>IF(A144="","",'13_SUS_CAPTURA'!P144)</x:f>
      </x:c>
      <x:c r="C144" s="28" t="str">
        <x:f>IF(B144="VÁLIDO",'13_SUS_CAPTURA'!Q144,"")</x:f>
      </x:c>
      <x:c r="D144" t="str">
        <x:f>IF(A144="","",'13_SUS_CAPTURA'!R144)</x:f>
      </x:c>
    </x:row>
    <x:row r="145">
      <x:c r="A145" t="str">
        <x:f>IF('13_SUS_CAPTURA'!A145="","",'13_SUS_CAPTURA'!A145)</x:f>
      </x:c>
      <x:c r="B145" t="str">
        <x:f>IF(A145="","",'13_SUS_CAPTURA'!P145)</x:f>
      </x:c>
      <x:c r="C145" s="28" t="str">
        <x:f>IF(B145="VÁLIDO",'13_SUS_CAPTURA'!Q145,"")</x:f>
      </x:c>
      <x:c r="D145" t="str">
        <x:f>IF(A145="","",'13_SUS_CAPTURA'!R145)</x:f>
      </x:c>
    </x:row>
    <x:row r="146">
      <x:c r="A146" t="str">
        <x:f>IF('13_SUS_CAPTURA'!A146="","",'13_SUS_CAPTURA'!A146)</x:f>
      </x:c>
      <x:c r="B146" t="str">
        <x:f>IF(A146="","",'13_SUS_CAPTURA'!P146)</x:f>
      </x:c>
      <x:c r="C146" s="28" t="str">
        <x:f>IF(B146="VÁLIDO",'13_SUS_CAPTURA'!Q146,"")</x:f>
      </x:c>
      <x:c r="D146" t="str">
        <x:f>IF(A146="","",'13_SUS_CAPTURA'!R146)</x:f>
      </x:c>
    </x:row>
    <x:row r="147">
      <x:c r="A147" t="str">
        <x:f>IF('13_SUS_CAPTURA'!A147="","",'13_SUS_CAPTURA'!A147)</x:f>
      </x:c>
      <x:c r="B147" t="str">
        <x:f>IF(A147="","",'13_SUS_CAPTURA'!P147)</x:f>
      </x:c>
      <x:c r="C147" s="28" t="str">
        <x:f>IF(B147="VÁLIDO",'13_SUS_CAPTURA'!Q147,"")</x:f>
      </x:c>
      <x:c r="D147" t="str">
        <x:f>IF(A147="","",'13_SUS_CAPTURA'!R147)</x:f>
      </x:c>
    </x:row>
    <x:row r="148">
      <x:c r="A148" t="str">
        <x:f>IF('13_SUS_CAPTURA'!A148="","",'13_SUS_CAPTURA'!A148)</x:f>
      </x:c>
      <x:c r="B148" t="str">
        <x:f>IF(A148="","",'13_SUS_CAPTURA'!P148)</x:f>
      </x:c>
      <x:c r="C148" s="28" t="str">
        <x:f>IF(B148="VÁLIDO",'13_SUS_CAPTURA'!Q148,"")</x:f>
      </x:c>
      <x:c r="D148" t="str">
        <x:f>IF(A148="","",'13_SUS_CAPTURA'!R148)</x:f>
      </x:c>
    </x:row>
    <x:row r="149">
      <x:c r="A149" t="str">
        <x:f>IF('13_SUS_CAPTURA'!A149="","",'13_SUS_CAPTURA'!A149)</x:f>
      </x:c>
      <x:c r="B149" t="str">
        <x:f>IF(A149="","",'13_SUS_CAPTURA'!P149)</x:f>
      </x:c>
      <x:c r="C149" s="28" t="str">
        <x:f>IF(B149="VÁLIDO",'13_SUS_CAPTURA'!Q149,"")</x:f>
      </x:c>
      <x:c r="D149" t="str">
        <x:f>IF(A149="","",'13_SUS_CAPTURA'!R149)</x:f>
      </x:c>
    </x:row>
    <x:row r="150">
      <x:c r="A150" t="str">
        <x:f>IF('13_SUS_CAPTURA'!A150="","",'13_SUS_CAPTURA'!A150)</x:f>
      </x:c>
      <x:c r="B150" t="str">
        <x:f>IF(A150="","",'13_SUS_CAPTURA'!P150)</x:f>
      </x:c>
      <x:c r="C150" s="28" t="str">
        <x:f>IF(B150="VÁLIDO",'13_SUS_CAPTURA'!Q150,"")</x:f>
      </x:c>
      <x:c r="D150" t="str">
        <x:f>IF(A150="","",'13_SUS_CAPTURA'!R150)</x:f>
      </x:c>
    </x:row>
    <x:row r="151">
      <x:c r="A151" t="str">
        <x:f>IF('13_SUS_CAPTURA'!A151="","",'13_SUS_CAPTURA'!A151)</x:f>
      </x:c>
      <x:c r="B151" t="str">
        <x:f>IF(A151="","",'13_SUS_CAPTURA'!P151)</x:f>
      </x:c>
      <x:c r="C151" s="28" t="str">
        <x:f>IF(B151="VÁLIDO",'13_SUS_CAPTURA'!Q151,"")</x:f>
      </x:c>
      <x:c r="D151" t="str">
        <x:f>IF(A151="","",'13_SUS_CAPTURA'!R151)</x:f>
      </x:c>
    </x:row>
    <x:row r="152">
      <x:c r="A152" t="str">
        <x:f>IF('13_SUS_CAPTURA'!A152="","",'13_SUS_CAPTURA'!A152)</x:f>
      </x:c>
      <x:c r="B152" t="str">
        <x:f>IF(A152="","",'13_SUS_CAPTURA'!P152)</x:f>
      </x:c>
      <x:c r="C152" s="28" t="str">
        <x:f>IF(B152="VÁLIDO",'13_SUS_CAPTURA'!Q152,"")</x:f>
      </x:c>
      <x:c r="D152" t="str">
        <x:f>IF(A152="","",'13_SUS_CAPTURA'!R152)</x:f>
      </x:c>
    </x:row>
    <x:row r="153">
      <x:c r="A153" t="str">
        <x:f>IF('13_SUS_CAPTURA'!A153="","",'13_SUS_CAPTURA'!A153)</x:f>
      </x:c>
      <x:c r="B153" t="str">
        <x:f>IF(A153="","",'13_SUS_CAPTURA'!P153)</x:f>
      </x:c>
      <x:c r="C153" s="28" t="str">
        <x:f>IF(B153="VÁLIDO",'13_SUS_CAPTURA'!Q153,"")</x:f>
      </x:c>
      <x:c r="D153" t="str">
        <x:f>IF(A153="","",'13_SUS_CAPTURA'!R153)</x:f>
      </x:c>
    </x:row>
    <x:row r="154">
      <x:c r="A154" t="str">
        <x:f>IF('13_SUS_CAPTURA'!A154="","",'13_SUS_CAPTURA'!A154)</x:f>
      </x:c>
      <x:c r="B154" t="str">
        <x:f>IF(A154="","",'13_SUS_CAPTURA'!P154)</x:f>
      </x:c>
      <x:c r="C154" s="28" t="str">
        <x:f>IF(B154="VÁLIDO",'13_SUS_CAPTURA'!Q154,"")</x:f>
      </x:c>
      <x:c r="D154" t="str">
        <x:f>IF(A154="","",'13_SUS_CAPTURA'!R154)</x:f>
      </x:c>
    </x:row>
    <x:row r="155">
      <x:c r="A155" t="str">
        <x:f>IF('13_SUS_CAPTURA'!A155="","",'13_SUS_CAPTURA'!A155)</x:f>
      </x:c>
      <x:c r="B155" t="str">
        <x:f>IF(A155="","",'13_SUS_CAPTURA'!P155)</x:f>
      </x:c>
      <x:c r="C155" s="28" t="str">
        <x:f>IF(B155="VÁLIDO",'13_SUS_CAPTURA'!Q155,"")</x:f>
      </x:c>
      <x:c r="D155" t="str">
        <x:f>IF(A155="","",'13_SUS_CAPTURA'!R155)</x:f>
      </x:c>
    </x:row>
    <x:row r="156">
      <x:c r="A156" t="str">
        <x:f>IF('13_SUS_CAPTURA'!A156="","",'13_SUS_CAPTURA'!A156)</x:f>
      </x:c>
      <x:c r="B156" t="str">
        <x:f>IF(A156="","",'13_SUS_CAPTURA'!P156)</x:f>
      </x:c>
      <x:c r="C156" s="28" t="str">
        <x:f>IF(B156="VÁLIDO",'13_SUS_CAPTURA'!Q156,"")</x:f>
      </x:c>
      <x:c r="D156" t="str">
        <x:f>IF(A156="","",'13_SUS_CAPTURA'!R156)</x:f>
      </x:c>
    </x:row>
    <x:row r="157">
      <x:c r="A157" t="str">
        <x:f>IF('13_SUS_CAPTURA'!A157="","",'13_SUS_CAPTURA'!A157)</x:f>
      </x:c>
      <x:c r="B157" t="str">
        <x:f>IF(A157="","",'13_SUS_CAPTURA'!P157)</x:f>
      </x:c>
      <x:c r="C157" s="28" t="str">
        <x:f>IF(B157="VÁLIDO",'13_SUS_CAPTURA'!Q157,"")</x:f>
      </x:c>
      <x:c r="D157" t="str">
        <x:f>IF(A157="","",'13_SUS_CAPTURA'!R157)</x:f>
      </x:c>
    </x:row>
    <x:row r="158">
      <x:c r="A158" t="str">
        <x:f>IF('13_SUS_CAPTURA'!A158="","",'13_SUS_CAPTURA'!A158)</x:f>
      </x:c>
      <x:c r="B158" t="str">
        <x:f>IF(A158="","",'13_SUS_CAPTURA'!P158)</x:f>
      </x:c>
      <x:c r="C158" s="28" t="str">
        <x:f>IF(B158="VÁLIDO",'13_SUS_CAPTURA'!Q158,"")</x:f>
      </x:c>
      <x:c r="D158" t="str">
        <x:f>IF(A158="","",'13_SUS_CAPTURA'!R158)</x:f>
      </x:c>
    </x:row>
    <x:row r="159">
      <x:c r="A159" t="str">
        <x:f>IF('13_SUS_CAPTURA'!A159="","",'13_SUS_CAPTURA'!A159)</x:f>
      </x:c>
      <x:c r="B159" t="str">
        <x:f>IF(A159="","",'13_SUS_CAPTURA'!P159)</x:f>
      </x:c>
      <x:c r="C159" s="28" t="str">
        <x:f>IF(B159="VÁLIDO",'13_SUS_CAPTURA'!Q159,"")</x:f>
      </x:c>
      <x:c r="D159" t="str">
        <x:f>IF(A159="","",'13_SUS_CAPTURA'!R159)</x:f>
      </x:c>
    </x:row>
    <x:row r="160">
      <x:c r="A160" t="str">
        <x:f>IF('13_SUS_CAPTURA'!A160="","",'13_SUS_CAPTURA'!A160)</x:f>
      </x:c>
      <x:c r="B160" t="str">
        <x:f>IF(A160="","",'13_SUS_CAPTURA'!P160)</x:f>
      </x:c>
      <x:c r="C160" s="28" t="str">
        <x:f>IF(B160="VÁLIDO",'13_SUS_CAPTURA'!Q160,"")</x:f>
      </x:c>
      <x:c r="D160" t="str">
        <x:f>IF(A160="","",'13_SUS_CAPTURA'!R160)</x:f>
      </x:c>
    </x:row>
    <x:row r="161">
      <x:c r="A161" t="str">
        <x:f>IF('13_SUS_CAPTURA'!A161="","",'13_SUS_CAPTURA'!A161)</x:f>
      </x:c>
      <x:c r="B161" t="str">
        <x:f>IF(A161="","",'13_SUS_CAPTURA'!P161)</x:f>
      </x:c>
      <x:c r="C161" s="28" t="str">
        <x:f>IF(B161="VÁLIDO",'13_SUS_CAPTURA'!Q161,"")</x:f>
      </x:c>
      <x:c r="D161" t="str">
        <x:f>IF(A161="","",'13_SUS_CAPTURA'!R161)</x:f>
      </x:c>
    </x:row>
    <x:row r="162">
      <x:c r="A162" t="str">
        <x:f>IF('13_SUS_CAPTURA'!A162="","",'13_SUS_CAPTURA'!A162)</x:f>
      </x:c>
      <x:c r="B162" t="str">
        <x:f>IF(A162="","",'13_SUS_CAPTURA'!P162)</x:f>
      </x:c>
      <x:c r="C162" s="28" t="str">
        <x:f>IF(B162="VÁLIDO",'13_SUS_CAPTURA'!Q162,"")</x:f>
      </x:c>
      <x:c r="D162" t="str">
        <x:f>IF(A162="","",'13_SUS_CAPTURA'!R162)</x:f>
      </x:c>
    </x:row>
    <x:row r="163">
      <x:c r="A163" t="str">
        <x:f>IF('13_SUS_CAPTURA'!A163="","",'13_SUS_CAPTURA'!A163)</x:f>
      </x:c>
      <x:c r="B163" t="str">
        <x:f>IF(A163="","",'13_SUS_CAPTURA'!P163)</x:f>
      </x:c>
      <x:c r="C163" s="28" t="str">
        <x:f>IF(B163="VÁLIDO",'13_SUS_CAPTURA'!Q163,"")</x:f>
      </x:c>
      <x:c r="D163" t="str">
        <x:f>IF(A163="","",'13_SUS_CAPTURA'!R163)</x:f>
      </x:c>
    </x:row>
    <x:row r="164">
      <x:c r="A164" t="str">
        <x:f>IF('13_SUS_CAPTURA'!A164="","",'13_SUS_CAPTURA'!A164)</x:f>
      </x:c>
      <x:c r="B164" t="str">
        <x:f>IF(A164="","",'13_SUS_CAPTURA'!P164)</x:f>
      </x:c>
      <x:c r="C164" s="28" t="str">
        <x:f>IF(B164="VÁLIDO",'13_SUS_CAPTURA'!Q164,"")</x:f>
      </x:c>
      <x:c r="D164" t="str">
        <x:f>IF(A164="","",'13_SUS_CAPTURA'!R164)</x:f>
      </x:c>
    </x:row>
    <x:row r="165">
      <x:c r="A165" t="str">
        <x:f>IF('13_SUS_CAPTURA'!A165="","",'13_SUS_CAPTURA'!A165)</x:f>
      </x:c>
      <x:c r="B165" t="str">
        <x:f>IF(A165="","",'13_SUS_CAPTURA'!P165)</x:f>
      </x:c>
      <x:c r="C165" s="28" t="str">
        <x:f>IF(B165="VÁLIDO",'13_SUS_CAPTURA'!Q165,"")</x:f>
      </x:c>
      <x:c r="D165" t="str">
        <x:f>IF(A165="","",'13_SUS_CAPTURA'!R165)</x:f>
      </x:c>
    </x:row>
    <x:row r="166">
      <x:c r="A166" t="str">
        <x:f>IF('13_SUS_CAPTURA'!A166="","",'13_SUS_CAPTURA'!A166)</x:f>
      </x:c>
      <x:c r="B166" t="str">
        <x:f>IF(A166="","",'13_SUS_CAPTURA'!P166)</x:f>
      </x:c>
      <x:c r="C166" s="28" t="str">
        <x:f>IF(B166="VÁLIDO",'13_SUS_CAPTURA'!Q166,"")</x:f>
      </x:c>
      <x:c r="D166" t="str">
        <x:f>IF(A166="","",'13_SUS_CAPTURA'!R166)</x:f>
      </x:c>
    </x:row>
    <x:row r="167">
      <x:c r="A167" t="str">
        <x:f>IF('13_SUS_CAPTURA'!A167="","",'13_SUS_CAPTURA'!A167)</x:f>
      </x:c>
      <x:c r="B167" t="str">
        <x:f>IF(A167="","",'13_SUS_CAPTURA'!P167)</x:f>
      </x:c>
      <x:c r="C167" s="28" t="str">
        <x:f>IF(B167="VÁLIDO",'13_SUS_CAPTURA'!Q167,"")</x:f>
      </x:c>
      <x:c r="D167" t="str">
        <x:f>IF(A167="","",'13_SUS_CAPTURA'!R167)</x:f>
      </x:c>
    </x:row>
    <x:row r="168">
      <x:c r="A168" t="str">
        <x:f>IF('13_SUS_CAPTURA'!A168="","",'13_SUS_CAPTURA'!A168)</x:f>
      </x:c>
      <x:c r="B168" t="str">
        <x:f>IF(A168="","",'13_SUS_CAPTURA'!P168)</x:f>
      </x:c>
      <x:c r="C168" s="28" t="str">
        <x:f>IF(B168="VÁLIDO",'13_SUS_CAPTURA'!Q168,"")</x:f>
      </x:c>
      <x:c r="D168" t="str">
        <x:f>IF(A168="","",'13_SUS_CAPTURA'!R168)</x:f>
      </x:c>
    </x:row>
    <x:row r="169">
      <x:c r="A169" t="str">
        <x:f>IF('13_SUS_CAPTURA'!A169="","",'13_SUS_CAPTURA'!A169)</x:f>
      </x:c>
      <x:c r="B169" t="str">
        <x:f>IF(A169="","",'13_SUS_CAPTURA'!P169)</x:f>
      </x:c>
      <x:c r="C169" s="28" t="str">
        <x:f>IF(B169="VÁLIDO",'13_SUS_CAPTURA'!Q169,"")</x:f>
      </x:c>
      <x:c r="D169" t="str">
        <x:f>IF(A169="","",'13_SUS_CAPTURA'!R169)</x:f>
      </x:c>
    </x:row>
    <x:row r="170">
      <x:c r="A170" t="str">
        <x:f>IF('13_SUS_CAPTURA'!A170="","",'13_SUS_CAPTURA'!A170)</x:f>
      </x:c>
      <x:c r="B170" t="str">
        <x:f>IF(A170="","",'13_SUS_CAPTURA'!P170)</x:f>
      </x:c>
      <x:c r="C170" s="28" t="str">
        <x:f>IF(B170="VÁLIDO",'13_SUS_CAPTURA'!Q170,"")</x:f>
      </x:c>
      <x:c r="D170" t="str">
        <x:f>IF(A170="","",'13_SUS_CAPTURA'!R170)</x:f>
      </x:c>
    </x:row>
    <x:row r="171">
      <x:c r="A171" t="str">
        <x:f>IF('13_SUS_CAPTURA'!A171="","",'13_SUS_CAPTURA'!A171)</x:f>
      </x:c>
      <x:c r="B171" t="str">
        <x:f>IF(A171="","",'13_SUS_CAPTURA'!P171)</x:f>
      </x:c>
      <x:c r="C171" s="28" t="str">
        <x:f>IF(B171="VÁLIDO",'13_SUS_CAPTURA'!Q171,"")</x:f>
      </x:c>
      <x:c r="D171" t="str">
        <x:f>IF(A171="","",'13_SUS_CAPTURA'!R171)</x:f>
      </x:c>
    </x:row>
    <x:row r="172">
      <x:c r="A172" t="str">
        <x:f>IF('13_SUS_CAPTURA'!A172="","",'13_SUS_CAPTURA'!A172)</x:f>
      </x:c>
      <x:c r="B172" t="str">
        <x:f>IF(A172="","",'13_SUS_CAPTURA'!P172)</x:f>
      </x:c>
      <x:c r="C172" s="28" t="str">
        <x:f>IF(B172="VÁLIDO",'13_SUS_CAPTURA'!Q172,"")</x:f>
      </x:c>
      <x:c r="D172" t="str">
        <x:f>IF(A172="","",'13_SUS_CAPTURA'!R172)</x:f>
      </x:c>
    </x:row>
    <x:row r="173">
      <x:c r="A173" t="str">
        <x:f>IF('13_SUS_CAPTURA'!A173="","",'13_SUS_CAPTURA'!A173)</x:f>
      </x:c>
      <x:c r="B173" t="str">
        <x:f>IF(A173="","",'13_SUS_CAPTURA'!P173)</x:f>
      </x:c>
      <x:c r="C173" s="28" t="str">
        <x:f>IF(B173="VÁLIDO",'13_SUS_CAPTURA'!Q173,"")</x:f>
      </x:c>
      <x:c r="D173" t="str">
        <x:f>IF(A173="","",'13_SUS_CAPTURA'!R173)</x:f>
      </x:c>
    </x:row>
    <x:row r="174">
      <x:c r="A174" t="str">
        <x:f>IF('13_SUS_CAPTURA'!A174="","",'13_SUS_CAPTURA'!A174)</x:f>
      </x:c>
      <x:c r="B174" t="str">
        <x:f>IF(A174="","",'13_SUS_CAPTURA'!P174)</x:f>
      </x:c>
      <x:c r="C174" s="28" t="str">
        <x:f>IF(B174="VÁLIDO",'13_SUS_CAPTURA'!Q174,"")</x:f>
      </x:c>
      <x:c r="D174" t="str">
        <x:f>IF(A174="","",'13_SUS_CAPTURA'!R174)</x:f>
      </x:c>
    </x:row>
    <x:row r="175">
      <x:c r="A175" t="str">
        <x:f>IF('13_SUS_CAPTURA'!A175="","",'13_SUS_CAPTURA'!A175)</x:f>
      </x:c>
      <x:c r="B175" t="str">
        <x:f>IF(A175="","",'13_SUS_CAPTURA'!P175)</x:f>
      </x:c>
      <x:c r="C175" s="28" t="str">
        <x:f>IF(B175="VÁLIDO",'13_SUS_CAPTURA'!Q175,"")</x:f>
      </x:c>
      <x:c r="D175" t="str">
        <x:f>IF(A175="","",'13_SUS_CAPTURA'!R175)</x:f>
      </x:c>
    </x:row>
    <x:row r="176">
      <x:c r="A176" t="str">
        <x:f>IF('13_SUS_CAPTURA'!A176="","",'13_SUS_CAPTURA'!A176)</x:f>
      </x:c>
      <x:c r="B176" t="str">
        <x:f>IF(A176="","",'13_SUS_CAPTURA'!P176)</x:f>
      </x:c>
      <x:c r="C176" s="28" t="str">
        <x:f>IF(B176="VÁLIDO",'13_SUS_CAPTURA'!Q176,"")</x:f>
      </x:c>
      <x:c r="D176" t="str">
        <x:f>IF(A176="","",'13_SUS_CAPTURA'!R176)</x:f>
      </x:c>
    </x:row>
    <x:row r="177">
      <x:c r="A177" t="str">
        <x:f>IF('13_SUS_CAPTURA'!A177="","",'13_SUS_CAPTURA'!A177)</x:f>
      </x:c>
      <x:c r="B177" t="str">
        <x:f>IF(A177="","",'13_SUS_CAPTURA'!P177)</x:f>
      </x:c>
      <x:c r="C177" s="28" t="str">
        <x:f>IF(B177="VÁLIDO",'13_SUS_CAPTURA'!Q177,"")</x:f>
      </x:c>
      <x:c r="D177" t="str">
        <x:f>IF(A177="","",'13_SUS_CAPTURA'!R177)</x:f>
      </x:c>
    </x:row>
    <x:row r="178">
      <x:c r="A178" t="str">
        <x:f>IF('13_SUS_CAPTURA'!A178="","",'13_SUS_CAPTURA'!A178)</x:f>
      </x:c>
      <x:c r="B178" t="str">
        <x:f>IF(A178="","",'13_SUS_CAPTURA'!P178)</x:f>
      </x:c>
      <x:c r="C178" s="28" t="str">
        <x:f>IF(B178="VÁLIDO",'13_SUS_CAPTURA'!Q178,"")</x:f>
      </x:c>
      <x:c r="D178" t="str">
        <x:f>IF(A178="","",'13_SUS_CAPTURA'!R178)</x:f>
      </x:c>
    </x:row>
    <x:row r="179">
      <x:c r="A179" t="str">
        <x:f>IF('13_SUS_CAPTURA'!A179="","",'13_SUS_CAPTURA'!A179)</x:f>
      </x:c>
      <x:c r="B179" t="str">
        <x:f>IF(A179="","",'13_SUS_CAPTURA'!P179)</x:f>
      </x:c>
      <x:c r="C179" s="28" t="str">
        <x:f>IF(B179="VÁLIDO",'13_SUS_CAPTURA'!Q179,"")</x:f>
      </x:c>
      <x:c r="D179" t="str">
        <x:f>IF(A179="","",'13_SUS_CAPTURA'!R179)</x:f>
      </x:c>
    </x:row>
    <x:row r="180">
      <x:c r="A180" t="str">
        <x:f>IF('13_SUS_CAPTURA'!A180="","",'13_SUS_CAPTURA'!A180)</x:f>
      </x:c>
      <x:c r="B180" t="str">
        <x:f>IF(A180="","",'13_SUS_CAPTURA'!P180)</x:f>
      </x:c>
      <x:c r="C180" s="28" t="str">
        <x:f>IF(B180="VÁLIDO",'13_SUS_CAPTURA'!Q180,"")</x:f>
      </x:c>
      <x:c r="D180" t="str">
        <x:f>IF(A180="","",'13_SUS_CAPTURA'!R180)</x:f>
      </x:c>
    </x:row>
    <x:row r="181">
      <x:c r="A181" t="str">
        <x:f>IF('13_SUS_CAPTURA'!A181="","",'13_SUS_CAPTURA'!A181)</x:f>
      </x:c>
      <x:c r="B181" t="str">
        <x:f>IF(A181="","",'13_SUS_CAPTURA'!P181)</x:f>
      </x:c>
      <x:c r="C181" s="28" t="str">
        <x:f>IF(B181="VÁLIDO",'13_SUS_CAPTURA'!Q181,"")</x:f>
      </x:c>
      <x:c r="D181" t="str">
        <x:f>IF(A181="","",'13_SUS_CAPTURA'!R181)</x:f>
      </x:c>
    </x:row>
    <x:row r="182">
      <x:c r="A182" t="str">
        <x:f>IF('13_SUS_CAPTURA'!A182="","",'13_SUS_CAPTURA'!A182)</x:f>
      </x:c>
      <x:c r="B182" t="str">
        <x:f>IF(A182="","",'13_SUS_CAPTURA'!P182)</x:f>
      </x:c>
      <x:c r="C182" s="28" t="str">
        <x:f>IF(B182="VÁLIDO",'13_SUS_CAPTURA'!Q182,"")</x:f>
      </x:c>
      <x:c r="D182" t="str">
        <x:f>IF(A182="","",'13_SUS_CAPTURA'!R182)</x:f>
      </x:c>
    </x:row>
    <x:row r="183">
      <x:c r="A183" t="str">
        <x:f>IF('13_SUS_CAPTURA'!A183="","",'13_SUS_CAPTURA'!A183)</x:f>
      </x:c>
      <x:c r="B183" t="str">
        <x:f>IF(A183="","",'13_SUS_CAPTURA'!P183)</x:f>
      </x:c>
      <x:c r="C183" s="28" t="str">
        <x:f>IF(B183="VÁLIDO",'13_SUS_CAPTURA'!Q183,"")</x:f>
      </x:c>
      <x:c r="D183" t="str">
        <x:f>IF(A183="","",'13_SUS_CAPTURA'!R183)</x:f>
      </x:c>
    </x:row>
    <x:row r="184">
      <x:c r="A184" t="str">
        <x:f>IF('13_SUS_CAPTURA'!A184="","",'13_SUS_CAPTURA'!A184)</x:f>
      </x:c>
      <x:c r="B184" t="str">
        <x:f>IF(A184="","",'13_SUS_CAPTURA'!P184)</x:f>
      </x:c>
      <x:c r="C184" s="28" t="str">
        <x:f>IF(B184="VÁLIDO",'13_SUS_CAPTURA'!Q184,"")</x:f>
      </x:c>
      <x:c r="D184" t="str">
        <x:f>IF(A184="","",'13_SUS_CAPTURA'!R184)</x:f>
      </x:c>
    </x:row>
    <x:row r="185">
      <x:c r="A185" t="str">
        <x:f>IF('13_SUS_CAPTURA'!A185="","",'13_SUS_CAPTURA'!A185)</x:f>
      </x:c>
      <x:c r="B185" t="str">
        <x:f>IF(A185="","",'13_SUS_CAPTURA'!P185)</x:f>
      </x:c>
      <x:c r="C185" s="28" t="str">
        <x:f>IF(B185="VÁLIDO",'13_SUS_CAPTURA'!Q185,"")</x:f>
      </x:c>
      <x:c r="D185" t="str">
        <x:f>IF(A185="","",'13_SUS_CAPTURA'!R185)</x:f>
      </x:c>
    </x:row>
    <x:row r="186">
      <x:c r="A186" t="str">
        <x:f>IF('13_SUS_CAPTURA'!A186="","",'13_SUS_CAPTURA'!A186)</x:f>
      </x:c>
      <x:c r="B186" t="str">
        <x:f>IF(A186="","",'13_SUS_CAPTURA'!P186)</x:f>
      </x:c>
      <x:c r="C186" s="28" t="str">
        <x:f>IF(B186="VÁLIDO",'13_SUS_CAPTURA'!Q186,"")</x:f>
      </x:c>
      <x:c r="D186" t="str">
        <x:f>IF(A186="","",'13_SUS_CAPTURA'!R186)</x:f>
      </x:c>
    </x:row>
    <x:row r="187">
      <x:c r="A187" t="str">
        <x:f>IF('13_SUS_CAPTURA'!A187="","",'13_SUS_CAPTURA'!A187)</x:f>
      </x:c>
      <x:c r="B187" t="str">
        <x:f>IF(A187="","",'13_SUS_CAPTURA'!P187)</x:f>
      </x:c>
      <x:c r="C187" s="28" t="str">
        <x:f>IF(B187="VÁLIDO",'13_SUS_CAPTURA'!Q187,"")</x:f>
      </x:c>
      <x:c r="D187" t="str">
        <x:f>IF(A187="","",'13_SUS_CAPTURA'!R187)</x:f>
      </x:c>
    </x:row>
    <x:row r="188">
      <x:c r="A188" t="str">
        <x:f>IF('13_SUS_CAPTURA'!A188="","",'13_SUS_CAPTURA'!A188)</x:f>
      </x:c>
      <x:c r="B188" t="str">
        <x:f>IF(A188="","",'13_SUS_CAPTURA'!P188)</x:f>
      </x:c>
      <x:c r="C188" s="28" t="str">
        <x:f>IF(B188="VÁLIDO",'13_SUS_CAPTURA'!Q188,"")</x:f>
      </x:c>
      <x:c r="D188" t="str">
        <x:f>IF(A188="","",'13_SUS_CAPTURA'!R188)</x:f>
      </x:c>
    </x:row>
    <x:row r="189">
      <x:c r="A189" t="str">
        <x:f>IF('13_SUS_CAPTURA'!A189="","",'13_SUS_CAPTURA'!A189)</x:f>
      </x:c>
      <x:c r="B189" t="str">
        <x:f>IF(A189="","",'13_SUS_CAPTURA'!P189)</x:f>
      </x:c>
      <x:c r="C189" s="28" t="str">
        <x:f>IF(B189="VÁLIDO",'13_SUS_CAPTURA'!Q189,"")</x:f>
      </x:c>
      <x:c r="D189" t="str">
        <x:f>IF(A189="","",'13_SUS_CAPTURA'!R189)</x:f>
      </x:c>
    </x:row>
    <x:row r="190">
      <x:c r="A190" t="str">
        <x:f>IF('13_SUS_CAPTURA'!A190="","",'13_SUS_CAPTURA'!A190)</x:f>
      </x:c>
      <x:c r="B190" t="str">
        <x:f>IF(A190="","",'13_SUS_CAPTURA'!P190)</x:f>
      </x:c>
      <x:c r="C190" s="28" t="str">
        <x:f>IF(B190="VÁLIDO",'13_SUS_CAPTURA'!Q190,"")</x:f>
      </x:c>
      <x:c r="D190" t="str">
        <x:f>IF(A190="","",'13_SUS_CAPTURA'!R190)</x:f>
      </x:c>
    </x:row>
    <x:row r="191">
      <x:c r="A191" t="str">
        <x:f>IF('13_SUS_CAPTURA'!A191="","",'13_SUS_CAPTURA'!A191)</x:f>
      </x:c>
      <x:c r="B191" t="str">
        <x:f>IF(A191="","",'13_SUS_CAPTURA'!P191)</x:f>
      </x:c>
      <x:c r="C191" s="28" t="str">
        <x:f>IF(B191="VÁLIDO",'13_SUS_CAPTURA'!Q191,"")</x:f>
      </x:c>
      <x:c r="D191" t="str">
        <x:f>IF(A191="","",'13_SUS_CAPTURA'!R191)</x:f>
      </x:c>
    </x:row>
    <x:row r="192">
      <x:c r="A192" t="str">
        <x:f>IF('13_SUS_CAPTURA'!A192="","",'13_SUS_CAPTURA'!A192)</x:f>
      </x:c>
      <x:c r="B192" t="str">
        <x:f>IF(A192="","",'13_SUS_CAPTURA'!P192)</x:f>
      </x:c>
      <x:c r="C192" s="28" t="str">
        <x:f>IF(B192="VÁLIDO",'13_SUS_CAPTURA'!Q192,"")</x:f>
      </x:c>
      <x:c r="D192" t="str">
        <x:f>IF(A192="","",'13_SUS_CAPTURA'!R192)</x:f>
      </x:c>
    </x:row>
    <x:row r="193">
      <x:c r="A193" t="str">
        <x:f>IF('13_SUS_CAPTURA'!A193="","",'13_SUS_CAPTURA'!A193)</x:f>
      </x:c>
      <x:c r="B193" t="str">
        <x:f>IF(A193="","",'13_SUS_CAPTURA'!P193)</x:f>
      </x:c>
      <x:c r="C193" s="28" t="str">
        <x:f>IF(B193="VÁLIDO",'13_SUS_CAPTURA'!Q193,"")</x:f>
      </x:c>
      <x:c r="D193" t="str">
        <x:f>IF(A193="","",'13_SUS_CAPTURA'!R193)</x:f>
      </x:c>
    </x:row>
    <x:row r="194">
      <x:c r="A194" t="str">
        <x:f>IF('13_SUS_CAPTURA'!A194="","",'13_SUS_CAPTURA'!A194)</x:f>
      </x:c>
      <x:c r="B194" t="str">
        <x:f>IF(A194="","",'13_SUS_CAPTURA'!P194)</x:f>
      </x:c>
      <x:c r="C194" s="28" t="str">
        <x:f>IF(B194="VÁLIDO",'13_SUS_CAPTURA'!Q194,"")</x:f>
      </x:c>
      <x:c r="D194" t="str">
        <x:f>IF(A194="","",'13_SUS_CAPTURA'!R194)</x:f>
      </x:c>
    </x:row>
    <x:row r="195">
      <x:c r="A195" t="str">
        <x:f>IF('13_SUS_CAPTURA'!A195="","",'13_SUS_CAPTURA'!A195)</x:f>
      </x:c>
      <x:c r="B195" t="str">
        <x:f>IF(A195="","",'13_SUS_CAPTURA'!P195)</x:f>
      </x:c>
      <x:c r="C195" s="28" t="str">
        <x:f>IF(B195="VÁLIDO",'13_SUS_CAPTURA'!Q195,"")</x:f>
      </x:c>
      <x:c r="D195" t="str">
        <x:f>IF(A195="","",'13_SUS_CAPTURA'!R195)</x:f>
      </x:c>
    </x:row>
    <x:row r="196">
      <x:c r="A196" t="str">
        <x:f>IF('13_SUS_CAPTURA'!A196="","",'13_SUS_CAPTURA'!A196)</x:f>
      </x:c>
      <x:c r="B196" t="str">
        <x:f>IF(A196="","",'13_SUS_CAPTURA'!P196)</x:f>
      </x:c>
      <x:c r="C196" s="28" t="str">
        <x:f>IF(B196="VÁLIDO",'13_SUS_CAPTURA'!Q196,"")</x:f>
      </x:c>
      <x:c r="D196" t="str">
        <x:f>IF(A196="","",'13_SUS_CAPTURA'!R196)</x:f>
      </x:c>
    </x:row>
    <x:row r="197">
      <x:c r="A197" t="str">
        <x:f>IF('13_SUS_CAPTURA'!A197="","",'13_SUS_CAPTURA'!A197)</x:f>
      </x:c>
      <x:c r="B197" t="str">
        <x:f>IF(A197="","",'13_SUS_CAPTURA'!P197)</x:f>
      </x:c>
      <x:c r="C197" s="28" t="str">
        <x:f>IF(B197="VÁLIDO",'13_SUS_CAPTURA'!Q197,"")</x:f>
      </x:c>
      <x:c r="D197" t="str">
        <x:f>IF(A197="","",'13_SUS_CAPTURA'!R197)</x:f>
      </x:c>
    </x:row>
    <x:row r="198">
      <x:c r="A198" t="str">
        <x:f>IF('13_SUS_CAPTURA'!A198="","",'13_SUS_CAPTURA'!A198)</x:f>
      </x:c>
      <x:c r="B198" t="str">
        <x:f>IF(A198="","",'13_SUS_CAPTURA'!P198)</x:f>
      </x:c>
      <x:c r="C198" s="28" t="str">
        <x:f>IF(B198="VÁLIDO",'13_SUS_CAPTURA'!Q198,"")</x:f>
      </x:c>
      <x:c r="D198" t="str">
        <x:f>IF(A198="","",'13_SUS_CAPTURA'!R198)</x:f>
      </x:c>
    </x:row>
    <x:row r="199">
      <x:c r="A199" t="str">
        <x:f>IF('13_SUS_CAPTURA'!A199="","",'13_SUS_CAPTURA'!A199)</x:f>
      </x:c>
      <x:c r="B199" t="str">
        <x:f>IF(A199="","",'13_SUS_CAPTURA'!P199)</x:f>
      </x:c>
      <x:c r="C199" s="28" t="str">
        <x:f>IF(B199="VÁLIDO",'13_SUS_CAPTURA'!Q199,"")</x:f>
      </x:c>
      <x:c r="D199" t="str">
        <x:f>IF(A199="","",'13_SUS_CAPTURA'!R199)</x:f>
      </x:c>
    </x:row>
    <x:row r="200">
      <x:c r="A200" t="str">
        <x:f>IF('13_SUS_CAPTURA'!A200="","",'13_SUS_CAPTURA'!A200)</x:f>
      </x:c>
      <x:c r="B200" t="str">
        <x:f>IF(A200="","",'13_SUS_CAPTURA'!P200)</x:f>
      </x:c>
      <x:c r="C200" s="28" t="str">
        <x:f>IF(B200="VÁLIDO",'13_SUS_CAPTURA'!Q200,"")</x:f>
      </x:c>
      <x:c r="D200" t="str">
        <x:f>IF(A200="","",'13_SUS_CAPTURA'!R200)</x:f>
      </x:c>
    </x:row>
    <x:row r="201">
      <x:c r="A201" t="str">
        <x:f>IF('13_SUS_CAPTURA'!A201="","",'13_SUS_CAPTURA'!A201)</x:f>
      </x:c>
      <x:c r="B201" t="str">
        <x:f>IF(A201="","",'13_SUS_CAPTURA'!P201)</x:f>
      </x:c>
      <x:c r="C201" s="28" t="str">
        <x:f>IF(B201="VÁLIDO",'13_SUS_CAPTURA'!Q201,"")</x:f>
      </x:c>
      <x:c r="D201" t="str">
        <x:f>IF(A201="","",'13_SUS_CAPTURA'!R201)</x:f>
      </x:c>
    </x:row>
    <x:row r="202">
      <x:c r="A202" t="str">
        <x:f>IF('13_SUS_CAPTURA'!A202="","",'13_SUS_CAPTURA'!A202)</x:f>
      </x:c>
      <x:c r="B202" t="str">
        <x:f>IF(A202="","",'13_SUS_CAPTURA'!P202)</x:f>
      </x:c>
      <x:c r="C202" s="28" t="str">
        <x:f>IF(B202="VÁLIDO",'13_SUS_CAPTURA'!Q202,"")</x:f>
      </x:c>
      <x:c r="D202" t="str">
        <x:f>IF(A202="","",'13_SUS_CAPTURA'!R202)</x:f>
      </x:c>
    </x:row>
    <x:row r="203">
      <x:c r="A203" t="str">
        <x:f>IF('13_SUS_CAPTURA'!A203="","",'13_SUS_CAPTURA'!A203)</x:f>
      </x:c>
      <x:c r="B203" t="str">
        <x:f>IF(A203="","",'13_SUS_CAPTURA'!P203)</x:f>
      </x:c>
      <x:c r="C203" s="28" t="str">
        <x:f>IF(B203="VÁLIDO",'13_SUS_CAPTURA'!Q203,"")</x:f>
      </x:c>
      <x:c r="D203" t="str">
        <x:f>IF(A203="","",'13_SUS_CAPTURA'!R203)</x:f>
      </x:c>
    </x:row>
    <x:row r="204">
      <x:c r="A204" t="str">
        <x:f>IF('13_SUS_CAPTURA'!A204="","",'13_SUS_CAPTURA'!A204)</x:f>
      </x:c>
      <x:c r="B204" t="str">
        <x:f>IF(A204="","",'13_SUS_CAPTURA'!P204)</x:f>
      </x:c>
      <x:c r="C204" s="28" t="str">
        <x:f>IF(B204="VÁLIDO",'13_SUS_CAPTURA'!Q204,"")</x:f>
      </x:c>
      <x:c r="D204" t="str">
        <x:f>IF(A204="","",'13_SUS_CAPTURA'!R204)</x:f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8bf58d128f48b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5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3" hidden="0" customWidth="1"/>
    <x:col min="9" max="9" width="42" hidden="0" customWidth="1"/>
    <x:col min="10" max="10" width="26" hidden="0" customWidth="1"/>
    <x:col min="11" max="11" width="24" hidden="0" customWidth="1"/>
    <x:col min="12" max="12" width="26" hidden="0" customWidth="1"/>
  </x:cols>
  <x:sheetData>
    <x:row r="1" ht="35" customHeight="1">
      <x:c r="A1" s="3" t="str">
        <x:v>TASA DE ÉXITO DE TAREAS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7" t="str">
        <x:v>Tareas candidatas D-34-02; no se considera ejecución sin intento real verificable.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3" t="str">
        <x:v>Tarea</x:v>
      </x:c>
      <x:c r="B4" s="13" t="str">
        <x:v>Escenario</x:v>
      </x:c>
      <x:c r="C4" s="13" t="str">
        <x:v>Intentos registrados</x:v>
      </x:c>
      <x:c r="D4" s="13" t="str">
        <x:v>Intentos válidos</x:v>
      </x:c>
      <x:c r="E4" s="13" t="str">
        <x:v>Correctos</x:v>
      </x:c>
      <x:c r="F4" s="13" t="str">
        <x:v>Incorrectos</x:v>
      </x:c>
      <x:c r="G4" s="13" t="str">
        <x:v>Excluidos</x:v>
      </x:c>
      <x:c r="H4" s="13" t="str">
        <x:v>Tasa de éxito (%)</x:v>
      </x:c>
      <x:c r="I4" s="13" t="str">
        <x:v>Evidencia</x:v>
      </x:c>
      <x:c r="J4" s="13" t="str">
        <x:v>Estado análisis</x:v>
      </x:c>
      <x:c r="K4" s="13" t="str">
        <x:v>Criterio documentado</x:v>
      </x:c>
      <x:c r="L4" s="13" t="str">
        <x:v>Dictamen</x:v>
      </x:c>
    </x:row>
    <x:row r="5" ht="22" customHeight="1">
      <x:c r="A5" t="str">
        <x:v>T-US-01</x:v>
      </x:c>
      <x:c r="B5" t="str">
        <x:v>Localizar funciones de administración de usuarios</x:v>
      </x:c>
      <x:c r="C5" t="str">
        <x:f>IF(COUNTIF('15_INTENTOS_TAREAS'!$C$5:$C$204,$A5)=0,"",COUNTIF('15_INTENTOS_TAREAS'!$C$5:$C$204,$A5))</x:f>
      </x:c>
      <x:c r="D5" t="str">
        <x:f>IF(C5="","",COUNTIFS('15_INTENTOS_TAREAS'!$C$5:$C$204,$A5,'15_INTENTOS_TAREAS'!$M$5:$M$204,"VÁLIDO"))</x:f>
      </x:c>
      <x:c r="E5" t="str">
        <x:f>IF(D5="","",COUNTIFS('15_INTENTOS_TAREAS'!$C$5:$C$204,$A5,'15_INTENTOS_TAREAS'!$M$5:$M$204,"VÁLIDO",'15_INTENTOS_TAREAS'!$F$5:$F$204,"Correcto"))</x:f>
      </x:c>
      <x:c r="F5" t="str">
        <x:f>IF(D5="","",COUNTIFS('15_INTENTOS_TAREAS'!$C$5:$C$204,$A5,'15_INTENTOS_TAREAS'!$M$5:$M$204,"VÁLIDO",'15_INTENTOS_TAREAS'!$F$5:$F$204,"Incorrecto"))</x:f>
      </x:c>
      <x:c r="G5" t="str">
        <x:f>IF(C5="","",COUNTIFS('15_INTENTOS_TAREAS'!$C$5:$C$204,$A5,'15_INTENTOS_TAREAS'!$M$5:$M$204,"EXCLUIDO"))</x:f>
      </x:c>
      <x:c r="H5" s="28" t="str">
        <x:f>IF(OR(D5="",D5=0,E5=""),"",100*E5/D5)</x:f>
      </x:c>
      <x:c r="I5" t="str">
        <x:f>IF(D5="","",IF(D5=0,"","Ver capturas de 15_INTENTOS_TAREAS"))</x:f>
      </x:c>
      <x:c r="J5" t="str">
        <x:f>IF(C5="","SIN DATOS",IF(D5=0,"INCOMPLETO",IF(C5&gt;D5+G5,"REVISAR","VÁLIDO")))</x:f>
        <x:v>SIN DATOS</x:v>
      </x:c>
      <x:c r="K5" t="str">
        <x:f>IF('02_PARAMETROS'!G9="","",'02_PARAMETROS'!G9)</x:f>
      </x:c>
      <x:c r="L5" t="str">
        <x:f>IF(J5&lt;&gt;"VÁLIDO","SIN DATOS",IF(OR('02_PARAMETROS'!$I$9&lt;&gt;"APROBADO",NOT(ISNUMBER('02_PARAMETROS'!$G$9)),'02_PARAMETROS'!$H$9=""),"PENDIENTE DE APROBACIÓN",IF(OR(AND('02_PARAMETROS'!$H$9="&gt;=",H5&gt;='02_PARAMETROS'!$G$9),AND('02_PARAMETROS'!$H$9="&lt;=",H5&lt;='02_PARAMETROS'!$G$9),AND('02_PARAMETROS'!$H$9="&gt;",H5&gt;'02_PARAMETROS'!$G$9),AND('02_PARAMETROS'!$H$9="&lt;",H5&lt;'02_PARAMETROS'!$G$9),AND('02_PARAMETROS'!$H$9="=",H5='02_PARAMETROS'!$G$9)),"CUMPLE","NO CUMPLE")))</x:f>
        <x:v>SIN DATOS</x:v>
      </x:c>
    </x:row>
    <x:row r="6" ht="22" customHeight="1">
      <x:c r="A6" t="str">
        <x:v>T-US-02</x:v>
      </x:c>
      <x:c r="B6" t="str">
        <x:v>Registrar avance de obra y evidencia</x:v>
      </x:c>
      <x:c r="C6" t="str">
        <x:f>IF(COUNTIF('15_INTENTOS_TAREAS'!$C$5:$C$204,$A6)=0,"",COUNTIF('15_INTENTOS_TAREAS'!$C$5:$C$204,$A6))</x:f>
      </x:c>
      <x:c r="D6" t="str">
        <x:f>IF(C6="","",COUNTIFS('15_INTENTOS_TAREAS'!$C$5:$C$204,$A6,'15_INTENTOS_TAREAS'!$M$5:$M$204,"VÁLIDO"))</x:f>
      </x:c>
      <x:c r="E6" t="str">
        <x:f>IF(D6="","",COUNTIFS('15_INTENTOS_TAREAS'!$C$5:$C$204,$A6,'15_INTENTOS_TAREAS'!$M$5:$M$204,"VÁLIDO",'15_INTENTOS_TAREAS'!$F$5:$F$204,"Correcto"))</x:f>
      </x:c>
      <x:c r="F6" t="str">
        <x:f>IF(D6="","",COUNTIFS('15_INTENTOS_TAREAS'!$C$5:$C$204,$A6,'15_INTENTOS_TAREAS'!$M$5:$M$204,"VÁLIDO",'15_INTENTOS_TAREAS'!$F$5:$F$204,"Incorrecto"))</x:f>
      </x:c>
      <x:c r="G6" t="str">
        <x:f>IF(C6="","",COUNTIFS('15_INTENTOS_TAREAS'!$C$5:$C$204,$A6,'15_INTENTOS_TAREAS'!$M$5:$M$204,"EXCLUIDO"))</x:f>
      </x:c>
      <x:c r="H6" s="28" t="str">
        <x:f>IF(OR(D6="",D6=0,E6=""),"",100*E6/D6)</x:f>
      </x:c>
      <x:c r="I6" t="str">
        <x:f>IF(D6="","",IF(D6=0,"","Ver capturas de 15_INTENTOS_TAREAS"))</x:f>
      </x:c>
      <x:c r="J6" t="str">
        <x:f>IF(C6="","SIN DATOS",IF(D6=0,"INCOMPLETO",IF(C6&gt;D6+G6,"REVISAR","VÁLIDO")))</x:f>
        <x:v>SIN DATOS</x:v>
      </x:c>
      <x:c r="K6" t="n">
        <x:f>IF('02_PARAMETROS'!G10="","",'02_PARAMETROS'!G10)</x:f>
        <x:v>2000</x:v>
      </x:c>
      <x:c r="L6" t="str">
        <x:f>IF(J6&lt;&gt;"VÁLIDO","SIN DATOS",IF(OR('02_PARAMETROS'!$I$9&lt;&gt;"APROBADO",NOT(ISNUMBER('02_PARAMETROS'!$G$9)),'02_PARAMETROS'!$H$9=""),"PENDIENTE DE APROBACIÓN",IF(OR(AND('02_PARAMETROS'!$H$9="&gt;=",H6&gt;='02_PARAMETROS'!$G$9),AND('02_PARAMETROS'!$H$9="&lt;=",H6&lt;='02_PARAMETROS'!$G$9),AND('02_PARAMETROS'!$H$9="&gt;",H6&gt;'02_PARAMETROS'!$G$9),AND('02_PARAMETROS'!$H$9="&lt;",H6&lt;'02_PARAMETROS'!$G$9),AND('02_PARAMETROS'!$H$9="=",H6='02_PARAMETROS'!$G$9)),"CUMPLE","NO CUMPLE")))</x:f>
        <x:v>SIN DATOS</x:v>
      </x:c>
    </x:row>
    <x:row r="7" ht="22" customHeight="1">
      <x:c r="A7" t="str">
        <x:v>T-US-03</x:v>
      </x:c>
      <x:c r="B7" t="str">
        <x:v>Registrar consumo de materiales</x:v>
      </x:c>
      <x:c r="C7" t="str">
        <x:f>IF(COUNTIF('15_INTENTOS_TAREAS'!$C$5:$C$204,$A7)=0,"",COUNTIF('15_INTENTOS_TAREAS'!$C$5:$C$204,$A7))</x:f>
      </x:c>
      <x:c r="D7" t="str">
        <x:f>IF(C7="","",COUNTIFS('15_INTENTOS_TAREAS'!$C$5:$C$204,$A7,'15_INTENTOS_TAREAS'!$M$5:$M$204,"VÁLIDO"))</x:f>
      </x:c>
      <x:c r="E7" t="str">
        <x:f>IF(D7="","",COUNTIFS('15_INTENTOS_TAREAS'!$C$5:$C$204,$A7,'15_INTENTOS_TAREAS'!$M$5:$M$204,"VÁLIDO",'15_INTENTOS_TAREAS'!$F$5:$F$204,"Correcto"))</x:f>
      </x:c>
      <x:c r="F7" t="str">
        <x:f>IF(D7="","",COUNTIFS('15_INTENTOS_TAREAS'!$C$5:$C$204,$A7,'15_INTENTOS_TAREAS'!$M$5:$M$204,"VÁLIDO",'15_INTENTOS_TAREAS'!$F$5:$F$204,"Incorrecto"))</x:f>
      </x:c>
      <x:c r="G7" t="str">
        <x:f>IF(C7="","",COUNTIFS('15_INTENTOS_TAREAS'!$C$5:$C$204,$A7,'15_INTENTOS_TAREAS'!$M$5:$M$204,"EXCLUIDO"))</x:f>
      </x:c>
      <x:c r="H7" s="28" t="str">
        <x:f>IF(OR(D7="",D7=0,E7=""),"",100*E7/D7)</x:f>
      </x:c>
      <x:c r="I7" t="str">
        <x:f>IF(D7="","",IF(D7=0,"","Ver capturas de 15_INTENTOS_TAREAS"))</x:f>
      </x:c>
      <x:c r="J7" t="str">
        <x:f>IF(C7="","SIN DATOS",IF(D7=0,"INCOMPLETO",IF(C7&gt;D7+G7,"REVISAR","VÁLIDO")))</x:f>
        <x:v>SIN DATOS</x:v>
      </x:c>
      <x:c r="K7" t="n">
        <x:f>IF('02_PARAMETROS'!G11="","",'02_PARAMETROS'!G11)</x:f>
        <x:v>5000</x:v>
      </x:c>
      <x:c r="L7" t="str">
        <x:f>IF(J7&lt;&gt;"VÁLIDO","SIN DATOS",IF(OR('02_PARAMETROS'!$I$9&lt;&gt;"APROBADO",NOT(ISNUMBER('02_PARAMETROS'!$G$9)),'02_PARAMETROS'!$H$9=""),"PENDIENTE DE APROBACIÓN",IF(OR(AND('02_PARAMETROS'!$H$9="&gt;=",H7&gt;='02_PARAMETROS'!$G$9),AND('02_PARAMETROS'!$H$9="&lt;=",H7&lt;='02_PARAMETROS'!$G$9),AND('02_PARAMETROS'!$H$9="&gt;",H7&gt;'02_PARAMETROS'!$G$9),AND('02_PARAMETROS'!$H$9="&lt;",H7&lt;'02_PARAMETROS'!$G$9),AND('02_PARAMETROS'!$H$9="=",H7='02_PARAMETROS'!$G$9)),"CUMPLE","NO CUMPLE")))</x:f>
        <x:v>SIN DATOS</x:v>
      </x:c>
    </x:row>
    <x:row r="8" ht="22" customHeight="1">
      <x:c r="A8" t="str">
        <x:v>T-US-04</x:v>
      </x:c>
      <x:c r="B8" t="str">
        <x:v>Recibir requerimiento aprobado</x:v>
      </x:c>
      <x:c r="C8" t="str">
        <x:f>IF(COUNTIF('15_INTENTOS_TAREAS'!$C$5:$C$204,$A8)=0,"",COUNTIF('15_INTENTOS_TAREAS'!$C$5:$C$204,$A8))</x:f>
      </x:c>
      <x:c r="D8" t="str">
        <x:f>IF(C8="","",COUNTIFS('15_INTENTOS_TAREAS'!$C$5:$C$204,$A8,'15_INTENTOS_TAREAS'!$M$5:$M$204,"VÁLIDO"))</x:f>
      </x:c>
      <x:c r="E8" t="str">
        <x:f>IF(D8="","",COUNTIFS('15_INTENTOS_TAREAS'!$C$5:$C$204,$A8,'15_INTENTOS_TAREAS'!$M$5:$M$204,"VÁLIDO",'15_INTENTOS_TAREAS'!$F$5:$F$204,"Correcto"))</x:f>
      </x:c>
      <x:c r="F8" t="str">
        <x:f>IF(D8="","",COUNTIFS('15_INTENTOS_TAREAS'!$C$5:$C$204,$A8,'15_INTENTOS_TAREAS'!$M$5:$M$204,"VÁLIDO",'15_INTENTOS_TAREAS'!$F$5:$F$204,"Incorrecto"))</x:f>
      </x:c>
      <x:c r="G8" t="str">
        <x:f>IF(C8="","",COUNTIFS('15_INTENTOS_TAREAS'!$C$5:$C$204,$A8,'15_INTENTOS_TAREAS'!$M$5:$M$204,"EXCLUIDO"))</x:f>
      </x:c>
      <x:c r="H8" s="28" t="str">
        <x:f>IF(OR(D8="",D8=0,E8=""),"",100*E8/D8)</x:f>
      </x:c>
      <x:c r="I8" t="str">
        <x:f>IF(D8="","",IF(D8=0,"","Ver capturas de 15_INTENTOS_TAREAS"))</x:f>
      </x:c>
      <x:c r="J8" t="str">
        <x:f>IF(C8="","SIN DATOS",IF(D8=0,"INCOMPLETO",IF(C8&gt;D8+G8,"REVISAR","VÁLIDO")))</x:f>
        <x:v>SIN DATOS</x:v>
      </x:c>
      <x:c r="K8" t="n">
        <x:f>IF('02_PARAMETROS'!G12="","",'02_PARAMETROS'!G12)</x:f>
        <x:v>95</x:v>
      </x:c>
      <x:c r="L8" t="str">
        <x:f>IF(J8&lt;&gt;"VÁLIDO","SIN DATOS",IF(OR('02_PARAMETROS'!$I$9&lt;&gt;"APROBADO",NOT(ISNUMBER('02_PARAMETROS'!$G$9)),'02_PARAMETROS'!$H$9=""),"PENDIENTE DE APROBACIÓN",IF(OR(AND('02_PARAMETROS'!$H$9="&gt;=",H8&gt;='02_PARAMETROS'!$G$9),AND('02_PARAMETROS'!$H$9="&lt;=",H8&lt;='02_PARAMETROS'!$G$9),AND('02_PARAMETROS'!$H$9="&gt;",H8&gt;'02_PARAMETROS'!$G$9),AND('02_PARAMETROS'!$H$9="&lt;",H8&lt;'02_PARAMETROS'!$G$9),AND('02_PARAMETROS'!$H$9="=",H8='02_PARAMETROS'!$G$9)),"CUMPLE","NO CUMPLE")))</x:f>
        <x:v>SIN DATOS</x:v>
      </x:c>
    </x:row>
    <x:row r="9" ht="22" customHeight="1">
      <x:c r="A9" t="str">
        <x:v>T-US-05</x:v>
      </x:c>
      <x:c r="B9" t="str">
        <x:v>Revisar consolidación y validaciones contables</x:v>
      </x:c>
      <x:c r="C9" t="str">
        <x:f>IF(COUNTIF('15_INTENTOS_TAREAS'!$C$5:$C$204,$A9)=0,"",COUNTIF('15_INTENTOS_TAREAS'!$C$5:$C$204,$A9))</x:f>
      </x:c>
      <x:c r="D9" t="str">
        <x:f>IF(C9="","",COUNTIFS('15_INTENTOS_TAREAS'!$C$5:$C$204,$A9,'15_INTENTOS_TAREAS'!$M$5:$M$204,"VÁLIDO"))</x:f>
      </x:c>
      <x:c r="E9" t="str">
        <x:f>IF(D9="","",COUNTIFS('15_INTENTOS_TAREAS'!$C$5:$C$204,$A9,'15_INTENTOS_TAREAS'!$M$5:$M$204,"VÁLIDO",'15_INTENTOS_TAREAS'!$F$5:$F$204,"Correcto"))</x:f>
      </x:c>
      <x:c r="F9" t="str">
        <x:f>IF(D9="","",COUNTIFS('15_INTENTOS_TAREAS'!$C$5:$C$204,$A9,'15_INTENTOS_TAREAS'!$M$5:$M$204,"VÁLIDO",'15_INTENTOS_TAREAS'!$F$5:$F$204,"Incorrecto"))</x:f>
      </x:c>
      <x:c r="G9" t="str">
        <x:f>IF(C9="","",COUNTIFS('15_INTENTOS_TAREAS'!$C$5:$C$204,$A9,'15_INTENTOS_TAREAS'!$M$5:$M$204,"EXCLUIDO"))</x:f>
      </x:c>
      <x:c r="H9" s="28" t="str">
        <x:f>IF(OR(D9="",D9=0,E9=""),"",100*E9/D9)</x:f>
      </x:c>
      <x:c r="I9" t="str">
        <x:f>IF(D9="","",IF(D9=0,"","Ver capturas de 15_INTENTOS_TAREAS"))</x:f>
      </x:c>
      <x:c r="J9" t="str">
        <x:f>IF(C9="","SIN DATOS",IF(D9=0,"INCOMPLETO",IF(C9&gt;D9+G9,"REVISAR","VÁLIDO")))</x:f>
        <x:v>SIN DATOS</x:v>
      </x:c>
      <x:c r="K9" t="str">
        <x:f>IF('02_PARAMETROS'!G13="","",'02_PARAMETROS'!G13)</x:f>
      </x:c>
      <x:c r="L9" t="str">
        <x:f>IF(J9&lt;&gt;"VÁLIDO","SIN DATOS",IF(OR('02_PARAMETROS'!$I$9&lt;&gt;"APROBADO",NOT(ISNUMBER('02_PARAMETROS'!$G$9)),'02_PARAMETROS'!$H$9=""),"PENDIENTE DE APROBACIÓN",IF(OR(AND('02_PARAMETROS'!$H$9="&gt;=",H9&gt;='02_PARAMETROS'!$G$9),AND('02_PARAMETROS'!$H$9="&lt;=",H9&lt;='02_PARAMETROS'!$G$9),AND('02_PARAMETROS'!$H$9="&gt;",H9&gt;'02_PARAMETROS'!$G$9),AND('02_PARAMETROS'!$H$9="&lt;",H9&lt;'02_PARAMETROS'!$G$9),AND('02_PARAMETROS'!$H$9="=",H9='02_PARAMETROS'!$G$9)),"CUMPLE","NO CUMPLE")))</x:f>
        <x:v>SIN DATOS</x:v>
      </x:c>
    </x:row>
    <x:row r="10" ht="22" customHeight="1">
      <x:c r="A10" t="str">
        <x:v>T-US-06</x:v>
      </x:c>
      <x:c r="B10" t="str">
        <x:v>Consultar indicadores del dashboard</x:v>
      </x:c>
      <x:c r="C10" t="str">
        <x:f>IF(COUNTIF('15_INTENTOS_TAREAS'!$C$5:$C$204,$A10)=0,"",COUNTIF('15_INTENTOS_TAREAS'!$C$5:$C$204,$A10))</x:f>
      </x:c>
      <x:c r="D10" t="str">
        <x:f>IF(C10="","",COUNTIFS('15_INTENTOS_TAREAS'!$C$5:$C$204,$A10,'15_INTENTOS_TAREAS'!$M$5:$M$204,"VÁLIDO"))</x:f>
      </x:c>
      <x:c r="E10" t="str">
        <x:f>IF(D10="","",COUNTIFS('15_INTENTOS_TAREAS'!$C$5:$C$204,$A10,'15_INTENTOS_TAREAS'!$M$5:$M$204,"VÁLIDO",'15_INTENTOS_TAREAS'!$F$5:$F$204,"Correcto"))</x:f>
      </x:c>
      <x:c r="F10" t="str">
        <x:f>IF(D10="","",COUNTIFS('15_INTENTOS_TAREAS'!$C$5:$C$204,$A10,'15_INTENTOS_TAREAS'!$M$5:$M$204,"VÁLIDO",'15_INTENTOS_TAREAS'!$F$5:$F$204,"Incorrecto"))</x:f>
      </x:c>
      <x:c r="G10" t="str">
        <x:f>IF(C10="","",COUNTIFS('15_INTENTOS_TAREAS'!$C$5:$C$204,$A10,'15_INTENTOS_TAREAS'!$M$5:$M$204,"EXCLUIDO"))</x:f>
      </x:c>
      <x:c r="H10" s="28" t="str">
        <x:f>IF(OR(D10="",D10=0,E10=""),"",100*E10/D10)</x:f>
      </x:c>
      <x:c r="I10" t="str">
        <x:f>IF(D10="","",IF(D10=0,"","Ver capturas de 15_INTENTOS_TAREAS"))</x:f>
      </x:c>
      <x:c r="J10" t="str">
        <x:f>IF(C10="","SIN DATOS",IF(D10=0,"INCOMPLETO",IF(C10&gt;D10+G10,"REVISAR","VÁLIDO")))</x:f>
        <x:v>SIN DATOS</x:v>
      </x:c>
      <x:c r="K10" t="str">
        <x:f>IF('02_PARAMETROS'!G14="","",'02_PARAMETROS'!G14)</x:f>
      </x:c>
      <x:c r="L10" t="str">
        <x:f>IF(J10&lt;&gt;"VÁLIDO","SIN DATOS",IF(OR('02_PARAMETROS'!$I$9&lt;&gt;"APROBADO",NOT(ISNUMBER('02_PARAMETROS'!$G$9)),'02_PARAMETROS'!$H$9=""),"PENDIENTE DE APROBACIÓN",IF(OR(AND('02_PARAMETROS'!$H$9="&gt;=",H10&gt;='02_PARAMETROS'!$G$9),AND('02_PARAMETROS'!$H$9="&lt;=",H10&lt;='02_PARAMETROS'!$G$9),AND('02_PARAMETROS'!$H$9="&gt;",H10&gt;'02_PARAMETROS'!$G$9),AND('02_PARAMETROS'!$H$9="&lt;",H10&lt;'02_PARAMETROS'!$G$9),AND('02_PARAMETROS'!$H$9="=",H10='02_PARAMETROS'!$G$9)),"CUMPLE","NO CUMPLE")))</x:f>
        <x:v>SIN DATOS</x:v>
      </x:c>
    </x:row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331fbb0353b45f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17" hidden="0" customWidth="1"/>
    <x:col min="7" max="7" width="27" hidden="0" customWidth="1"/>
    <x:col min="8" max="8" width="23" hidden="0" customWidth="1"/>
    <x:col min="9" max="9" width="37" hidden="0" customWidth="1"/>
    <x:col min="10" max="10" width="22" hidden="0" customWidth="1"/>
    <x:col min="11" max="11" width="15" hidden="0" customWidth="1"/>
    <x:col min="12" max="12" width="26" hidden="0" customWidth="1"/>
  </x:cols>
  <x:sheetData>
    <x:row r="1" ht="35" customHeight="1">
      <x:c r="A1" s="3" t="str">
        <x:v>FALLOS CONFIRMADOS POR 1.000 OPERACIONES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7" t="str">
        <x:v>Rechazos de negocio HTTP esperados no equivalen automáticamente a fallos del software.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3" t="str">
        <x:v>Escenario</x:v>
      </x:c>
      <x:c r="B4" s="13" t="str">
        <x:v>Operaciones registradas</x:v>
      </x:c>
      <x:c r="C4" s="13" t="str">
        <x:v>Operaciones válidas</x:v>
      </x:c>
      <x:c r="D4" s="13" t="str">
        <x:v>Fallos confirmados</x:v>
      </x:c>
      <x:c r="E4" s="13" t="str">
        <x:v>Respuestas esperadas</x:v>
      </x:c>
      <x:c r="F4" s="13" t="str">
        <x:v>Excluidas</x:v>
      </x:c>
      <x:c r="G4" s="13" t="str">
        <x:v>Observaciones incompletas</x:v>
      </x:c>
      <x:c r="H4" s="13" t="str">
        <x:v>Fallos por 1.000</x:v>
      </x:c>
      <x:c r="I4" s="13" t="str">
        <x:v>Evidencia</x:v>
      </x:c>
      <x:c r="J4" s="13" t="str">
        <x:v>Estado</x:v>
      </x:c>
      <x:c r="K4" s="13" t="str">
        <x:v>Umbral</x:v>
      </x:c>
      <x:c r="L4" s="13" t="str">
        <x:v>Dictamen</x:v>
      </x:c>
    </x:row>
    <x:row r="5" ht="22" customHeight="1">
      <x:c r="A5" t="str">
        <x:v>ET-01</x:v>
      </x:c>
      <x:c r="B5" t="str">
        <x:f>IF(COUNTIF('16_OPERACIONES_CRUDAS'!$B$5:$B$304,$A5)=0,"",COUNTIF('16_OPERACIONES_CRUDAS'!$B$5:$B$304,$A5))</x:f>
      </x:c>
      <x:c r="C5" t="str">
        <x:f>IF(B5="","",COUNTIFS('16_OPERACIONES_CRUDAS'!$B$5:$B$304,$A5,'16_OPERACIONES_CRUDAS'!$L$5:$L$304,"VÁLIDO"))</x:f>
      </x:c>
      <x:c r="D5" t="str">
        <x:f>IF(C5="","",COUNTIFS('16_OPERACIONES_CRUDAS'!$B$5:$B$304,$A5,'16_OPERACIONES_CRUDAS'!$L$5:$L$304,"VÁLIDO",'16_OPERACIONES_CRUDAS'!$F$5:$F$304,"FALLO CONFIRMADO"))</x:f>
      </x:c>
      <x:c r="E5" t="str">
        <x:f>IF(C5="","",COUNTIFS('16_OPERACIONES_CRUDAS'!$B$5:$B$304,$A5,'16_OPERACIONES_CRUDAS'!$L$5:$L$304,"VÁLIDO",'16_OPERACIONES_CRUDAS'!$F$5:$F$304,"RESPUESTA ESPERADA"))</x:f>
      </x:c>
      <x:c r="F5" t="str">
        <x:f>IF(B5="","",COUNTIFS('16_OPERACIONES_CRUDAS'!$B$5:$B$304,$A5,'16_OPERACIONES_CRUDAS'!$L$5:$L$304,"EXCLUIDO"))</x:f>
      </x:c>
      <x:c r="G5" t="str">
        <x:f>IF(B5="","",COUNTIFS('16_OPERACIONES_CRUDAS'!$B$5:$B$304,$A5,'16_OPERACIONES_CRUDAS'!$L$5:$L$304,"INCOMPLETO"))</x:f>
      </x:c>
      <x:c r="H5" s="28" t="str">
        <x:f>IF(OR(C5="",C5=0,D5=""),"",1000*D5/C5)</x:f>
      </x:c>
      <x:c r="I5" t="str">
        <x:f>IF(C5&gt;0,"Ver evidencias de 16_OPERACIONES_CRUDAS","")</x:f>
      </x:c>
      <x:c r="J5" t="str">
        <x:f>IF(B5="","SIN DATOS",IF(C5=0,"INCOMPLETO",IF(B5&gt;C5+F5,"REVISAR","VÁLIDO")))</x:f>
        <x:v>SIN DATOS</x:v>
      </x:c>
      <x:c r="K5" t="n">
        <x:f>IF('02_PARAMETROS'!G5="","",'02_PARAMETROS'!G5)</x:f>
        <x:v>1</x:v>
      </x:c>
      <x:c r="L5" t="str">
        <x:f>IF(J5&lt;&gt;"VÁLIDO","SIN DATOS",IF(OR('02_PARAMETROS'!$I$5&lt;&gt;"APROBADO",NOT(ISNUMBER('02_PARAMETROS'!$G$5)),'02_PARAMETROS'!$H$5=""),"PENDIENTE DE APROBACIÓN",IF(OR(AND('02_PARAMETROS'!$H$5="&gt;=",H5&gt;='02_PARAMETROS'!$G$5),AND('02_PARAMETROS'!$H$5="&lt;=",H5&lt;='02_PARAMETROS'!$G$5),AND('02_PARAMETROS'!$H$5="&gt;",H5&gt;'02_PARAMETROS'!$G$5),AND('02_PARAMETROS'!$H$5="&lt;",H5&lt;'02_PARAMETROS'!$G$5),AND('02_PARAMETROS'!$H$5="=",H5='02_PARAMETROS'!$G$5)),"CUMPLE","NO CUMPLE")))</x:f>
        <x:v>SIN DATOS</x:v>
      </x:c>
    </x:row>
    <x:row r="6" ht="22" customHeight="1">
      <x:c r="A6" t="str">
        <x:v>ET-02</x:v>
      </x:c>
      <x:c r="B6" t="str">
        <x:f>IF(COUNTIF('16_OPERACIONES_CRUDAS'!$B$5:$B$304,$A6)=0,"",COUNTIF('16_OPERACIONES_CRUDAS'!$B$5:$B$304,$A6))</x:f>
      </x:c>
      <x:c r="C6" t="str">
        <x:f>IF(B6="","",COUNTIFS('16_OPERACIONES_CRUDAS'!$B$5:$B$304,$A6,'16_OPERACIONES_CRUDAS'!$L$5:$L$304,"VÁLIDO"))</x:f>
      </x:c>
      <x:c r="D6" t="str">
        <x:f>IF(C6="","",COUNTIFS('16_OPERACIONES_CRUDAS'!$B$5:$B$304,$A6,'16_OPERACIONES_CRUDAS'!$L$5:$L$304,"VÁLIDO",'16_OPERACIONES_CRUDAS'!$F$5:$F$304,"FALLO CONFIRMADO"))</x:f>
      </x:c>
      <x:c r="E6" t="str">
        <x:f>IF(C6="","",COUNTIFS('16_OPERACIONES_CRUDAS'!$B$5:$B$304,$A6,'16_OPERACIONES_CRUDAS'!$L$5:$L$304,"VÁLIDO",'16_OPERACIONES_CRUDAS'!$F$5:$F$304,"RESPUESTA ESPERADA"))</x:f>
      </x:c>
      <x:c r="F6" t="str">
        <x:f>IF(B6="","",COUNTIFS('16_OPERACIONES_CRUDAS'!$B$5:$B$304,$A6,'16_OPERACIONES_CRUDAS'!$L$5:$L$304,"EXCLUIDO"))</x:f>
      </x:c>
      <x:c r="G6" t="str">
        <x:f>IF(B6="","",COUNTIFS('16_OPERACIONES_CRUDAS'!$B$5:$B$304,$A6,'16_OPERACIONES_CRUDAS'!$L$5:$L$304,"INCOMPLETO"))</x:f>
      </x:c>
      <x:c r="H6" s="28" t="str">
        <x:f>IF(OR(C6="",C6=0,D6=""),"",1000*D6/C6)</x:f>
      </x:c>
      <x:c r="I6" t="str">
        <x:f>IF(C6&gt;0,"Ver evidencias de 16_OPERACIONES_CRUDAS","")</x:f>
      </x:c>
      <x:c r="J6" t="str">
        <x:f>IF(B6="","SIN DATOS",IF(C6=0,"INCOMPLETO",IF(B6&gt;C6+F6,"REVISAR","VÁLIDO")))</x:f>
        <x:v>SIN DATOS</x:v>
      </x:c>
      <x:c r="K6" t="n">
        <x:f>IF('02_PARAMETROS'!G6="","",'02_PARAMETROS'!G6)</x:f>
        <x:v>99</x:v>
      </x:c>
      <x:c r="L6" t="str">
        <x:f>IF(J6&lt;&gt;"VÁLIDO","SIN DATOS",IF(OR('02_PARAMETROS'!$I$5&lt;&gt;"APROBADO",NOT(ISNUMBER('02_PARAMETROS'!$G$5)),'02_PARAMETROS'!$H$5=""),"PENDIENTE DE APROBACIÓN",IF(OR(AND('02_PARAMETROS'!$H$5="&gt;=",H6&gt;='02_PARAMETROS'!$G$5),AND('02_PARAMETROS'!$H$5="&lt;=",H6&lt;='02_PARAMETROS'!$G$5),AND('02_PARAMETROS'!$H$5="&gt;",H6&gt;'02_PARAMETROS'!$G$5),AND('02_PARAMETROS'!$H$5="&lt;",H6&lt;'02_PARAMETROS'!$G$5),AND('02_PARAMETROS'!$H$5="=",H6='02_PARAMETROS'!$G$5)),"CUMPLE","NO CUMPLE")))</x:f>
        <x:v>SIN DATOS</x:v>
      </x:c>
    </x:row>
    <x:row r="7" ht="22" customHeight="1">
      <x:c r="A7" t="str">
        <x:v>ET-03</x:v>
      </x:c>
      <x:c r="B7" t="str">
        <x:f>IF(COUNTIF('16_OPERACIONES_CRUDAS'!$B$5:$B$304,$A7)=0,"",COUNTIF('16_OPERACIONES_CRUDAS'!$B$5:$B$304,$A7))</x:f>
      </x:c>
      <x:c r="C7" t="str">
        <x:f>IF(B7="","",COUNTIFS('16_OPERACIONES_CRUDAS'!$B$5:$B$304,$A7,'16_OPERACIONES_CRUDAS'!$L$5:$L$304,"VÁLIDO"))</x:f>
      </x:c>
      <x:c r="D7" t="str">
        <x:f>IF(C7="","",COUNTIFS('16_OPERACIONES_CRUDAS'!$B$5:$B$304,$A7,'16_OPERACIONES_CRUDAS'!$L$5:$L$304,"VÁLIDO",'16_OPERACIONES_CRUDAS'!$F$5:$F$304,"FALLO CONFIRMADO"))</x:f>
      </x:c>
      <x:c r="E7" t="str">
        <x:f>IF(C7="","",COUNTIFS('16_OPERACIONES_CRUDAS'!$B$5:$B$304,$A7,'16_OPERACIONES_CRUDAS'!$L$5:$L$304,"VÁLIDO",'16_OPERACIONES_CRUDAS'!$F$5:$F$304,"RESPUESTA ESPERADA"))</x:f>
      </x:c>
      <x:c r="F7" t="str">
        <x:f>IF(B7="","",COUNTIFS('16_OPERACIONES_CRUDAS'!$B$5:$B$304,$A7,'16_OPERACIONES_CRUDAS'!$L$5:$L$304,"EXCLUIDO"))</x:f>
      </x:c>
      <x:c r="G7" t="str">
        <x:f>IF(B7="","",COUNTIFS('16_OPERACIONES_CRUDAS'!$B$5:$B$304,$A7,'16_OPERACIONES_CRUDAS'!$L$5:$L$304,"INCOMPLETO"))</x:f>
      </x:c>
      <x:c r="H7" s="28" t="str">
        <x:f>IF(OR(C7="",C7=0,D7=""),"",1000*D7/C7)</x:f>
      </x:c>
      <x:c r="I7" t="str">
        <x:f>IF(C7&gt;0,"Ver evidencias de 16_OPERACIONES_CRUDAS","")</x:f>
      </x:c>
      <x:c r="J7" t="str">
        <x:f>IF(B7="","SIN DATOS",IF(C7=0,"INCOMPLETO",IF(B7&gt;C7+F7,"REVISAR","VÁLIDO")))</x:f>
        <x:v>SIN DATOS</x:v>
      </x:c>
      <x:c r="K7" t="n">
        <x:f>IF('02_PARAMETROS'!G7="","",'02_PARAMETROS'!G7)</x:f>
        <x:v>99.5</x:v>
      </x:c>
      <x:c r="L7" t="str">
        <x:f>IF(J7&lt;&gt;"VÁLIDO","SIN DATOS",IF(OR('02_PARAMETROS'!$I$5&lt;&gt;"APROBADO",NOT(ISNUMBER('02_PARAMETROS'!$G$5)),'02_PARAMETROS'!$H$5=""),"PENDIENTE DE APROBACIÓN",IF(OR(AND('02_PARAMETROS'!$H$5="&gt;=",H7&gt;='02_PARAMETROS'!$G$5),AND('02_PARAMETROS'!$H$5="&lt;=",H7&lt;='02_PARAMETROS'!$G$5),AND('02_PARAMETROS'!$H$5="&gt;",H7&gt;'02_PARAMETROS'!$G$5),AND('02_PARAMETROS'!$H$5="&lt;",H7&lt;'02_PARAMETROS'!$G$5),AND('02_PARAMETROS'!$H$5="=",H7='02_PARAMETROS'!$G$5)),"CUMPLE","NO CUMPLE")))</x:f>
        <x:v>SIN DATOS</x:v>
      </x:c>
    </x:row>
    <x:row r="8" ht="22" customHeight="1">
      <x:c r="A8" t="str">
        <x:v>ET-04</x:v>
      </x:c>
      <x:c r="B8" t="str">
        <x:f>IF(COUNTIF('16_OPERACIONES_CRUDAS'!$B$5:$B$304,$A8)=0,"",COUNTIF('16_OPERACIONES_CRUDAS'!$B$5:$B$304,$A8))</x:f>
      </x:c>
      <x:c r="C8" t="str">
        <x:f>IF(B8="","",COUNTIFS('16_OPERACIONES_CRUDAS'!$B$5:$B$304,$A8,'16_OPERACIONES_CRUDAS'!$L$5:$L$304,"VÁLIDO"))</x:f>
      </x:c>
      <x:c r="D8" t="str">
        <x:f>IF(C8="","",COUNTIFS('16_OPERACIONES_CRUDAS'!$B$5:$B$304,$A8,'16_OPERACIONES_CRUDAS'!$L$5:$L$304,"VÁLIDO",'16_OPERACIONES_CRUDAS'!$F$5:$F$304,"FALLO CONFIRMADO"))</x:f>
      </x:c>
      <x:c r="E8" t="str">
        <x:f>IF(C8="","",COUNTIFS('16_OPERACIONES_CRUDAS'!$B$5:$B$304,$A8,'16_OPERACIONES_CRUDAS'!$L$5:$L$304,"VÁLIDO",'16_OPERACIONES_CRUDAS'!$F$5:$F$304,"RESPUESTA ESPERADA"))</x:f>
      </x:c>
      <x:c r="F8" t="str">
        <x:f>IF(B8="","",COUNTIFS('16_OPERACIONES_CRUDAS'!$B$5:$B$304,$A8,'16_OPERACIONES_CRUDAS'!$L$5:$L$304,"EXCLUIDO"))</x:f>
      </x:c>
      <x:c r="G8" t="str">
        <x:f>IF(B8="","",COUNTIFS('16_OPERACIONES_CRUDAS'!$B$5:$B$304,$A8,'16_OPERACIONES_CRUDAS'!$L$5:$L$304,"INCOMPLETO"))</x:f>
      </x:c>
      <x:c r="H8" s="28" t="str">
        <x:f>IF(OR(C8="",C8=0,D8=""),"",1000*D8/C8)</x:f>
      </x:c>
      <x:c r="I8" t="str">
        <x:f>IF(C8&gt;0,"Ver evidencias de 16_OPERACIONES_CRUDAS","")</x:f>
      </x:c>
      <x:c r="J8" t="str">
        <x:f>IF(B8="","SIN DATOS",IF(C8=0,"INCOMPLETO",IF(B8&gt;C8+F8,"REVISAR","VÁLIDO")))</x:f>
        <x:v>SIN DATOS</x:v>
      </x:c>
      <x:c r="K8" t="n">
        <x:f>IF('02_PARAMETROS'!G8="","",'02_PARAMETROS'!G8)</x:f>
        <x:v>75</x:v>
      </x:c>
      <x:c r="L8" t="str">
        <x:f>IF(J8&lt;&gt;"VÁLIDO","SIN DATOS",IF(OR('02_PARAMETROS'!$I$5&lt;&gt;"APROBADO",NOT(ISNUMBER('02_PARAMETROS'!$G$5)),'02_PARAMETROS'!$H$5=""),"PENDIENTE DE APROBACIÓN",IF(OR(AND('02_PARAMETROS'!$H$5="&gt;=",H8&gt;='02_PARAMETROS'!$G$5),AND('02_PARAMETROS'!$H$5="&lt;=",H8&lt;='02_PARAMETROS'!$G$5),AND('02_PARAMETROS'!$H$5="&gt;",H8&gt;'02_PARAMETROS'!$G$5),AND('02_PARAMETROS'!$H$5="&lt;",H8&lt;'02_PARAMETROS'!$G$5),AND('02_PARAMETROS'!$H$5="=",H8='02_PARAMETROS'!$G$5)),"CUMPLE","NO CUMPLE")))</x:f>
        <x:v>SIN DATOS</x:v>
      </x:c>
    </x:row>
    <x:row r="9" ht="22" customHeight="1">
      <x:c r="A9" t="str">
        <x:v>ET-05</x:v>
      </x:c>
      <x:c r="B9" t="str">
        <x:f>IF(COUNTIF('16_OPERACIONES_CRUDAS'!$B$5:$B$304,$A9)=0,"",COUNTIF('16_OPERACIONES_CRUDAS'!$B$5:$B$304,$A9))</x:f>
      </x:c>
      <x:c r="C9" t="str">
        <x:f>IF(B9="","",COUNTIFS('16_OPERACIONES_CRUDAS'!$B$5:$B$304,$A9,'16_OPERACIONES_CRUDAS'!$L$5:$L$304,"VÁLIDO"))</x:f>
      </x:c>
      <x:c r="D9" t="str">
        <x:f>IF(C9="","",COUNTIFS('16_OPERACIONES_CRUDAS'!$B$5:$B$304,$A9,'16_OPERACIONES_CRUDAS'!$L$5:$L$304,"VÁLIDO",'16_OPERACIONES_CRUDAS'!$F$5:$F$304,"FALLO CONFIRMADO"))</x:f>
      </x:c>
      <x:c r="E9" t="str">
        <x:f>IF(C9="","",COUNTIFS('16_OPERACIONES_CRUDAS'!$B$5:$B$304,$A9,'16_OPERACIONES_CRUDAS'!$L$5:$L$304,"VÁLIDO",'16_OPERACIONES_CRUDAS'!$F$5:$F$304,"RESPUESTA ESPERADA"))</x:f>
      </x:c>
      <x:c r="F9" t="str">
        <x:f>IF(B9="","",COUNTIFS('16_OPERACIONES_CRUDAS'!$B$5:$B$304,$A9,'16_OPERACIONES_CRUDAS'!$L$5:$L$304,"EXCLUIDO"))</x:f>
      </x:c>
      <x:c r="G9" t="str">
        <x:f>IF(B9="","",COUNTIFS('16_OPERACIONES_CRUDAS'!$B$5:$B$304,$A9,'16_OPERACIONES_CRUDAS'!$L$5:$L$304,"INCOMPLETO"))</x:f>
      </x:c>
      <x:c r="H9" s="28" t="str">
        <x:f>IF(OR(C9="",C9=0,D9=""),"",1000*D9/C9)</x:f>
      </x:c>
      <x:c r="I9" t="str">
        <x:f>IF(C9&gt;0,"Ver evidencias de 16_OPERACIONES_CRUDAS","")</x:f>
      </x:c>
      <x:c r="J9" t="str">
        <x:f>IF(B9="","SIN DATOS",IF(C9=0,"INCOMPLETO",IF(B9&gt;C9+F9,"REVISAR","VÁLIDO")))</x:f>
        <x:v>SIN DATOS</x:v>
      </x:c>
      <x:c r="K9" t="str">
        <x:f>IF('02_PARAMETROS'!G9="","",'02_PARAMETROS'!G9)</x:f>
      </x:c>
      <x:c r="L9" t="str">
        <x:f>IF(J9&lt;&gt;"VÁLIDO","SIN DATOS",IF(OR('02_PARAMETROS'!$I$5&lt;&gt;"APROBADO",NOT(ISNUMBER('02_PARAMETROS'!$G$5)),'02_PARAMETROS'!$H$5=""),"PENDIENTE DE APROBACIÓN",IF(OR(AND('02_PARAMETROS'!$H$5="&gt;=",H9&gt;='02_PARAMETROS'!$G$5),AND('02_PARAMETROS'!$H$5="&lt;=",H9&lt;='02_PARAMETROS'!$G$5),AND('02_PARAMETROS'!$H$5="&gt;",H9&gt;'02_PARAMETROS'!$G$5),AND('02_PARAMETROS'!$H$5="&lt;",H9&lt;'02_PARAMETROS'!$G$5),AND('02_PARAMETROS'!$H$5="=",H9='02_PARAMETROS'!$G$5)),"CUMPLE","NO CUMPLE")))</x:f>
        <x:v>SIN DATOS</x:v>
      </x:c>
    </x:row>
    <x:row r="10" ht="22" customHeight="1">
      <x:c r="A10" t="str">
        <x:v>ET-06</x:v>
      </x:c>
      <x:c r="B10" t="str">
        <x:f>IF(COUNTIF('16_OPERACIONES_CRUDAS'!$B$5:$B$304,$A10)=0,"",COUNTIF('16_OPERACIONES_CRUDAS'!$B$5:$B$304,$A10))</x:f>
      </x:c>
      <x:c r="C10" t="str">
        <x:f>IF(B10="","",COUNTIFS('16_OPERACIONES_CRUDAS'!$B$5:$B$304,$A10,'16_OPERACIONES_CRUDAS'!$L$5:$L$304,"VÁLIDO"))</x:f>
      </x:c>
      <x:c r="D10" t="str">
        <x:f>IF(C10="","",COUNTIFS('16_OPERACIONES_CRUDAS'!$B$5:$B$304,$A10,'16_OPERACIONES_CRUDAS'!$L$5:$L$304,"VÁLIDO",'16_OPERACIONES_CRUDAS'!$F$5:$F$304,"FALLO CONFIRMADO"))</x:f>
      </x:c>
      <x:c r="E10" t="str">
        <x:f>IF(C10="","",COUNTIFS('16_OPERACIONES_CRUDAS'!$B$5:$B$304,$A10,'16_OPERACIONES_CRUDAS'!$L$5:$L$304,"VÁLIDO",'16_OPERACIONES_CRUDAS'!$F$5:$F$304,"RESPUESTA ESPERADA"))</x:f>
      </x:c>
      <x:c r="F10" t="str">
        <x:f>IF(B10="","",COUNTIFS('16_OPERACIONES_CRUDAS'!$B$5:$B$304,$A10,'16_OPERACIONES_CRUDAS'!$L$5:$L$304,"EXCLUIDO"))</x:f>
      </x:c>
      <x:c r="G10" t="str">
        <x:f>IF(B10="","",COUNTIFS('16_OPERACIONES_CRUDAS'!$B$5:$B$304,$A10,'16_OPERACIONES_CRUDAS'!$L$5:$L$304,"INCOMPLETO"))</x:f>
      </x:c>
      <x:c r="H10" s="28" t="str">
        <x:f>IF(OR(C10="",C10=0,D10=""),"",1000*D10/C10)</x:f>
      </x:c>
      <x:c r="I10" t="str">
        <x:f>IF(C10&gt;0,"Ver evidencias de 16_OPERACIONES_CRUDAS","")</x:f>
      </x:c>
      <x:c r="J10" t="str">
        <x:f>IF(B10="","SIN DATOS",IF(C10=0,"INCOMPLETO",IF(B10&gt;C10+F10,"REVISAR","VÁLIDO")))</x:f>
        <x:v>SIN DATOS</x:v>
      </x:c>
      <x:c r="K10" t="n">
        <x:f>IF('02_PARAMETROS'!G10="","",'02_PARAMETROS'!G10)</x:f>
        <x:v>2000</x:v>
      </x:c>
      <x:c r="L10" t="str">
        <x:f>IF(J10&lt;&gt;"VÁLIDO","SIN DATOS",IF(OR('02_PARAMETROS'!$I$5&lt;&gt;"APROBADO",NOT(ISNUMBER('02_PARAMETROS'!$G$5)),'02_PARAMETROS'!$H$5=""),"PENDIENTE DE APROBACIÓN",IF(OR(AND('02_PARAMETROS'!$H$5="&gt;=",H10&gt;='02_PARAMETROS'!$G$5),AND('02_PARAMETROS'!$H$5="&lt;=",H10&lt;='02_PARAMETROS'!$G$5),AND('02_PARAMETROS'!$H$5="&gt;",H10&gt;'02_PARAMETROS'!$G$5),AND('02_PARAMETROS'!$H$5="&lt;",H10&lt;'02_PARAMETROS'!$G$5),AND('02_PARAMETROS'!$H$5="=",H10='02_PARAMETROS'!$G$5)),"CUMPLE","NO CUMPLE")))</x:f>
        <x:v>SIN DATOS</x:v>
      </x:c>
    </x:row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6590f82f7b148d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22" hidden="0" customWidth="1"/>
    <x:col min="4" max="4" width="22" hidden="0" customWidth="1"/>
    <x:col min="5" max="5" width="26" hidden="0" customWidth="1"/>
    <x:col min="6" max="6" width="25" hidden="0" customWidth="1"/>
    <x:col min="7" max="7" width="26" hidden="0" customWidth="1"/>
    <x:col min="8" max="8" width="23" hidden="0" customWidth="1"/>
    <x:col min="9" max="9" width="27" hidden="0" customWidth="1"/>
    <x:col min="10" max="10" width="43" hidden="0" customWidth="1"/>
    <x:col min="11" max="11" width="21" hidden="0" customWidth="1"/>
    <x:col min="12" max="12" width="31" hidden="0" customWidth="1"/>
  </x:cols>
  <x:sheetData>
    <x:row r="1" ht="35" customHeight="1">
      <x:c r="A1" s="3" t="str">
        <x:v>DISPONIBILIDAD POR VENTANA TEMPORAL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7" t="str">
        <x:v>Diferenciar semanas y meses; sin fechas ni tiempos reales no hay porcentaje.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3" t="str">
        <x:v>Servicio evaluado</x:v>
      </x:c>
      <x:c r="B4" s="13" t="str">
        <x:v>Ventana</x:v>
      </x:c>
      <x:c r="C4" s="13" t="str">
        <x:v>Fecha inicio</x:v>
      </x:c>
      <x:c r="D4" s="13" t="str">
        <x:v>Fecha fin</x:v>
      </x:c>
      <x:c r="E4" s="13" t="str">
        <x:v>Minutos programados</x:v>
      </x:c>
      <x:c r="F4" s="13" t="str">
        <x:v>Minutos operativos</x:v>
      </x:c>
      <x:c r="G4" s="13" t="str">
        <x:v>Minutos no disponibles</x:v>
      </x:c>
      <x:c r="H4" s="13" t="str">
        <x:v>Disponibilidad (%)</x:v>
      </x:c>
      <x:c r="I4" s="13" t="str">
        <x:v>Umbral aplicable (%)</x:v>
      </x:c>
      <x:c r="J4" s="13" t="str">
        <x:v>Evidencia</x:v>
      </x:c>
      <x:c r="K4" s="13" t="str">
        <x:v>Estado</x:v>
      </x:c>
      <x:c r="L4" s="13" t="str">
        <x:v>Dictamen</x:v>
      </x:c>
    </x:row>
    <x:row r="5" ht="22" customHeight="1">
      <x:c r="A5" s="20"/>
      <x:c r="B5" s="20"/>
      <x:c r="C5" s="24"/>
      <x:c r="D5" s="24"/>
      <x:c r="E5" s="20"/>
      <x:c r="F5" s="20"/>
      <x:c r="G5" s="22" t="str">
        <x:f>IF(OR(NOT(ISNUMBER(E5)),NOT(ISNUMBER(F5)),E5&lt;=0,F5&lt;0,F5&gt;E5),"",E5-F5)</x:f>
      </x:c>
      <x:c r="H5" s="30" t="str">
        <x:f>IF(G5="","",100*F5/E5)</x:f>
      </x:c>
      <x:c r="I5" s="30" t="str">
        <x:f>IF(B5="Semanal",IF('02_PARAMETROS'!G6="","",'02_PARAMETROS'!G6),IF(B5="Mensual",IF('02_PARAMETROS'!G7="","",'02_PARAMETROS'!G7),""))</x:f>
      </x:c>
      <x:c r="J5" s="20"/>
      <x:c r="K5" s="22" t="str">
        <x:f>IF(COUNTA(A5:F5)+COUNTA(J5)=0,"SIN DATOS",IF(AND(ISNUMBER(E5),ISNUMBER(F5),OR(E5&lt;=0,F5&lt;0,F5&gt;E5)),"REVISAR",IF(OR(A5="",B5="",NOT(ISNUMBER(C5)),NOT(ISNUMBER(D5)),D5&lt;C5,G5="",J5=""),"INCOMPLETO","VÁLIDO")))</x:f>
        <x:v>SIN DATOS</x:v>
      </x:c>
      <x:c r="L5" s="22" t="str">
        <x:f>IF(K5&lt;&gt;"VÁLIDO","SIN DATOS",IF(B5="Semanal",IF('02_PARAMETROS'!I6&lt;&gt;"APROBADO","PENDIENTE DE APROBACIÓN",IF(H5&gt;=I5,"CUMPLE","NO CUMPLE")),IF(B5="Mensual",IF('02_PARAMETROS'!I7&lt;&gt;"APROBADO","PENDIENTE DE APROBACIÓN",IF(H5&gt;=I5,"CUMPLE","NO CUMPLE")),"PENDIENTE DE APROBACIÓN")))</x:f>
        <x:v>SIN DATOS</x:v>
      </x:c>
    </x:row>
    <x:row r="6" ht="22" customHeight="1">
      <x:c r="A6" s="20"/>
      <x:c r="B6" s="20"/>
      <x:c r="C6" s="24"/>
      <x:c r="D6" s="24"/>
      <x:c r="E6" s="20"/>
      <x:c r="F6" s="20"/>
      <x:c r="G6" s="22" t="str">
        <x:f>IF(OR(NOT(ISNUMBER(E6)),NOT(ISNUMBER(F6)),E6&lt;=0,F6&lt;0,F6&gt;E6),"",E6-F6)</x:f>
      </x:c>
      <x:c r="H6" s="30" t="str">
        <x:f>IF(G6="","",100*F6/E6)</x:f>
      </x:c>
      <x:c r="I6" s="30" t="str">
        <x:f>IF(B6="Semanal",IF('02_PARAMETROS'!G7="","",'02_PARAMETROS'!G7),IF(B6="Mensual",IF('02_PARAMETROS'!G8="","",'02_PARAMETROS'!G8),""))</x:f>
      </x:c>
      <x:c r="J6" s="20"/>
      <x:c r="K6" s="22" t="str">
        <x:f>IF(COUNTA(A6:F6)+COUNTA(J6)=0,"SIN DATOS",IF(AND(ISNUMBER(E6),ISNUMBER(F6),OR(E6&lt;=0,F6&lt;0,F6&gt;E6)),"REVISAR",IF(OR(A6="",B6="",NOT(ISNUMBER(C6)),NOT(ISNUMBER(D6)),D6&lt;C6,G6="",J6=""),"INCOMPLETO","VÁLIDO")))</x:f>
        <x:v>SIN DATOS</x:v>
      </x:c>
      <x:c r="L6" s="22" t="str">
        <x:f>IF(K6&lt;&gt;"VÁLIDO","SIN DATOS",IF(B6="Semanal",IF('02_PARAMETROS'!I7&lt;&gt;"APROBADO","PENDIENTE DE APROBACIÓN",IF(H6&gt;=I6,"CUMPLE","NO CUMPLE")),IF(B6="Mensual",IF('02_PARAMETROS'!I8&lt;&gt;"APROBADO","PENDIENTE DE APROBACIÓN",IF(H6&gt;=I6,"CUMPLE","NO CUMPLE")),"PENDIENTE DE APROBACIÓN")))</x:f>
        <x:v>SIN DATOS</x:v>
      </x:c>
    </x:row>
    <x:row r="7" ht="22" customHeight="1">
      <x:c r="A7" s="20"/>
      <x:c r="B7" s="20"/>
      <x:c r="C7" s="24"/>
      <x:c r="D7" s="24"/>
      <x:c r="E7" s="20"/>
      <x:c r="F7" s="20"/>
      <x:c r="G7" s="22" t="str">
        <x:f>IF(OR(NOT(ISNUMBER(E7)),NOT(ISNUMBER(F7)),E7&lt;=0,F7&lt;0,F7&gt;E7),"",E7-F7)</x:f>
      </x:c>
      <x:c r="H7" s="30" t="str">
        <x:f>IF(G7="","",100*F7/E7)</x:f>
      </x:c>
      <x:c r="I7" s="30" t="str">
        <x:f>IF(B7="Semanal",IF('02_PARAMETROS'!G8="","",'02_PARAMETROS'!G8),IF(B7="Mensual",IF('02_PARAMETROS'!G9="","",'02_PARAMETROS'!G9),""))</x:f>
      </x:c>
      <x:c r="J7" s="20"/>
      <x:c r="K7" s="22" t="str">
        <x:f>IF(COUNTA(A7:F7)+COUNTA(J7)=0,"SIN DATOS",IF(AND(ISNUMBER(E7),ISNUMBER(F7),OR(E7&lt;=0,F7&lt;0,F7&gt;E7)),"REVISAR",IF(OR(A7="",B7="",NOT(ISNUMBER(C7)),NOT(ISNUMBER(D7)),D7&lt;C7,G7="",J7=""),"INCOMPLETO","VÁLIDO")))</x:f>
        <x:v>SIN DATOS</x:v>
      </x:c>
      <x:c r="L7" s="22" t="str">
        <x:f>IF(K7&lt;&gt;"VÁLIDO","SIN DATOS",IF(B7="Semanal",IF('02_PARAMETROS'!I8&lt;&gt;"APROBADO","PENDIENTE DE APROBACIÓN",IF(H7&gt;=I7,"CUMPLE","NO CUMPLE")),IF(B7="Mensual",IF('02_PARAMETROS'!I9&lt;&gt;"APROBADO","PENDIENTE DE APROBACIÓN",IF(H7&gt;=I7,"CUMPLE","NO CUMPLE")),"PENDIENTE DE APROBACIÓN")))</x:f>
        <x:v>SIN DATOS</x:v>
      </x:c>
    </x:row>
    <x:row r="8" ht="22" customHeight="1">
      <x:c r="A8" s="20"/>
      <x:c r="B8" s="20"/>
      <x:c r="C8" s="24"/>
      <x:c r="D8" s="24"/>
      <x:c r="E8" s="20"/>
      <x:c r="F8" s="20"/>
      <x:c r="G8" s="22" t="str">
        <x:f>IF(OR(NOT(ISNUMBER(E8)),NOT(ISNUMBER(F8)),E8&lt;=0,F8&lt;0,F8&gt;E8),"",E8-F8)</x:f>
      </x:c>
      <x:c r="H8" s="30" t="str">
        <x:f>IF(G8="","",100*F8/E8)</x:f>
      </x:c>
      <x:c r="I8" s="30" t="str">
        <x:f>IF(B8="Semanal",IF('02_PARAMETROS'!G9="","",'02_PARAMETROS'!G9),IF(B8="Mensual",IF('02_PARAMETROS'!G10="","",'02_PARAMETROS'!G10),""))</x:f>
      </x:c>
      <x:c r="J8" s="20"/>
      <x:c r="K8" s="22" t="str">
        <x:f>IF(COUNTA(A8:F8)+COUNTA(J8)=0,"SIN DATOS",IF(AND(ISNUMBER(E8),ISNUMBER(F8),OR(E8&lt;=0,F8&lt;0,F8&gt;E8)),"REVISAR",IF(OR(A8="",B8="",NOT(ISNUMBER(C8)),NOT(ISNUMBER(D8)),D8&lt;C8,G8="",J8=""),"INCOMPLETO","VÁLIDO")))</x:f>
        <x:v>SIN DATOS</x:v>
      </x:c>
      <x:c r="L8" s="22" t="str">
        <x:f>IF(K8&lt;&gt;"VÁLIDO","SIN DATOS",IF(B8="Semanal",IF('02_PARAMETROS'!I9&lt;&gt;"APROBADO","PENDIENTE DE APROBACIÓN",IF(H8&gt;=I8,"CUMPLE","NO CUMPLE")),IF(B8="Mensual",IF('02_PARAMETROS'!I10&lt;&gt;"APROBADO","PENDIENTE DE APROBACIÓN",IF(H8&gt;=I8,"CUMPLE","NO CUMPLE")),"PENDIENTE DE APROBACIÓN")))</x:f>
        <x:v>SIN DATOS</x:v>
      </x:c>
    </x:row>
    <x:row r="9" ht="22" customHeight="1">
      <x:c r="A9" s="20"/>
      <x:c r="B9" s="20"/>
      <x:c r="C9" s="24"/>
      <x:c r="D9" s="24"/>
      <x:c r="E9" s="20"/>
      <x:c r="F9" s="20"/>
      <x:c r="G9" s="22" t="str">
        <x:f>IF(OR(NOT(ISNUMBER(E9)),NOT(ISNUMBER(F9)),E9&lt;=0,F9&lt;0,F9&gt;E9),"",E9-F9)</x:f>
      </x:c>
      <x:c r="H9" s="30" t="str">
        <x:f>IF(G9="","",100*F9/E9)</x:f>
      </x:c>
      <x:c r="I9" s="30" t="str">
        <x:f>IF(B9="Semanal",IF('02_PARAMETROS'!G10="","",'02_PARAMETROS'!G10),IF(B9="Mensual",IF('02_PARAMETROS'!G11="","",'02_PARAMETROS'!G11),""))</x:f>
      </x:c>
      <x:c r="J9" s="20"/>
      <x:c r="K9" s="22" t="str">
        <x:f>IF(COUNTA(A9:F9)+COUNTA(J9)=0,"SIN DATOS",IF(AND(ISNUMBER(E9),ISNUMBER(F9),OR(E9&lt;=0,F9&lt;0,F9&gt;E9)),"REVISAR",IF(OR(A9="",B9="",NOT(ISNUMBER(C9)),NOT(ISNUMBER(D9)),D9&lt;C9,G9="",J9=""),"INCOMPLETO","VÁLIDO")))</x:f>
        <x:v>SIN DATOS</x:v>
      </x:c>
      <x:c r="L9" s="22" t="str">
        <x:f>IF(K9&lt;&gt;"VÁLIDO","SIN DATOS",IF(B9="Semanal",IF('02_PARAMETROS'!I10&lt;&gt;"APROBADO","PENDIENTE DE APROBACIÓN",IF(H9&gt;=I9,"CUMPLE","NO CUMPLE")),IF(B9="Mensual",IF('02_PARAMETROS'!I11&lt;&gt;"APROBADO","PENDIENTE DE APROBACIÓN",IF(H9&gt;=I9,"CUMPLE","NO CUMPLE")),"PENDIENTE DE APROBACIÓN")))</x:f>
        <x:v>SIN DATOS</x:v>
      </x:c>
    </x:row>
    <x:row r="10" ht="22" customHeight="1">
      <x:c r="A10" s="20"/>
      <x:c r="B10" s="20"/>
      <x:c r="C10" s="24"/>
      <x:c r="D10" s="24"/>
      <x:c r="E10" s="20"/>
      <x:c r="F10" s="20"/>
      <x:c r="G10" s="22" t="str">
        <x:f>IF(OR(NOT(ISNUMBER(E10)),NOT(ISNUMBER(F10)),E10&lt;=0,F10&lt;0,F10&gt;E10),"",E10-F10)</x:f>
      </x:c>
      <x:c r="H10" s="30" t="str">
        <x:f>IF(G10="","",100*F10/E10)</x:f>
      </x:c>
      <x:c r="I10" s="30" t="str">
        <x:f>IF(B10="Semanal",IF('02_PARAMETROS'!G11="","",'02_PARAMETROS'!G11),IF(B10="Mensual",IF('02_PARAMETROS'!G12="","",'02_PARAMETROS'!G12),""))</x:f>
      </x:c>
      <x:c r="J10" s="20"/>
      <x:c r="K10" s="22" t="str">
        <x:f>IF(COUNTA(A10:F10)+COUNTA(J10)=0,"SIN DATOS",IF(AND(ISNUMBER(E10),ISNUMBER(F10),OR(E10&lt;=0,F10&lt;0,F10&gt;E10)),"REVISAR",IF(OR(A10="",B10="",NOT(ISNUMBER(C10)),NOT(ISNUMBER(D10)),D10&lt;C10,G10="",J10=""),"INCOMPLETO","VÁLIDO")))</x:f>
        <x:v>SIN DATOS</x:v>
      </x:c>
      <x:c r="L10" s="22" t="str">
        <x:f>IF(K10&lt;&gt;"VÁLIDO","SIN DATOS",IF(B10="Semanal",IF('02_PARAMETROS'!I11&lt;&gt;"APROBADO","PENDIENTE DE APROBACIÓN",IF(H10&gt;=I10,"CUMPLE","NO CUMPLE")),IF(B10="Mensual",IF('02_PARAMETROS'!I12&lt;&gt;"APROBADO","PENDIENTE DE APROBACIÓN",IF(H10&gt;=I10,"CUMPLE","NO CUMPLE")),"PENDIENTE DE APROBACIÓN")))</x:f>
        <x:v>SIN DATOS</x:v>
      </x:c>
    </x:row>
    <x:row r="11" ht="22" customHeight="1">
      <x:c r="A11" s="20"/>
      <x:c r="B11" s="20"/>
      <x:c r="C11" s="24"/>
      <x:c r="D11" s="24"/>
      <x:c r="E11" s="20"/>
      <x:c r="F11" s="20"/>
      <x:c r="G11" s="22" t="str">
        <x:f>IF(OR(NOT(ISNUMBER(E11)),NOT(ISNUMBER(F11)),E11&lt;=0,F11&lt;0,F11&gt;E11),"",E11-F11)</x:f>
      </x:c>
      <x:c r="H11" s="30" t="str">
        <x:f>IF(G11="","",100*F11/E11)</x:f>
      </x:c>
      <x:c r="I11" s="30" t="str">
        <x:f>IF(B11="Semanal",IF('02_PARAMETROS'!G12="","",'02_PARAMETROS'!G12),IF(B11="Mensual",IF('02_PARAMETROS'!G13="","",'02_PARAMETROS'!G13),""))</x:f>
      </x:c>
      <x:c r="J11" s="20"/>
      <x:c r="K11" s="22" t="str">
        <x:f>IF(COUNTA(A11:F11)+COUNTA(J11)=0,"SIN DATOS",IF(AND(ISNUMBER(E11),ISNUMBER(F11),OR(E11&lt;=0,F11&lt;0,F11&gt;E11)),"REVISAR",IF(OR(A11="",B11="",NOT(ISNUMBER(C11)),NOT(ISNUMBER(D11)),D11&lt;C11,G11="",J11=""),"INCOMPLETO","VÁLIDO")))</x:f>
        <x:v>SIN DATOS</x:v>
      </x:c>
      <x:c r="L11" s="22" t="str">
        <x:f>IF(K11&lt;&gt;"VÁLIDO","SIN DATOS",IF(B11="Semanal",IF('02_PARAMETROS'!I12&lt;&gt;"APROBADO","PENDIENTE DE APROBACIÓN",IF(H11&gt;=I11,"CUMPLE","NO CUMPLE")),IF(B11="Mensual",IF('02_PARAMETROS'!I13&lt;&gt;"APROBADO","PENDIENTE DE APROBACIÓN",IF(H11&gt;=I11,"CUMPLE","NO CUMPLE")),"PENDIENTE DE APROBACIÓN")))</x:f>
        <x:v>SIN DATOS</x:v>
      </x:c>
    </x:row>
    <x:row r="12" ht="22" customHeight="1">
      <x:c r="A12" s="20"/>
      <x:c r="B12" s="20"/>
      <x:c r="C12" s="24"/>
      <x:c r="D12" s="24"/>
      <x:c r="E12" s="20"/>
      <x:c r="F12" s="20"/>
      <x:c r="G12" s="22" t="str">
        <x:f>IF(OR(NOT(ISNUMBER(E12)),NOT(ISNUMBER(F12)),E12&lt;=0,F12&lt;0,F12&gt;E12),"",E12-F12)</x:f>
      </x:c>
      <x:c r="H12" s="30" t="str">
        <x:f>IF(G12="","",100*F12/E12)</x:f>
      </x:c>
      <x:c r="I12" s="30" t="str">
        <x:f>IF(B12="Semanal",IF('02_PARAMETROS'!G13="","",'02_PARAMETROS'!G13),IF(B12="Mensual",IF('02_PARAMETROS'!G14="","",'02_PARAMETROS'!G14),""))</x:f>
      </x:c>
      <x:c r="J12" s="20"/>
      <x:c r="K12" s="22" t="str">
        <x:f>IF(COUNTA(A12:F12)+COUNTA(J12)=0,"SIN DATOS",IF(AND(ISNUMBER(E12),ISNUMBER(F12),OR(E12&lt;=0,F12&lt;0,F12&gt;E12)),"REVISAR",IF(OR(A12="",B12="",NOT(ISNUMBER(C12)),NOT(ISNUMBER(D12)),D12&lt;C12,G12="",J12=""),"INCOMPLETO","VÁLIDO")))</x:f>
        <x:v>SIN DATOS</x:v>
      </x:c>
      <x:c r="L12" s="22" t="str">
        <x:f>IF(K12&lt;&gt;"VÁLIDO","SIN DATOS",IF(B12="Semanal",IF('02_PARAMETROS'!I13&lt;&gt;"APROBADO","PENDIENTE DE APROBACIÓN",IF(H12&gt;=I12,"CUMPLE","NO CUMPLE")),IF(B12="Mensual",IF('02_PARAMETROS'!I14&lt;&gt;"APROBADO","PENDIENTE DE APROBACIÓN",IF(H12&gt;=I12,"CUMPLE","NO CUMPLE")),"PENDIENTE DE APROBACIÓN")))</x:f>
        <x:v>SIN DATOS</x:v>
      </x:c>
    </x:row>
    <x:row r="13" ht="22" customHeight="1">
      <x:c r="A13" s="20"/>
      <x:c r="B13" s="20"/>
      <x:c r="C13" s="24"/>
      <x:c r="D13" s="24"/>
      <x:c r="E13" s="20"/>
      <x:c r="F13" s="20"/>
      <x:c r="G13" s="22" t="str">
        <x:f>IF(OR(NOT(ISNUMBER(E13)),NOT(ISNUMBER(F13)),E13&lt;=0,F13&lt;0,F13&gt;E13),"",E13-F13)</x:f>
      </x:c>
      <x:c r="H13" s="30" t="str">
        <x:f>IF(G13="","",100*F13/E13)</x:f>
      </x:c>
      <x:c r="I13" s="30" t="str">
        <x:f>IF(B13="Semanal",IF('02_PARAMETROS'!G14="","",'02_PARAMETROS'!G14),IF(B13="Mensual",IF('02_PARAMETROS'!G15="","",'02_PARAMETROS'!G15),""))</x:f>
      </x:c>
      <x:c r="J13" s="20"/>
      <x:c r="K13" s="22" t="str">
        <x:f>IF(COUNTA(A13:F13)+COUNTA(J13)=0,"SIN DATOS",IF(AND(ISNUMBER(E13),ISNUMBER(F13),OR(E13&lt;=0,F13&lt;0,F13&gt;E13)),"REVISAR",IF(OR(A13="",B13="",NOT(ISNUMBER(C13)),NOT(ISNUMBER(D13)),D13&lt;C13,G13="",J13=""),"INCOMPLETO","VÁLIDO")))</x:f>
        <x:v>SIN DATOS</x:v>
      </x:c>
      <x:c r="L13" s="22" t="str">
        <x:f>IF(K13&lt;&gt;"VÁLIDO","SIN DATOS",IF(B13="Semanal",IF('02_PARAMETROS'!I14&lt;&gt;"APROBADO","PENDIENTE DE APROBACIÓN",IF(H13&gt;=I13,"CUMPLE","NO CUMPLE")),IF(B13="Mensual",IF('02_PARAMETROS'!I15&lt;&gt;"APROBADO","PENDIENTE DE APROBACIÓN",IF(H13&gt;=I13,"CUMPLE","NO CUMPLE")),"PENDIENTE DE APROBACIÓN")))</x:f>
        <x:v>SIN DATOS</x:v>
      </x:c>
    </x:row>
    <x:row r="14" ht="22" customHeight="1">
      <x:c r="A14" s="20"/>
      <x:c r="B14" s="20"/>
      <x:c r="C14" s="24"/>
      <x:c r="D14" s="24"/>
      <x:c r="E14" s="20"/>
      <x:c r="F14" s="20"/>
      <x:c r="G14" s="22" t="str">
        <x:f>IF(OR(NOT(ISNUMBER(E14)),NOT(ISNUMBER(F14)),E14&lt;=0,F14&lt;0,F14&gt;E14),"",E14-F14)</x:f>
      </x:c>
      <x:c r="H14" s="30" t="str">
        <x:f>IF(G14="","",100*F14/E14)</x:f>
      </x:c>
      <x:c r="I14" s="30" t="str">
        <x:f>IF(B14="Semanal",IF('02_PARAMETROS'!G15="","",'02_PARAMETROS'!G15),IF(B14="Mensual",IF('02_PARAMETROS'!G16="","",'02_PARAMETROS'!G16),""))</x:f>
      </x:c>
      <x:c r="J14" s="20"/>
      <x:c r="K14" s="22" t="str">
        <x:f>IF(COUNTA(A14:F14)+COUNTA(J14)=0,"SIN DATOS",IF(AND(ISNUMBER(E14),ISNUMBER(F14),OR(E14&lt;=0,F14&lt;0,F14&gt;E14)),"REVISAR",IF(OR(A14="",B14="",NOT(ISNUMBER(C14)),NOT(ISNUMBER(D14)),D14&lt;C14,G14="",J14=""),"INCOMPLETO","VÁLIDO")))</x:f>
        <x:v>SIN DATOS</x:v>
      </x:c>
      <x:c r="L14" s="22" t="str">
        <x:f>IF(K14&lt;&gt;"VÁLIDO","SIN DATOS",IF(B14="Semanal",IF('02_PARAMETROS'!I15&lt;&gt;"APROBADO","PENDIENTE DE APROBACIÓN",IF(H14&gt;=I14,"CUMPLE","NO CUMPLE")),IF(B14="Mensual",IF('02_PARAMETROS'!I16&lt;&gt;"APROBADO","PENDIENTE DE APROBACIÓN",IF(H14&gt;=I14,"CUMPLE","NO CUMPLE")),"PENDIENTE DE APROBACIÓN")))</x:f>
        <x:v>SIN DATOS</x:v>
      </x:c>
    </x:row>
    <x:row r="15" ht="22" customHeight="1">
      <x:c r="A15" s="20"/>
      <x:c r="B15" s="20"/>
      <x:c r="C15" s="24"/>
      <x:c r="D15" s="24"/>
      <x:c r="E15" s="20"/>
      <x:c r="F15" s="20"/>
      <x:c r="G15" s="22" t="str">
        <x:f>IF(OR(NOT(ISNUMBER(E15)),NOT(ISNUMBER(F15)),E15&lt;=0,F15&lt;0,F15&gt;E15),"",E15-F15)</x:f>
      </x:c>
      <x:c r="H15" s="30" t="str">
        <x:f>IF(G15="","",100*F15/E15)</x:f>
      </x:c>
      <x:c r="I15" s="30" t="str">
        <x:f>IF(B15="Semanal",IF('02_PARAMETROS'!G16="","",'02_PARAMETROS'!G16),IF(B15="Mensual",IF('02_PARAMETROS'!G17="","",'02_PARAMETROS'!G17),""))</x:f>
      </x:c>
      <x:c r="J15" s="20"/>
      <x:c r="K15" s="22" t="str">
        <x:f>IF(COUNTA(A15:F15)+COUNTA(J15)=0,"SIN DATOS",IF(AND(ISNUMBER(E15),ISNUMBER(F15),OR(E15&lt;=0,F15&lt;0,F15&gt;E15)),"REVISAR",IF(OR(A15="",B15="",NOT(ISNUMBER(C15)),NOT(ISNUMBER(D15)),D15&lt;C15,G15="",J15=""),"INCOMPLETO","VÁLIDO")))</x:f>
        <x:v>SIN DATOS</x:v>
      </x:c>
      <x:c r="L15" s="22" t="str">
        <x:f>IF(K15&lt;&gt;"VÁLIDO","SIN DATOS",IF(B15="Semanal",IF('02_PARAMETROS'!I16&lt;&gt;"APROBADO","PENDIENTE DE APROBACIÓN",IF(H15&gt;=I15,"CUMPLE","NO CUMPLE")),IF(B15="Mensual",IF('02_PARAMETROS'!I17&lt;&gt;"APROBADO","PENDIENTE DE APROBACIÓN",IF(H15&gt;=I15,"CUMPLE","NO CUMPLE")),"PENDIENTE DE APROBACIÓN")))</x:f>
        <x:v>SIN DATOS</x:v>
      </x:c>
    </x:row>
    <x:row r="16" ht="22" customHeight="1">
      <x:c r="A16" s="20"/>
      <x:c r="B16" s="20"/>
      <x:c r="C16" s="24"/>
      <x:c r="D16" s="24"/>
      <x:c r="E16" s="20"/>
      <x:c r="F16" s="20"/>
      <x:c r="G16" s="22" t="str">
        <x:f>IF(OR(NOT(ISNUMBER(E16)),NOT(ISNUMBER(F16)),E16&lt;=0,F16&lt;0,F16&gt;E16),"",E16-F16)</x:f>
      </x:c>
      <x:c r="H16" s="30" t="str">
        <x:f>IF(G16="","",100*F16/E16)</x:f>
      </x:c>
      <x:c r="I16" s="30" t="str">
        <x:f>IF(B16="Semanal",IF('02_PARAMETROS'!G17="","",'02_PARAMETROS'!G17),IF(B16="Mensual",IF('02_PARAMETROS'!G18="","",'02_PARAMETROS'!G18),""))</x:f>
      </x:c>
      <x:c r="J16" s="20"/>
      <x:c r="K16" s="22" t="str">
        <x:f>IF(COUNTA(A16:F16)+COUNTA(J16)=0,"SIN DATOS",IF(AND(ISNUMBER(E16),ISNUMBER(F16),OR(E16&lt;=0,F16&lt;0,F16&gt;E16)),"REVISAR",IF(OR(A16="",B16="",NOT(ISNUMBER(C16)),NOT(ISNUMBER(D16)),D16&lt;C16,G16="",J16=""),"INCOMPLETO","VÁLIDO")))</x:f>
        <x:v>SIN DATOS</x:v>
      </x:c>
      <x:c r="L16" s="22" t="str">
        <x:f>IF(K16&lt;&gt;"VÁLIDO","SIN DATOS",IF(B16="Semanal",IF('02_PARAMETROS'!I17&lt;&gt;"APROBADO","PENDIENTE DE APROBACIÓN",IF(H16&gt;=I16,"CUMPLE","NO CUMPLE")),IF(B16="Mensual",IF('02_PARAMETROS'!I18&lt;&gt;"APROBADO","PENDIENTE DE APROBACIÓN",IF(H16&gt;=I16,"CUMPLE","NO CUMPLE")),"PENDIENTE DE APROBACIÓN")))</x:f>
        <x:v>SIN DATOS</x:v>
      </x:c>
    </x:row>
    <x:row r="17" ht="22" customHeight="1">
      <x:c r="A17" s="20"/>
      <x:c r="B17" s="20"/>
      <x:c r="C17" s="24"/>
      <x:c r="D17" s="24"/>
      <x:c r="E17" s="20"/>
      <x:c r="F17" s="20"/>
      <x:c r="G17" s="22" t="str">
        <x:f>IF(OR(NOT(ISNUMBER(E17)),NOT(ISNUMBER(F17)),E17&lt;=0,F17&lt;0,F17&gt;E17),"",E17-F17)</x:f>
      </x:c>
      <x:c r="H17" s="30" t="str">
        <x:f>IF(G17="","",100*F17/E17)</x:f>
      </x:c>
      <x:c r="I17" s="30" t="str">
        <x:f>IF(B17="Semanal",IF('02_PARAMETROS'!G18="","",'02_PARAMETROS'!G18),IF(B17="Mensual",IF('02_PARAMETROS'!G19="","",'02_PARAMETROS'!G19),""))</x:f>
      </x:c>
      <x:c r="J17" s="20"/>
      <x:c r="K17" s="22" t="str">
        <x:f>IF(COUNTA(A17:F17)+COUNTA(J17)=0,"SIN DATOS",IF(AND(ISNUMBER(E17),ISNUMBER(F17),OR(E17&lt;=0,F17&lt;0,F17&gt;E17)),"REVISAR",IF(OR(A17="",B17="",NOT(ISNUMBER(C17)),NOT(ISNUMBER(D17)),D17&lt;C17,G17="",J17=""),"INCOMPLETO","VÁLIDO")))</x:f>
        <x:v>SIN DATOS</x:v>
      </x:c>
      <x:c r="L17" s="22" t="str">
        <x:f>IF(K17&lt;&gt;"VÁLIDO","SIN DATOS",IF(B17="Semanal",IF('02_PARAMETROS'!I18&lt;&gt;"APROBADO","PENDIENTE DE APROBACIÓN",IF(H17&gt;=I17,"CUMPLE","NO CUMPLE")),IF(B17="Mensual",IF('02_PARAMETROS'!I19&lt;&gt;"APROBADO","PENDIENTE DE APROBACIÓN",IF(H17&gt;=I17,"CUMPLE","NO CUMPLE")),"PENDIENTE DE APROBACIÓN")))</x:f>
        <x:v>SIN DATOS</x:v>
      </x:c>
    </x:row>
    <x:row r="18" ht="22" customHeight="1">
      <x:c r="A18" s="20"/>
      <x:c r="B18" s="20"/>
      <x:c r="C18" s="24"/>
      <x:c r="D18" s="24"/>
      <x:c r="E18" s="20"/>
      <x:c r="F18" s="20"/>
      <x:c r="G18" s="22" t="str">
        <x:f>IF(OR(NOT(ISNUMBER(E18)),NOT(ISNUMBER(F18)),E18&lt;=0,F18&lt;0,F18&gt;E18),"",E18-F18)</x:f>
      </x:c>
      <x:c r="H18" s="30" t="str">
        <x:f>IF(G18="","",100*F18/E18)</x:f>
      </x:c>
      <x:c r="I18" s="30" t="str">
        <x:f>IF(B18="Semanal",IF('02_PARAMETROS'!G19="","",'02_PARAMETROS'!G19),IF(B18="Mensual",IF('02_PARAMETROS'!G20="","",'02_PARAMETROS'!G20),""))</x:f>
      </x:c>
      <x:c r="J18" s="20"/>
      <x:c r="K18" s="22" t="str">
        <x:f>IF(COUNTA(A18:F18)+COUNTA(J18)=0,"SIN DATOS",IF(AND(ISNUMBER(E18),ISNUMBER(F18),OR(E18&lt;=0,F18&lt;0,F18&gt;E18)),"REVISAR",IF(OR(A18="",B18="",NOT(ISNUMBER(C18)),NOT(ISNUMBER(D18)),D18&lt;C18,G18="",J18=""),"INCOMPLETO","VÁLIDO")))</x:f>
        <x:v>SIN DATOS</x:v>
      </x:c>
      <x:c r="L18" s="22" t="str">
        <x:f>IF(K18&lt;&gt;"VÁLIDO","SIN DATOS",IF(B18="Semanal",IF('02_PARAMETROS'!I19&lt;&gt;"APROBADO","PENDIENTE DE APROBACIÓN",IF(H18&gt;=I18,"CUMPLE","NO CUMPLE")),IF(B18="Mensual",IF('02_PARAMETROS'!I20&lt;&gt;"APROBADO","PENDIENTE DE APROBACIÓN",IF(H18&gt;=I18,"CUMPLE","NO CUMPLE")),"PENDIENTE DE APROBACIÓN")))</x:f>
        <x:v>SIN DATOS</x:v>
      </x:c>
    </x:row>
    <x:row r="19" ht="22" customHeight="1">
      <x:c r="A19" s="20"/>
      <x:c r="B19" s="20"/>
      <x:c r="C19" s="24"/>
      <x:c r="D19" s="24"/>
      <x:c r="E19" s="20"/>
      <x:c r="F19" s="20"/>
      <x:c r="G19" s="22" t="str">
        <x:f>IF(OR(NOT(ISNUMBER(E19)),NOT(ISNUMBER(F19)),E19&lt;=0,F19&lt;0,F19&gt;E19),"",E19-F19)</x:f>
      </x:c>
      <x:c r="H19" s="30" t="str">
        <x:f>IF(G19="","",100*F19/E19)</x:f>
      </x:c>
      <x:c r="I19" s="30" t="str">
        <x:f>IF(B19="Semanal",IF('02_PARAMETROS'!G20="","",'02_PARAMETROS'!G20),IF(B19="Mensual",IF('02_PARAMETROS'!G21="","",'02_PARAMETROS'!G21),""))</x:f>
      </x:c>
      <x:c r="J19" s="20"/>
      <x:c r="K19" s="22" t="str">
        <x:f>IF(COUNTA(A19:F19)+COUNTA(J19)=0,"SIN DATOS",IF(AND(ISNUMBER(E19),ISNUMBER(F19),OR(E19&lt;=0,F19&lt;0,F19&gt;E19)),"REVISAR",IF(OR(A19="",B19="",NOT(ISNUMBER(C19)),NOT(ISNUMBER(D19)),D19&lt;C19,G19="",J19=""),"INCOMPLETO","VÁLIDO")))</x:f>
        <x:v>SIN DATOS</x:v>
      </x:c>
      <x:c r="L19" s="22" t="str">
        <x:f>IF(K19&lt;&gt;"VÁLIDO","SIN DATOS",IF(B19="Semanal",IF('02_PARAMETROS'!I20&lt;&gt;"APROBADO","PENDIENTE DE APROBACIÓN",IF(H19&gt;=I19,"CUMPLE","NO CUMPLE")),IF(B19="Mensual",IF('02_PARAMETROS'!I21&lt;&gt;"APROBADO","PENDIENTE DE APROBACIÓN",IF(H19&gt;=I19,"CUMPLE","NO CUMPLE")),"PENDIENTE DE APROBACIÓN")))</x:f>
        <x:v>SIN DATOS</x:v>
      </x:c>
    </x:row>
    <x:row r="20" ht="22" customHeight="1">
      <x:c r="A20" s="20"/>
      <x:c r="B20" s="20"/>
      <x:c r="C20" s="24"/>
      <x:c r="D20" s="24"/>
      <x:c r="E20" s="20"/>
      <x:c r="F20" s="20"/>
      <x:c r="G20" s="22" t="str">
        <x:f>IF(OR(NOT(ISNUMBER(E20)),NOT(ISNUMBER(F20)),E20&lt;=0,F20&lt;0,F20&gt;E20),"",E20-F20)</x:f>
      </x:c>
      <x:c r="H20" s="30" t="str">
        <x:f>IF(G20="","",100*F20/E20)</x:f>
      </x:c>
      <x:c r="I20" s="30" t="str">
        <x:f>IF(B20="Semanal",IF('02_PARAMETROS'!G21="","",'02_PARAMETROS'!G21),IF(B20="Mensual",IF('02_PARAMETROS'!G22="","",'02_PARAMETROS'!G22),""))</x:f>
      </x:c>
      <x:c r="J20" s="20"/>
      <x:c r="K20" s="22" t="str">
        <x:f>IF(COUNTA(A20:F20)+COUNTA(J20)=0,"SIN DATOS",IF(AND(ISNUMBER(E20),ISNUMBER(F20),OR(E20&lt;=0,F20&lt;0,F20&gt;E20)),"REVISAR",IF(OR(A20="",B20="",NOT(ISNUMBER(C20)),NOT(ISNUMBER(D20)),D20&lt;C20,G20="",J20=""),"INCOMPLETO","VÁLIDO")))</x:f>
        <x:v>SIN DATOS</x:v>
      </x:c>
      <x:c r="L20" s="22" t="str">
        <x:f>IF(K20&lt;&gt;"VÁLIDO","SIN DATOS",IF(B20="Semanal",IF('02_PARAMETROS'!I21&lt;&gt;"APROBADO","PENDIENTE DE APROBACIÓN",IF(H20&gt;=I20,"CUMPLE","NO CUMPLE")),IF(B20="Mensual",IF('02_PARAMETROS'!I22&lt;&gt;"APROBADO","PENDIENTE DE APROBACIÓN",IF(H20&gt;=I20,"CUMPLE","NO CUMPLE")),"PENDIENTE DE APROBACIÓN")))</x:f>
        <x:v>SIN DATOS</x:v>
      </x:c>
    </x:row>
    <x:row r="21" ht="22" customHeight="1">
      <x:c r="A21" s="20"/>
      <x:c r="B21" s="20"/>
      <x:c r="C21" s="24"/>
      <x:c r="D21" s="24"/>
      <x:c r="E21" s="20"/>
      <x:c r="F21" s="20"/>
      <x:c r="G21" s="22" t="str">
        <x:f>IF(OR(NOT(ISNUMBER(E21)),NOT(ISNUMBER(F21)),E21&lt;=0,F21&lt;0,F21&gt;E21),"",E21-F21)</x:f>
      </x:c>
      <x:c r="H21" s="30" t="str">
        <x:f>IF(G21="","",100*F21/E21)</x:f>
      </x:c>
      <x:c r="I21" s="30" t="str">
        <x:f>IF(B21="Semanal",IF('02_PARAMETROS'!G22="","",'02_PARAMETROS'!G22),IF(B21="Mensual",IF('02_PARAMETROS'!G23="","",'02_PARAMETROS'!G23),""))</x:f>
      </x:c>
      <x:c r="J21" s="20"/>
      <x:c r="K21" s="22" t="str">
        <x:f>IF(COUNTA(A21:F21)+COUNTA(J21)=0,"SIN DATOS",IF(AND(ISNUMBER(E21),ISNUMBER(F21),OR(E21&lt;=0,F21&lt;0,F21&gt;E21)),"REVISAR",IF(OR(A21="",B21="",NOT(ISNUMBER(C21)),NOT(ISNUMBER(D21)),D21&lt;C21,G21="",J21=""),"INCOMPLETO","VÁLIDO")))</x:f>
        <x:v>SIN DATOS</x:v>
      </x:c>
      <x:c r="L21" s="22" t="str">
        <x:f>IF(K21&lt;&gt;"VÁLIDO","SIN DATOS",IF(B21="Semanal",IF('02_PARAMETROS'!I22&lt;&gt;"APROBADO","PENDIENTE DE APROBACIÓN",IF(H21&gt;=I21,"CUMPLE","NO CUMPLE")),IF(B21="Mensual",IF('02_PARAMETROS'!I23&lt;&gt;"APROBADO","PENDIENTE DE APROBACIÓN",IF(H21&gt;=I21,"CUMPLE","NO CUMPLE")),"PENDIENTE DE APROBACIÓN")))</x:f>
        <x:v>SIN DATOS</x:v>
      </x:c>
    </x:row>
    <x:row r="22" ht="22" customHeight="1">
      <x:c r="A22" s="20"/>
      <x:c r="B22" s="20"/>
      <x:c r="C22" s="24"/>
      <x:c r="D22" s="24"/>
      <x:c r="E22" s="20"/>
      <x:c r="F22" s="20"/>
      <x:c r="G22" s="22" t="str">
        <x:f>IF(OR(NOT(ISNUMBER(E22)),NOT(ISNUMBER(F22)),E22&lt;=0,F22&lt;0,F22&gt;E22),"",E22-F22)</x:f>
      </x:c>
      <x:c r="H22" s="30" t="str">
        <x:f>IF(G22="","",100*F22/E22)</x:f>
      </x:c>
      <x:c r="I22" s="30" t="str">
        <x:f>IF(B22="Semanal",IF('02_PARAMETROS'!G23="","",'02_PARAMETROS'!G23),IF(B22="Mensual",IF('02_PARAMETROS'!G24="","",'02_PARAMETROS'!G24),""))</x:f>
      </x:c>
      <x:c r="J22" s="20"/>
      <x:c r="K22" s="22" t="str">
        <x:f>IF(COUNTA(A22:F22)+COUNTA(J22)=0,"SIN DATOS",IF(AND(ISNUMBER(E22),ISNUMBER(F22),OR(E22&lt;=0,F22&lt;0,F22&gt;E22)),"REVISAR",IF(OR(A22="",B22="",NOT(ISNUMBER(C22)),NOT(ISNUMBER(D22)),D22&lt;C22,G22="",J22=""),"INCOMPLETO","VÁLIDO")))</x:f>
        <x:v>SIN DATOS</x:v>
      </x:c>
      <x:c r="L22" s="22" t="str">
        <x:f>IF(K22&lt;&gt;"VÁLIDO","SIN DATOS",IF(B22="Semanal",IF('02_PARAMETROS'!I23&lt;&gt;"APROBADO","PENDIENTE DE APROBACIÓN",IF(H22&gt;=I22,"CUMPLE","NO CUMPLE")),IF(B22="Mensual",IF('02_PARAMETROS'!I24&lt;&gt;"APROBADO","PENDIENTE DE APROBACIÓN",IF(H22&gt;=I22,"CUMPLE","NO CUMPLE")),"PENDIENTE DE APROBACIÓN")))</x:f>
        <x:v>SIN DATOS</x:v>
      </x:c>
    </x:row>
    <x:row r="23" ht="22" customHeight="1">
      <x:c r="A23" s="20"/>
      <x:c r="B23" s="20"/>
      <x:c r="C23" s="24"/>
      <x:c r="D23" s="24"/>
      <x:c r="E23" s="20"/>
      <x:c r="F23" s="20"/>
      <x:c r="G23" s="22" t="str">
        <x:f>IF(OR(NOT(ISNUMBER(E23)),NOT(ISNUMBER(F23)),E23&lt;=0,F23&lt;0,F23&gt;E23),"",E23-F23)</x:f>
      </x:c>
      <x:c r="H23" s="30" t="str">
        <x:f>IF(G23="","",100*F23/E23)</x:f>
      </x:c>
      <x:c r="I23" s="30" t="str">
        <x:f>IF(B23="Semanal",IF('02_PARAMETROS'!G24="","",'02_PARAMETROS'!G24),IF(B23="Mensual",IF('02_PARAMETROS'!G25="","",'02_PARAMETROS'!G25),""))</x:f>
      </x:c>
      <x:c r="J23" s="20"/>
      <x:c r="K23" s="22" t="str">
        <x:f>IF(COUNTA(A23:F23)+COUNTA(J23)=0,"SIN DATOS",IF(AND(ISNUMBER(E23),ISNUMBER(F23),OR(E23&lt;=0,F23&lt;0,F23&gt;E23)),"REVISAR",IF(OR(A23="",B23="",NOT(ISNUMBER(C23)),NOT(ISNUMBER(D23)),D23&lt;C23,G23="",J23=""),"INCOMPLETO","VÁLIDO")))</x:f>
        <x:v>SIN DATOS</x:v>
      </x:c>
      <x:c r="L23" s="22" t="str">
        <x:f>IF(K23&lt;&gt;"VÁLIDO","SIN DATOS",IF(B23="Semanal",IF('02_PARAMETROS'!I24&lt;&gt;"APROBADO","PENDIENTE DE APROBACIÓN",IF(H23&gt;=I23,"CUMPLE","NO CUMPLE")),IF(B23="Mensual",IF('02_PARAMETROS'!I25&lt;&gt;"APROBADO","PENDIENTE DE APROBACIÓN",IF(H23&gt;=I23,"CUMPLE","NO CUMPLE")),"PENDIENTE DE APROBACIÓN")))</x:f>
        <x:v>SIN DATOS</x:v>
      </x:c>
    </x:row>
    <x:row r="24" ht="22" customHeight="1">
      <x:c r="A24" s="20"/>
      <x:c r="B24" s="20"/>
      <x:c r="C24" s="24"/>
      <x:c r="D24" s="24"/>
      <x:c r="E24" s="20"/>
      <x:c r="F24" s="20"/>
      <x:c r="G24" s="22" t="str">
        <x:f>IF(OR(NOT(ISNUMBER(E24)),NOT(ISNUMBER(F24)),E24&lt;=0,F24&lt;0,F24&gt;E24),"",E24-F24)</x:f>
      </x:c>
      <x:c r="H24" s="30" t="str">
        <x:f>IF(G24="","",100*F24/E24)</x:f>
      </x:c>
      <x:c r="I24" s="30" t="str">
        <x:f>IF(B24="Semanal",IF('02_PARAMETROS'!G25="","",'02_PARAMETROS'!G25),IF(B24="Mensual",IF('02_PARAMETROS'!G26="","",'02_PARAMETROS'!G26),""))</x:f>
      </x:c>
      <x:c r="J24" s="20"/>
      <x:c r="K24" s="22" t="str">
        <x:f>IF(COUNTA(A24:F24)+COUNTA(J24)=0,"SIN DATOS",IF(AND(ISNUMBER(E24),ISNUMBER(F24),OR(E24&lt;=0,F24&lt;0,F24&gt;E24)),"REVISAR",IF(OR(A24="",B24="",NOT(ISNUMBER(C24)),NOT(ISNUMBER(D24)),D24&lt;C24,G24="",J24=""),"INCOMPLETO","VÁLIDO")))</x:f>
        <x:v>SIN DATOS</x:v>
      </x:c>
      <x:c r="L24" s="22" t="str">
        <x:f>IF(K24&lt;&gt;"VÁLIDO","SIN DATOS",IF(B24="Semanal",IF('02_PARAMETROS'!I25&lt;&gt;"APROBADO","PENDIENTE DE APROBACIÓN",IF(H24&gt;=I24,"CUMPLE","NO CUMPLE")),IF(B24="Mensual",IF('02_PARAMETROS'!I26&lt;&gt;"APROBADO","PENDIENTE DE APROBACIÓN",IF(H24&gt;=I24,"CUMPLE","NO CUMPLE")),"PENDIENTE DE APROBACIÓN")))</x:f>
        <x:v>SIN DATOS</x:v>
      </x:c>
    </x:row>
    <x:row r="25" ht="22" customHeight="1">
      <x:c r="A25" s="20"/>
      <x:c r="B25" s="20"/>
      <x:c r="C25" s="24"/>
      <x:c r="D25" s="24"/>
      <x:c r="E25" s="20"/>
      <x:c r="F25" s="20"/>
      <x:c r="G25" s="22" t="str">
        <x:f>IF(OR(NOT(ISNUMBER(E25)),NOT(ISNUMBER(F25)),E25&lt;=0,F25&lt;0,F25&gt;E25),"",E25-F25)</x:f>
      </x:c>
      <x:c r="H25" s="30" t="str">
        <x:f>IF(G25="","",100*F25/E25)</x:f>
      </x:c>
      <x:c r="I25" s="30" t="str">
        <x:f>IF(B25="Semanal",IF('02_PARAMETROS'!G26="","",'02_PARAMETROS'!G26),IF(B25="Mensual",IF('02_PARAMETROS'!G27="","",'02_PARAMETROS'!G27),""))</x:f>
      </x:c>
      <x:c r="J25" s="20"/>
      <x:c r="K25" s="22" t="str">
        <x:f>IF(COUNTA(A25:F25)+COUNTA(J25)=0,"SIN DATOS",IF(AND(ISNUMBER(E25),ISNUMBER(F25),OR(E25&lt;=0,F25&lt;0,F25&gt;E25)),"REVISAR",IF(OR(A25="",B25="",NOT(ISNUMBER(C25)),NOT(ISNUMBER(D25)),D25&lt;C25,G25="",J25=""),"INCOMPLETO","VÁLIDO")))</x:f>
        <x:v>SIN DATOS</x:v>
      </x:c>
      <x:c r="L25" s="22" t="str">
        <x:f>IF(K25&lt;&gt;"VÁLIDO","SIN DATOS",IF(B25="Semanal",IF('02_PARAMETROS'!I26&lt;&gt;"APROBADO","PENDIENTE DE APROBACIÓN",IF(H25&gt;=I25,"CUMPLE","NO CUMPLE")),IF(B25="Mensual",IF('02_PARAMETROS'!I27&lt;&gt;"APROBADO","PENDIENTE DE APROBACIÓN",IF(H25&gt;=I25,"CUMPLE","NO CUMPLE")),"PENDIENTE DE APROBACIÓN")))</x:f>
        <x:v>SIN DATOS</x:v>
      </x:c>
    </x:row>
    <x:row r="26" ht="22" customHeight="1">
      <x:c r="A26" s="20"/>
      <x:c r="B26" s="20"/>
      <x:c r="C26" s="24"/>
      <x:c r="D26" s="24"/>
      <x:c r="E26" s="20"/>
      <x:c r="F26" s="20"/>
      <x:c r="G26" s="22" t="str">
        <x:f>IF(OR(NOT(ISNUMBER(E26)),NOT(ISNUMBER(F26)),E26&lt;=0,F26&lt;0,F26&gt;E26),"",E26-F26)</x:f>
      </x:c>
      <x:c r="H26" s="30" t="str">
        <x:f>IF(G26="","",100*F26/E26)</x:f>
      </x:c>
      <x:c r="I26" s="30" t="str">
        <x:f>IF(B26="Semanal",IF('02_PARAMETROS'!G27="","",'02_PARAMETROS'!G27),IF(B26="Mensual",IF('02_PARAMETROS'!G28="","",'02_PARAMETROS'!G28),""))</x:f>
      </x:c>
      <x:c r="J26" s="20"/>
      <x:c r="K26" s="22" t="str">
        <x:f>IF(COUNTA(A26:F26)+COUNTA(J26)=0,"SIN DATOS",IF(AND(ISNUMBER(E26),ISNUMBER(F26),OR(E26&lt;=0,F26&lt;0,F26&gt;E26)),"REVISAR",IF(OR(A26="",B26="",NOT(ISNUMBER(C26)),NOT(ISNUMBER(D26)),D26&lt;C26,G26="",J26=""),"INCOMPLETO","VÁLIDO")))</x:f>
        <x:v>SIN DATOS</x:v>
      </x:c>
      <x:c r="L26" s="22" t="str">
        <x:f>IF(K26&lt;&gt;"VÁLIDO","SIN DATOS",IF(B26="Semanal",IF('02_PARAMETROS'!I27&lt;&gt;"APROBADO","PENDIENTE DE APROBACIÓN",IF(H26&gt;=I26,"CUMPLE","NO CUMPLE")),IF(B26="Mensual",IF('02_PARAMETROS'!I28&lt;&gt;"APROBADO","PENDIENTE DE APROBACIÓN",IF(H26&gt;=I26,"CUMPLE","NO CUMPLE")),"PENDIENTE DE APROBACIÓN")))</x:f>
        <x:v>SIN DATOS</x:v>
      </x:c>
    </x:row>
    <x:row r="27" ht="22" customHeight="1">
      <x:c r="A27" s="20"/>
      <x:c r="B27" s="20"/>
      <x:c r="C27" s="24"/>
      <x:c r="D27" s="24"/>
      <x:c r="E27" s="20"/>
      <x:c r="F27" s="20"/>
      <x:c r="G27" s="22" t="str">
        <x:f>IF(OR(NOT(ISNUMBER(E27)),NOT(ISNUMBER(F27)),E27&lt;=0,F27&lt;0,F27&gt;E27),"",E27-F27)</x:f>
      </x:c>
      <x:c r="H27" s="30" t="str">
        <x:f>IF(G27="","",100*F27/E27)</x:f>
      </x:c>
      <x:c r="I27" s="30" t="str">
        <x:f>IF(B27="Semanal",IF('02_PARAMETROS'!G28="","",'02_PARAMETROS'!G28),IF(B27="Mensual",IF('02_PARAMETROS'!G29="","",'02_PARAMETROS'!G29),""))</x:f>
      </x:c>
      <x:c r="J27" s="20"/>
      <x:c r="K27" s="22" t="str">
        <x:f>IF(COUNTA(A27:F27)+COUNTA(J27)=0,"SIN DATOS",IF(AND(ISNUMBER(E27),ISNUMBER(F27),OR(E27&lt;=0,F27&lt;0,F27&gt;E27)),"REVISAR",IF(OR(A27="",B27="",NOT(ISNUMBER(C27)),NOT(ISNUMBER(D27)),D27&lt;C27,G27="",J27=""),"INCOMPLETO","VÁLIDO")))</x:f>
        <x:v>SIN DATOS</x:v>
      </x:c>
      <x:c r="L27" s="22" t="str">
        <x:f>IF(K27&lt;&gt;"VÁLIDO","SIN DATOS",IF(B27="Semanal",IF('02_PARAMETROS'!I28&lt;&gt;"APROBADO","PENDIENTE DE APROBACIÓN",IF(H27&gt;=I27,"CUMPLE","NO CUMPLE")),IF(B27="Mensual",IF('02_PARAMETROS'!I29&lt;&gt;"APROBADO","PENDIENTE DE APROBACIÓN",IF(H27&gt;=I27,"CUMPLE","NO CUMPLE")),"PENDIENTE DE APROBACIÓN")))</x:f>
        <x:v>SIN DATOS</x:v>
      </x:c>
    </x:row>
    <x:row r="28" ht="22" customHeight="1">
      <x:c r="A28" s="20"/>
      <x:c r="B28" s="20"/>
      <x:c r="C28" s="24"/>
      <x:c r="D28" s="24"/>
      <x:c r="E28" s="20"/>
      <x:c r="F28" s="20"/>
      <x:c r="G28" s="22" t="str">
        <x:f>IF(OR(NOT(ISNUMBER(E28)),NOT(ISNUMBER(F28)),E28&lt;=0,F28&lt;0,F28&gt;E28),"",E28-F28)</x:f>
      </x:c>
      <x:c r="H28" s="30" t="str">
        <x:f>IF(G28="","",100*F28/E28)</x:f>
      </x:c>
      <x:c r="I28" s="30" t="str">
        <x:f>IF(B28="Semanal",IF('02_PARAMETROS'!G29="","",'02_PARAMETROS'!G29),IF(B28="Mensual",IF('02_PARAMETROS'!G30="","",'02_PARAMETROS'!G30),""))</x:f>
      </x:c>
      <x:c r="J28" s="20"/>
      <x:c r="K28" s="22" t="str">
        <x:f>IF(COUNTA(A28:F28)+COUNTA(J28)=0,"SIN DATOS",IF(AND(ISNUMBER(E28),ISNUMBER(F28),OR(E28&lt;=0,F28&lt;0,F28&gt;E28)),"REVISAR",IF(OR(A28="",B28="",NOT(ISNUMBER(C28)),NOT(ISNUMBER(D28)),D28&lt;C28,G28="",J28=""),"INCOMPLETO","VÁLIDO")))</x:f>
        <x:v>SIN DATOS</x:v>
      </x:c>
      <x:c r="L28" s="22" t="str">
        <x:f>IF(K28&lt;&gt;"VÁLIDO","SIN DATOS",IF(B28="Semanal",IF('02_PARAMETROS'!I29&lt;&gt;"APROBADO","PENDIENTE DE APROBACIÓN",IF(H28&gt;=I28,"CUMPLE","NO CUMPLE")),IF(B28="Mensual",IF('02_PARAMETROS'!I30&lt;&gt;"APROBADO","PENDIENTE DE APROBACIÓN",IF(H28&gt;=I28,"CUMPLE","NO CUMPLE")),"PENDIENTE DE APROBACIÓN")))</x:f>
        <x:v>SIN DATOS</x:v>
      </x:c>
    </x:row>
    <x:row r="29" ht="22" customHeight="1">
      <x:c r="A29" s="20"/>
      <x:c r="B29" s="20"/>
      <x:c r="C29" s="24"/>
      <x:c r="D29" s="24"/>
      <x:c r="E29" s="20"/>
      <x:c r="F29" s="20"/>
      <x:c r="G29" s="22" t="str">
        <x:f>IF(OR(NOT(ISNUMBER(E29)),NOT(ISNUMBER(F29)),E29&lt;=0,F29&lt;0,F29&gt;E29),"",E29-F29)</x:f>
      </x:c>
      <x:c r="H29" s="30" t="str">
        <x:f>IF(G29="","",100*F29/E29)</x:f>
      </x:c>
      <x:c r="I29" s="30" t="str">
        <x:f>IF(B29="Semanal",IF('02_PARAMETROS'!G30="","",'02_PARAMETROS'!G30),IF(B29="Mensual",IF('02_PARAMETROS'!G31="","",'02_PARAMETROS'!G31),""))</x:f>
      </x:c>
      <x:c r="J29" s="20"/>
      <x:c r="K29" s="22" t="str">
        <x:f>IF(COUNTA(A29:F29)+COUNTA(J29)=0,"SIN DATOS",IF(AND(ISNUMBER(E29),ISNUMBER(F29),OR(E29&lt;=0,F29&lt;0,F29&gt;E29)),"REVISAR",IF(OR(A29="",B29="",NOT(ISNUMBER(C29)),NOT(ISNUMBER(D29)),D29&lt;C29,G29="",J29=""),"INCOMPLETO","VÁLIDO")))</x:f>
        <x:v>SIN DATOS</x:v>
      </x:c>
      <x:c r="L29" s="22" t="str">
        <x:f>IF(K29&lt;&gt;"VÁLIDO","SIN DATOS",IF(B29="Semanal",IF('02_PARAMETROS'!I30&lt;&gt;"APROBADO","PENDIENTE DE APROBACIÓN",IF(H29&gt;=I29,"CUMPLE","NO CUMPLE")),IF(B29="Mensual",IF('02_PARAMETROS'!I31&lt;&gt;"APROBADO","PENDIENTE DE APROBACIÓN",IF(H29&gt;=I29,"CUMPLE","NO CUMPLE")),"PENDIENTE DE APROBACIÓN")))</x:f>
        <x:v>SIN DATOS</x:v>
      </x:c>
    </x:row>
    <x:row r="30" ht="22" customHeight="1">
      <x:c r="A30" s="20"/>
      <x:c r="B30" s="20"/>
      <x:c r="C30" s="24"/>
      <x:c r="D30" s="24"/>
      <x:c r="E30" s="20"/>
      <x:c r="F30" s="20"/>
      <x:c r="G30" s="22" t="str">
        <x:f>IF(OR(NOT(ISNUMBER(E30)),NOT(ISNUMBER(F30)),E30&lt;=0,F30&lt;0,F30&gt;E30),"",E30-F30)</x:f>
      </x:c>
      <x:c r="H30" s="30" t="str">
        <x:f>IF(G30="","",100*F30/E30)</x:f>
      </x:c>
      <x:c r="I30" s="30" t="str">
        <x:f>IF(B30="Semanal",IF('02_PARAMETROS'!G31="","",'02_PARAMETROS'!G31),IF(B30="Mensual",IF('02_PARAMETROS'!G32="","",'02_PARAMETROS'!G32),""))</x:f>
      </x:c>
      <x:c r="J30" s="20"/>
      <x:c r="K30" s="22" t="str">
        <x:f>IF(COUNTA(A30:F30)+COUNTA(J30)=0,"SIN DATOS",IF(AND(ISNUMBER(E30),ISNUMBER(F30),OR(E30&lt;=0,F30&lt;0,F30&gt;E30)),"REVISAR",IF(OR(A30="",B30="",NOT(ISNUMBER(C30)),NOT(ISNUMBER(D30)),D30&lt;C30,G30="",J30=""),"INCOMPLETO","VÁLIDO")))</x:f>
        <x:v>SIN DATOS</x:v>
      </x:c>
      <x:c r="L30" s="22" t="str">
        <x:f>IF(K30&lt;&gt;"VÁLIDO","SIN DATOS",IF(B30="Semanal",IF('02_PARAMETROS'!I31&lt;&gt;"APROBADO","PENDIENTE DE APROBACIÓN",IF(H30&gt;=I30,"CUMPLE","NO CUMPLE")),IF(B30="Mensual",IF('02_PARAMETROS'!I32&lt;&gt;"APROBADO","PENDIENTE DE APROBACIÓN",IF(H30&gt;=I30,"CUMPLE","NO CUMPLE")),"PENDIENTE DE APROBACIÓN")))</x:f>
        <x:v>SIN DATOS</x:v>
      </x:c>
    </x:row>
    <x:row r="31">
      <x:c r="A31" s="20"/>
      <x:c r="B31" s="20"/>
      <x:c r="C31" s="24"/>
      <x:c r="D31" s="24"/>
      <x:c r="E31" s="20"/>
      <x:c r="F31" s="20"/>
      <x:c r="G31" s="22" t="str">
        <x:f>IF(OR(NOT(ISNUMBER(E31)),NOT(ISNUMBER(F31)),E31&lt;=0,F31&lt;0,F31&gt;E31),"",E31-F31)</x:f>
      </x:c>
      <x:c r="H31" s="30" t="str">
        <x:f>IF(G31="","",100*F31/E31)</x:f>
      </x:c>
      <x:c r="I31" s="30" t="str">
        <x:f>IF(B31="Semanal",IF('02_PARAMETROS'!G32="","",'02_PARAMETROS'!G32),IF(B31="Mensual",IF('02_PARAMETROS'!G33="","",'02_PARAMETROS'!G33),""))</x:f>
      </x:c>
      <x:c r="J31" s="20"/>
      <x:c r="K31" s="22" t="str">
        <x:f>IF(COUNTA(A31:F31)+COUNTA(J31)=0,"SIN DATOS",IF(AND(ISNUMBER(E31),ISNUMBER(F31),OR(E31&lt;=0,F31&lt;0,F31&gt;E31)),"REVISAR",IF(OR(A31="",B31="",NOT(ISNUMBER(C31)),NOT(ISNUMBER(D31)),D31&lt;C31,G31="",J31=""),"INCOMPLETO","VÁLIDO")))</x:f>
        <x:v>SIN DATOS</x:v>
      </x:c>
      <x:c r="L31" s="22" t="str">
        <x:f>IF(K31&lt;&gt;"VÁLIDO","SIN DATOS",IF(B31="Semanal",IF('02_PARAMETROS'!I32&lt;&gt;"APROBADO","PENDIENTE DE APROBACIÓN",IF(H31&gt;=I31,"CUMPLE","NO CUMPLE")),IF(B31="Mensual",IF('02_PARAMETROS'!I33&lt;&gt;"APROBADO","PENDIENTE DE APROBACIÓN",IF(H31&gt;=I31,"CUMPLE","NO CUMPLE")),"PENDIENTE DE APROBACIÓN")))</x:f>
        <x:v>SIN DATOS</x:v>
      </x:c>
    </x:row>
    <x:row r="32">
      <x:c r="A32" s="20"/>
      <x:c r="B32" s="20"/>
      <x:c r="C32" s="24"/>
      <x:c r="D32" s="24"/>
      <x:c r="E32" s="20"/>
      <x:c r="F32" s="20"/>
      <x:c r="G32" s="22" t="str">
        <x:f>IF(OR(NOT(ISNUMBER(E32)),NOT(ISNUMBER(F32)),E32&lt;=0,F32&lt;0,F32&gt;E32),"",E32-F32)</x:f>
      </x:c>
      <x:c r="H32" s="30" t="str">
        <x:f>IF(G32="","",100*F32/E32)</x:f>
      </x:c>
      <x:c r="I32" s="30" t="str">
        <x:f>IF(B32="Semanal",IF('02_PARAMETROS'!G33="","",'02_PARAMETROS'!G33),IF(B32="Mensual",IF('02_PARAMETROS'!G34="","",'02_PARAMETROS'!G34),""))</x:f>
      </x:c>
      <x:c r="J32" s="20"/>
      <x:c r="K32" s="22" t="str">
        <x:f>IF(COUNTA(A32:F32)+COUNTA(J32)=0,"SIN DATOS",IF(AND(ISNUMBER(E32),ISNUMBER(F32),OR(E32&lt;=0,F32&lt;0,F32&gt;E32)),"REVISAR",IF(OR(A32="",B32="",NOT(ISNUMBER(C32)),NOT(ISNUMBER(D32)),D32&lt;C32,G32="",J32=""),"INCOMPLETO","VÁLIDO")))</x:f>
        <x:v>SIN DATOS</x:v>
      </x:c>
      <x:c r="L32" s="22" t="str">
        <x:f>IF(K32&lt;&gt;"VÁLIDO","SIN DATOS",IF(B32="Semanal",IF('02_PARAMETROS'!I33&lt;&gt;"APROBADO","PENDIENTE DE APROBACIÓN",IF(H32&gt;=I32,"CUMPLE","NO CUMPLE")),IF(B32="Mensual",IF('02_PARAMETROS'!I34&lt;&gt;"APROBADO","PENDIENTE DE APROBACIÓN",IF(H32&gt;=I32,"CUMPLE","NO CUMPLE")),"PENDIENTE DE APROBACIÓN")))</x:f>
        <x:v>SIN DATOS</x:v>
      </x:c>
    </x:row>
    <x:row r="33">
      <x:c r="A33" s="20"/>
      <x:c r="B33" s="20"/>
      <x:c r="C33" s="24"/>
      <x:c r="D33" s="24"/>
      <x:c r="E33" s="20"/>
      <x:c r="F33" s="20"/>
      <x:c r="G33" s="22" t="str">
        <x:f>IF(OR(NOT(ISNUMBER(E33)),NOT(ISNUMBER(F33)),E33&lt;=0,F33&lt;0,F33&gt;E33),"",E33-F33)</x:f>
      </x:c>
      <x:c r="H33" s="30" t="str">
        <x:f>IF(G33="","",100*F33/E33)</x:f>
      </x:c>
      <x:c r="I33" s="30" t="str">
        <x:f>IF(B33="Semanal",IF('02_PARAMETROS'!G34="","",'02_PARAMETROS'!G34),IF(B33="Mensual",IF('02_PARAMETROS'!G35="","",'02_PARAMETROS'!G35),""))</x:f>
      </x:c>
      <x:c r="J33" s="20"/>
      <x:c r="K33" s="22" t="str">
        <x:f>IF(COUNTA(A33:F33)+COUNTA(J33)=0,"SIN DATOS",IF(AND(ISNUMBER(E33),ISNUMBER(F33),OR(E33&lt;=0,F33&lt;0,F33&gt;E33)),"REVISAR",IF(OR(A33="",B33="",NOT(ISNUMBER(C33)),NOT(ISNUMBER(D33)),D33&lt;C33,G33="",J33=""),"INCOMPLETO","VÁLIDO")))</x:f>
        <x:v>SIN DATOS</x:v>
      </x:c>
      <x:c r="L33" s="22" t="str">
        <x:f>IF(K33&lt;&gt;"VÁLIDO","SIN DATOS",IF(B33="Semanal",IF('02_PARAMETROS'!I34&lt;&gt;"APROBADO","PENDIENTE DE APROBACIÓN",IF(H33&gt;=I33,"CUMPLE","NO CUMPLE")),IF(B33="Mensual",IF('02_PARAMETROS'!I35&lt;&gt;"APROBADO","PENDIENTE DE APROBACIÓN",IF(H33&gt;=I33,"CUMPLE","NO CUMPLE")),"PENDIENTE DE APROBACIÓN")))</x:f>
        <x:v>SIN DATOS</x:v>
      </x:c>
    </x:row>
    <x:row r="34">
      <x:c r="A34" s="20"/>
      <x:c r="B34" s="20"/>
      <x:c r="C34" s="24"/>
      <x:c r="D34" s="24"/>
      <x:c r="E34" s="20"/>
      <x:c r="F34" s="20"/>
      <x:c r="G34" s="22" t="str">
        <x:f>IF(OR(NOT(ISNUMBER(E34)),NOT(ISNUMBER(F34)),E34&lt;=0,F34&lt;0,F34&gt;E34),"",E34-F34)</x:f>
      </x:c>
      <x:c r="H34" s="30" t="str">
        <x:f>IF(G34="","",100*F34/E34)</x:f>
      </x:c>
      <x:c r="I34" s="30" t="str">
        <x:f>IF(B34="Semanal",IF('02_PARAMETROS'!G35="","",'02_PARAMETROS'!G35),IF(B34="Mensual",IF('02_PARAMETROS'!G36="","",'02_PARAMETROS'!G36),""))</x:f>
      </x:c>
      <x:c r="J34" s="20"/>
      <x:c r="K34" s="22" t="str">
        <x:f>IF(COUNTA(A34:F34)+COUNTA(J34)=0,"SIN DATOS",IF(AND(ISNUMBER(E34),ISNUMBER(F34),OR(E34&lt;=0,F34&lt;0,F34&gt;E34)),"REVISAR",IF(OR(A34="",B34="",NOT(ISNUMBER(C34)),NOT(ISNUMBER(D34)),D34&lt;C34,G34="",J34=""),"INCOMPLETO","VÁLIDO")))</x:f>
        <x:v>SIN DATOS</x:v>
      </x:c>
      <x:c r="L34" s="22" t="str">
        <x:f>IF(K34&lt;&gt;"VÁLIDO","SIN DATOS",IF(B34="Semanal",IF('02_PARAMETROS'!I35&lt;&gt;"APROBADO","PENDIENTE DE APROBACIÓN",IF(H34&gt;=I34,"CUMPLE","NO CUMPLE")),IF(B34="Mensual",IF('02_PARAMETROS'!I36&lt;&gt;"APROBADO","PENDIENTE DE APROBACIÓN",IF(H34&gt;=I34,"CUMPLE","NO CUMPLE")),"PENDIENTE DE APROBACIÓN")))</x:f>
        <x:v>SIN DATOS</x:v>
      </x:c>
    </x:row>
    <x:row r="35">
      <x:c r="A35" s="20"/>
      <x:c r="B35" s="20"/>
      <x:c r="C35" s="24"/>
      <x:c r="D35" s="24"/>
      <x:c r="E35" s="20"/>
      <x:c r="F35" s="20"/>
      <x:c r="G35" s="22" t="str">
        <x:f>IF(OR(NOT(ISNUMBER(E35)),NOT(ISNUMBER(F35)),E35&lt;=0,F35&lt;0,F35&gt;E35),"",E35-F35)</x:f>
      </x:c>
      <x:c r="H35" s="30" t="str">
        <x:f>IF(G35="","",100*F35/E35)</x:f>
      </x:c>
      <x:c r="I35" s="30" t="str">
        <x:f>IF(B35="Semanal",IF('02_PARAMETROS'!G36="","",'02_PARAMETROS'!G36),IF(B35="Mensual",IF('02_PARAMETROS'!G37="","",'02_PARAMETROS'!G37),""))</x:f>
      </x:c>
      <x:c r="J35" s="20"/>
      <x:c r="K35" s="22" t="str">
        <x:f>IF(COUNTA(A35:F35)+COUNTA(J35)=0,"SIN DATOS",IF(AND(ISNUMBER(E35),ISNUMBER(F35),OR(E35&lt;=0,F35&lt;0,F35&gt;E35)),"REVISAR",IF(OR(A35="",B35="",NOT(ISNUMBER(C35)),NOT(ISNUMBER(D35)),D35&lt;C35,G35="",J35=""),"INCOMPLETO","VÁLIDO")))</x:f>
        <x:v>SIN DATOS</x:v>
      </x:c>
      <x:c r="L35" s="22" t="str">
        <x:f>IF(K35&lt;&gt;"VÁLIDO","SIN DATOS",IF(B35="Semanal",IF('02_PARAMETROS'!I36&lt;&gt;"APROBADO","PENDIENTE DE APROBACIÓN",IF(H35&gt;=I35,"CUMPLE","NO CUMPLE")),IF(B35="Mensual",IF('02_PARAMETROS'!I37&lt;&gt;"APROBADO","PENDIENTE DE APROBACIÓN",IF(H35&gt;=I35,"CUMPLE","NO CUMPLE")),"PENDIENTE DE APROBACIÓN")))</x:f>
        <x:v>SIN DATOS</x:v>
      </x:c>
    </x:row>
    <x:row r="36">
      <x:c r="A36" s="20"/>
      <x:c r="B36" s="20"/>
      <x:c r="C36" s="24"/>
      <x:c r="D36" s="24"/>
      <x:c r="E36" s="20"/>
      <x:c r="F36" s="20"/>
      <x:c r="G36" s="22" t="str">
        <x:f>IF(OR(NOT(ISNUMBER(E36)),NOT(ISNUMBER(F36)),E36&lt;=0,F36&lt;0,F36&gt;E36),"",E36-F36)</x:f>
      </x:c>
      <x:c r="H36" s="30" t="str">
        <x:f>IF(G36="","",100*F36/E36)</x:f>
      </x:c>
      <x:c r="I36" s="30" t="str">
        <x:f>IF(B36="Semanal",IF('02_PARAMETROS'!G37="","",'02_PARAMETROS'!G37),IF(B36="Mensual",IF('02_PARAMETROS'!G38="","",'02_PARAMETROS'!G38),""))</x:f>
      </x:c>
      <x:c r="J36" s="20"/>
      <x:c r="K36" s="22" t="str">
        <x:f>IF(COUNTA(A36:F36)+COUNTA(J36)=0,"SIN DATOS",IF(AND(ISNUMBER(E36),ISNUMBER(F36),OR(E36&lt;=0,F36&lt;0,F36&gt;E36)),"REVISAR",IF(OR(A36="",B36="",NOT(ISNUMBER(C36)),NOT(ISNUMBER(D36)),D36&lt;C36,G36="",J36=""),"INCOMPLETO","VÁLIDO")))</x:f>
        <x:v>SIN DATOS</x:v>
      </x:c>
      <x:c r="L36" s="22" t="str">
        <x:f>IF(K36&lt;&gt;"VÁLIDO","SIN DATOS",IF(B36="Semanal",IF('02_PARAMETROS'!I37&lt;&gt;"APROBADO","PENDIENTE DE APROBACIÓN",IF(H36&gt;=I36,"CUMPLE","NO CUMPLE")),IF(B36="Mensual",IF('02_PARAMETROS'!I38&lt;&gt;"APROBADO","PENDIENTE DE APROBACIÓN",IF(H36&gt;=I36,"CUMPLE","NO CUMPLE")),"PENDIENTE DE APROBACIÓN")))</x:f>
        <x:v>SIN DATOS</x:v>
      </x:c>
    </x:row>
    <x:row r="37">
      <x:c r="A37" s="20"/>
      <x:c r="B37" s="20"/>
      <x:c r="C37" s="24"/>
      <x:c r="D37" s="24"/>
      <x:c r="E37" s="20"/>
      <x:c r="F37" s="20"/>
      <x:c r="G37" s="22" t="str">
        <x:f>IF(OR(NOT(ISNUMBER(E37)),NOT(ISNUMBER(F37)),E37&lt;=0,F37&lt;0,F37&gt;E37),"",E37-F37)</x:f>
      </x:c>
      <x:c r="H37" s="30" t="str">
        <x:f>IF(G37="","",100*F37/E37)</x:f>
      </x:c>
      <x:c r="I37" s="30" t="str">
        <x:f>IF(B37="Semanal",IF('02_PARAMETROS'!G38="","",'02_PARAMETROS'!G38),IF(B37="Mensual",IF('02_PARAMETROS'!G39="","",'02_PARAMETROS'!G39),""))</x:f>
      </x:c>
      <x:c r="J37" s="20"/>
      <x:c r="K37" s="22" t="str">
        <x:f>IF(COUNTA(A37:F37)+COUNTA(J37)=0,"SIN DATOS",IF(AND(ISNUMBER(E37),ISNUMBER(F37),OR(E37&lt;=0,F37&lt;0,F37&gt;E37)),"REVISAR",IF(OR(A37="",B37="",NOT(ISNUMBER(C37)),NOT(ISNUMBER(D37)),D37&lt;C37,G37="",J37=""),"INCOMPLETO","VÁLIDO")))</x:f>
        <x:v>SIN DATOS</x:v>
      </x:c>
      <x:c r="L37" s="22" t="str">
        <x:f>IF(K37&lt;&gt;"VÁLIDO","SIN DATOS",IF(B37="Semanal",IF('02_PARAMETROS'!I38&lt;&gt;"APROBADO","PENDIENTE DE APROBACIÓN",IF(H37&gt;=I37,"CUMPLE","NO CUMPLE")),IF(B37="Mensual",IF('02_PARAMETROS'!I39&lt;&gt;"APROBADO","PENDIENTE DE APROBACIÓN",IF(H37&gt;=I37,"CUMPLE","NO CUMPLE")),"PENDIENTE DE APROBACIÓN")))</x:f>
        <x:v>SIN DATOS</x:v>
      </x:c>
    </x:row>
    <x:row r="38">
      <x:c r="A38" s="20"/>
      <x:c r="B38" s="20"/>
      <x:c r="C38" s="24"/>
      <x:c r="D38" s="24"/>
      <x:c r="E38" s="20"/>
      <x:c r="F38" s="20"/>
      <x:c r="G38" s="22" t="str">
        <x:f>IF(OR(NOT(ISNUMBER(E38)),NOT(ISNUMBER(F38)),E38&lt;=0,F38&lt;0,F38&gt;E38),"",E38-F38)</x:f>
      </x:c>
      <x:c r="H38" s="30" t="str">
        <x:f>IF(G38="","",100*F38/E38)</x:f>
      </x:c>
      <x:c r="I38" s="30" t="str">
        <x:f>IF(B38="Semanal",IF('02_PARAMETROS'!G39="","",'02_PARAMETROS'!G39),IF(B38="Mensual",IF('02_PARAMETROS'!G40="","",'02_PARAMETROS'!G40),""))</x:f>
      </x:c>
      <x:c r="J38" s="20"/>
      <x:c r="K38" s="22" t="str">
        <x:f>IF(COUNTA(A38:F38)+COUNTA(J38)=0,"SIN DATOS",IF(AND(ISNUMBER(E38),ISNUMBER(F38),OR(E38&lt;=0,F38&lt;0,F38&gt;E38)),"REVISAR",IF(OR(A38="",B38="",NOT(ISNUMBER(C38)),NOT(ISNUMBER(D38)),D38&lt;C38,G38="",J38=""),"INCOMPLETO","VÁLIDO")))</x:f>
        <x:v>SIN DATOS</x:v>
      </x:c>
      <x:c r="L38" s="22" t="str">
        <x:f>IF(K38&lt;&gt;"VÁLIDO","SIN DATOS",IF(B38="Semanal",IF('02_PARAMETROS'!I39&lt;&gt;"APROBADO","PENDIENTE DE APROBACIÓN",IF(H38&gt;=I38,"CUMPLE","NO CUMPLE")),IF(B38="Mensual",IF('02_PARAMETROS'!I40&lt;&gt;"APROBADO","PENDIENTE DE APROBACIÓN",IF(H38&gt;=I38,"CUMPLE","NO CUMPLE")),"PENDIENTE DE APROBACIÓN")))</x:f>
        <x:v>SIN DATOS</x:v>
      </x:c>
    </x:row>
    <x:row r="39">
      <x:c r="A39" s="20"/>
      <x:c r="B39" s="20"/>
      <x:c r="C39" s="24"/>
      <x:c r="D39" s="24"/>
      <x:c r="E39" s="20"/>
      <x:c r="F39" s="20"/>
      <x:c r="G39" s="22" t="str">
        <x:f>IF(OR(NOT(ISNUMBER(E39)),NOT(ISNUMBER(F39)),E39&lt;=0,F39&lt;0,F39&gt;E39),"",E39-F39)</x:f>
      </x:c>
      <x:c r="H39" s="30" t="str">
        <x:f>IF(G39="","",100*F39/E39)</x:f>
      </x:c>
      <x:c r="I39" s="30" t="str">
        <x:f>IF(B39="Semanal",IF('02_PARAMETROS'!G40="","",'02_PARAMETROS'!G40),IF(B39="Mensual",IF('02_PARAMETROS'!G41="","",'02_PARAMETROS'!G41),""))</x:f>
      </x:c>
      <x:c r="J39" s="20"/>
      <x:c r="K39" s="22" t="str">
        <x:f>IF(COUNTA(A39:F39)+COUNTA(J39)=0,"SIN DATOS",IF(AND(ISNUMBER(E39),ISNUMBER(F39),OR(E39&lt;=0,F39&lt;0,F39&gt;E39)),"REVISAR",IF(OR(A39="",B39="",NOT(ISNUMBER(C39)),NOT(ISNUMBER(D39)),D39&lt;C39,G39="",J39=""),"INCOMPLETO","VÁLIDO")))</x:f>
        <x:v>SIN DATOS</x:v>
      </x:c>
      <x:c r="L39" s="22" t="str">
        <x:f>IF(K39&lt;&gt;"VÁLIDO","SIN DATOS",IF(B39="Semanal",IF('02_PARAMETROS'!I40&lt;&gt;"APROBADO","PENDIENTE DE APROBACIÓN",IF(H39&gt;=I39,"CUMPLE","NO CUMPLE")),IF(B39="Mensual",IF('02_PARAMETROS'!I41&lt;&gt;"APROBADO","PENDIENTE DE APROBACIÓN",IF(H39&gt;=I39,"CUMPLE","NO CUMPLE")),"PENDIENTE DE APROBACIÓN")))</x:f>
        <x:v>SIN DATOS</x:v>
      </x:c>
    </x:row>
    <x:row r="40">
      <x:c r="A40" s="20"/>
      <x:c r="B40" s="20"/>
      <x:c r="C40" s="24"/>
      <x:c r="D40" s="24"/>
      <x:c r="E40" s="20"/>
      <x:c r="F40" s="20"/>
      <x:c r="G40" s="22" t="str">
        <x:f>IF(OR(NOT(ISNUMBER(E40)),NOT(ISNUMBER(F40)),E40&lt;=0,F40&lt;0,F40&gt;E40),"",E40-F40)</x:f>
      </x:c>
      <x:c r="H40" s="30" t="str">
        <x:f>IF(G40="","",100*F40/E40)</x:f>
      </x:c>
      <x:c r="I40" s="30" t="str">
        <x:f>IF(B40="Semanal",IF('02_PARAMETROS'!G41="","",'02_PARAMETROS'!G41),IF(B40="Mensual",IF('02_PARAMETROS'!G42="","",'02_PARAMETROS'!G42),""))</x:f>
      </x:c>
      <x:c r="J40" s="20"/>
      <x:c r="K40" s="22" t="str">
        <x:f>IF(COUNTA(A40:F40)+COUNTA(J40)=0,"SIN DATOS",IF(AND(ISNUMBER(E40),ISNUMBER(F40),OR(E40&lt;=0,F40&lt;0,F40&gt;E40)),"REVISAR",IF(OR(A40="",B40="",NOT(ISNUMBER(C40)),NOT(ISNUMBER(D40)),D40&lt;C40,G40="",J40=""),"INCOMPLETO","VÁLIDO")))</x:f>
        <x:v>SIN DATOS</x:v>
      </x:c>
      <x:c r="L40" s="22" t="str">
        <x:f>IF(K40&lt;&gt;"VÁLIDO","SIN DATOS",IF(B40="Semanal",IF('02_PARAMETROS'!I41&lt;&gt;"APROBADO","PENDIENTE DE APROBACIÓN",IF(H40&gt;=I40,"CUMPLE","NO CUMPLE")),IF(B40="Mensual",IF('02_PARAMETROS'!I42&lt;&gt;"APROBADO","PENDIENTE DE APROBACIÓN",IF(H40&gt;=I40,"CUMPLE","NO CUMPLE")),"PENDIENTE DE APROBACIÓN")))</x:f>
        <x:v>SIN DATOS</x:v>
      </x:c>
    </x:row>
    <x:row r="41">
      <x:c r="A41" s="20"/>
      <x:c r="B41" s="20"/>
      <x:c r="C41" s="24"/>
      <x:c r="D41" s="24"/>
      <x:c r="E41" s="20"/>
      <x:c r="F41" s="20"/>
      <x:c r="G41" s="22" t="str">
        <x:f>IF(OR(NOT(ISNUMBER(E41)),NOT(ISNUMBER(F41)),E41&lt;=0,F41&lt;0,F41&gt;E41),"",E41-F41)</x:f>
      </x:c>
      <x:c r="H41" s="30" t="str">
        <x:f>IF(G41="","",100*F41/E41)</x:f>
      </x:c>
      <x:c r="I41" s="30" t="str">
        <x:f>IF(B41="Semanal",IF('02_PARAMETROS'!G42="","",'02_PARAMETROS'!G42),IF(B41="Mensual",IF('02_PARAMETROS'!G43="","",'02_PARAMETROS'!G43),""))</x:f>
      </x:c>
      <x:c r="J41" s="20"/>
      <x:c r="K41" s="22" t="str">
        <x:f>IF(COUNTA(A41:F41)+COUNTA(J41)=0,"SIN DATOS",IF(AND(ISNUMBER(E41),ISNUMBER(F41),OR(E41&lt;=0,F41&lt;0,F41&gt;E41)),"REVISAR",IF(OR(A41="",B41="",NOT(ISNUMBER(C41)),NOT(ISNUMBER(D41)),D41&lt;C41,G41="",J41=""),"INCOMPLETO","VÁLIDO")))</x:f>
        <x:v>SIN DATOS</x:v>
      </x:c>
      <x:c r="L41" s="22" t="str">
        <x:f>IF(K41&lt;&gt;"VÁLIDO","SIN DATOS",IF(B41="Semanal",IF('02_PARAMETROS'!I42&lt;&gt;"APROBADO","PENDIENTE DE APROBACIÓN",IF(H41&gt;=I41,"CUMPLE","NO CUMPLE")),IF(B41="Mensual",IF('02_PARAMETROS'!I43&lt;&gt;"APROBADO","PENDIENTE DE APROBACIÓN",IF(H41&gt;=I41,"CUMPLE","NO CUMPLE")),"PENDIENTE DE APROBACIÓN")))</x:f>
        <x:v>SIN DATOS</x:v>
      </x:c>
    </x:row>
    <x:row r="42">
      <x:c r="A42" s="20"/>
      <x:c r="B42" s="20"/>
      <x:c r="C42" s="24"/>
      <x:c r="D42" s="24"/>
      <x:c r="E42" s="20"/>
      <x:c r="F42" s="20"/>
      <x:c r="G42" s="22" t="str">
        <x:f>IF(OR(NOT(ISNUMBER(E42)),NOT(ISNUMBER(F42)),E42&lt;=0,F42&lt;0,F42&gt;E42),"",E42-F42)</x:f>
      </x:c>
      <x:c r="H42" s="30" t="str">
        <x:f>IF(G42="","",100*F42/E42)</x:f>
      </x:c>
      <x:c r="I42" s="30" t="str">
        <x:f>IF(B42="Semanal",IF('02_PARAMETROS'!G43="","",'02_PARAMETROS'!G43),IF(B42="Mensual",IF('02_PARAMETROS'!G44="","",'02_PARAMETROS'!G44),""))</x:f>
      </x:c>
      <x:c r="J42" s="20"/>
      <x:c r="K42" s="22" t="str">
        <x:f>IF(COUNTA(A42:F42)+COUNTA(J42)=0,"SIN DATOS",IF(AND(ISNUMBER(E42),ISNUMBER(F42),OR(E42&lt;=0,F42&lt;0,F42&gt;E42)),"REVISAR",IF(OR(A42="",B42="",NOT(ISNUMBER(C42)),NOT(ISNUMBER(D42)),D42&lt;C42,G42="",J42=""),"INCOMPLETO","VÁLIDO")))</x:f>
        <x:v>SIN DATOS</x:v>
      </x:c>
      <x:c r="L42" s="22" t="str">
        <x:f>IF(K42&lt;&gt;"VÁLIDO","SIN DATOS",IF(B42="Semanal",IF('02_PARAMETROS'!I43&lt;&gt;"APROBADO","PENDIENTE DE APROBACIÓN",IF(H42&gt;=I42,"CUMPLE","NO CUMPLE")),IF(B42="Mensual",IF('02_PARAMETROS'!I44&lt;&gt;"APROBADO","PENDIENTE DE APROBACIÓN",IF(H42&gt;=I42,"CUMPLE","NO CUMPLE")),"PENDIENTE DE APROBACIÓN")))</x:f>
        <x:v>SIN DATOS</x:v>
      </x:c>
    </x:row>
    <x:row r="43">
      <x:c r="A43" s="20"/>
      <x:c r="B43" s="20"/>
      <x:c r="C43" s="24"/>
      <x:c r="D43" s="24"/>
      <x:c r="E43" s="20"/>
      <x:c r="F43" s="20"/>
      <x:c r="G43" s="22" t="str">
        <x:f>IF(OR(NOT(ISNUMBER(E43)),NOT(ISNUMBER(F43)),E43&lt;=0,F43&lt;0,F43&gt;E43),"",E43-F43)</x:f>
      </x:c>
      <x:c r="H43" s="30" t="str">
        <x:f>IF(G43="","",100*F43/E43)</x:f>
      </x:c>
      <x:c r="I43" s="30" t="str">
        <x:f>IF(B43="Semanal",IF('02_PARAMETROS'!G44="","",'02_PARAMETROS'!G44),IF(B43="Mensual",IF('02_PARAMETROS'!G45="","",'02_PARAMETROS'!G45),""))</x:f>
      </x:c>
      <x:c r="J43" s="20"/>
      <x:c r="K43" s="22" t="str">
        <x:f>IF(COUNTA(A43:F43)+COUNTA(J43)=0,"SIN DATOS",IF(AND(ISNUMBER(E43),ISNUMBER(F43),OR(E43&lt;=0,F43&lt;0,F43&gt;E43)),"REVISAR",IF(OR(A43="",B43="",NOT(ISNUMBER(C43)),NOT(ISNUMBER(D43)),D43&lt;C43,G43="",J43=""),"INCOMPLETO","VÁLIDO")))</x:f>
        <x:v>SIN DATOS</x:v>
      </x:c>
      <x:c r="L43" s="22" t="str">
        <x:f>IF(K43&lt;&gt;"VÁLIDO","SIN DATOS",IF(B43="Semanal",IF('02_PARAMETROS'!I44&lt;&gt;"APROBADO","PENDIENTE DE APROBACIÓN",IF(H43&gt;=I43,"CUMPLE","NO CUMPLE")),IF(B43="Mensual",IF('02_PARAMETROS'!I45&lt;&gt;"APROBADO","PENDIENTE DE APROBACIÓN",IF(H43&gt;=I43,"CUMPLE","NO CUMPLE")),"PENDIENTE DE APROBACIÓN")))</x:f>
        <x:v>SIN DATOS</x:v>
      </x:c>
    </x:row>
    <x:row r="44">
      <x:c r="A44" s="20"/>
      <x:c r="B44" s="20"/>
      <x:c r="C44" s="24"/>
      <x:c r="D44" s="24"/>
      <x:c r="E44" s="20"/>
      <x:c r="F44" s="20"/>
      <x:c r="G44" s="22" t="str">
        <x:f>IF(OR(NOT(ISNUMBER(E44)),NOT(ISNUMBER(F44)),E44&lt;=0,F44&lt;0,F44&gt;E44),"",E44-F44)</x:f>
      </x:c>
      <x:c r="H44" s="30" t="str">
        <x:f>IF(G44="","",100*F44/E44)</x:f>
      </x:c>
      <x:c r="I44" s="30" t="str">
        <x:f>IF(B44="Semanal",IF('02_PARAMETROS'!G45="","",'02_PARAMETROS'!G45),IF(B44="Mensual",IF('02_PARAMETROS'!G46="","",'02_PARAMETROS'!G46),""))</x:f>
      </x:c>
      <x:c r="J44" s="20"/>
      <x:c r="K44" s="22" t="str">
        <x:f>IF(COUNTA(A44:F44)+COUNTA(J44)=0,"SIN DATOS",IF(AND(ISNUMBER(E44),ISNUMBER(F44),OR(E44&lt;=0,F44&lt;0,F44&gt;E44)),"REVISAR",IF(OR(A44="",B44="",NOT(ISNUMBER(C44)),NOT(ISNUMBER(D44)),D44&lt;C44,G44="",J44=""),"INCOMPLETO","VÁLIDO")))</x:f>
        <x:v>SIN DATOS</x:v>
      </x:c>
      <x:c r="L44" s="22" t="str">
        <x:f>IF(K44&lt;&gt;"VÁLIDO","SIN DATOS",IF(B44="Semanal",IF('02_PARAMETROS'!I45&lt;&gt;"APROBADO","PENDIENTE DE APROBACIÓN",IF(H44&gt;=I44,"CUMPLE","NO CUMPLE")),IF(B44="Mensual",IF('02_PARAMETROS'!I46&lt;&gt;"APROBADO","PENDIENTE DE APROBACIÓN",IF(H44&gt;=I44,"CUMPLE","NO CUMPLE")),"PENDIENTE DE APROBACIÓN")))</x:f>
        <x:v>SIN DATOS</x:v>
      </x:c>
    </x:row>
    <x:row r="45">
      <x:c r="A45" s="20"/>
      <x:c r="B45" s="20"/>
      <x:c r="C45" s="24"/>
      <x:c r="D45" s="24"/>
      <x:c r="E45" s="20"/>
      <x:c r="F45" s="20"/>
      <x:c r="G45" s="22" t="str">
        <x:f>IF(OR(NOT(ISNUMBER(E45)),NOT(ISNUMBER(F45)),E45&lt;=0,F45&lt;0,F45&gt;E45),"",E45-F45)</x:f>
      </x:c>
      <x:c r="H45" s="30" t="str">
        <x:f>IF(G45="","",100*F45/E45)</x:f>
      </x:c>
      <x:c r="I45" s="30" t="str">
        <x:f>IF(B45="Semanal",IF('02_PARAMETROS'!G46="","",'02_PARAMETROS'!G46),IF(B45="Mensual",IF('02_PARAMETROS'!G47="","",'02_PARAMETROS'!G47),""))</x:f>
      </x:c>
      <x:c r="J45" s="20"/>
      <x:c r="K45" s="22" t="str">
        <x:f>IF(COUNTA(A45:F45)+COUNTA(J45)=0,"SIN DATOS",IF(AND(ISNUMBER(E45),ISNUMBER(F45),OR(E45&lt;=0,F45&lt;0,F45&gt;E45)),"REVISAR",IF(OR(A45="",B45="",NOT(ISNUMBER(C45)),NOT(ISNUMBER(D45)),D45&lt;C45,G45="",J45=""),"INCOMPLETO","VÁLIDO")))</x:f>
        <x:v>SIN DATOS</x:v>
      </x:c>
      <x:c r="L45" s="22" t="str">
        <x:f>IF(K45&lt;&gt;"VÁLIDO","SIN DATOS",IF(B45="Semanal",IF('02_PARAMETROS'!I46&lt;&gt;"APROBADO","PENDIENTE DE APROBACIÓN",IF(H45&gt;=I45,"CUMPLE","NO CUMPLE")),IF(B45="Mensual",IF('02_PARAMETROS'!I47&lt;&gt;"APROBADO","PENDIENTE DE APROBACIÓN",IF(H45&gt;=I45,"CUMPLE","NO CUMPLE")),"PENDIENTE DE APROBACIÓN")))</x:f>
        <x:v>SIN DATOS</x:v>
      </x:c>
    </x:row>
    <x:row r="46">
      <x:c r="A46" s="20"/>
      <x:c r="B46" s="20"/>
      <x:c r="C46" s="24"/>
      <x:c r="D46" s="24"/>
      <x:c r="E46" s="20"/>
      <x:c r="F46" s="20"/>
      <x:c r="G46" s="22" t="str">
        <x:f>IF(OR(NOT(ISNUMBER(E46)),NOT(ISNUMBER(F46)),E46&lt;=0,F46&lt;0,F46&gt;E46),"",E46-F46)</x:f>
      </x:c>
      <x:c r="H46" s="30" t="str">
        <x:f>IF(G46="","",100*F46/E46)</x:f>
      </x:c>
      <x:c r="I46" s="30" t="str">
        <x:f>IF(B46="Semanal",IF('02_PARAMETROS'!G47="","",'02_PARAMETROS'!G47),IF(B46="Mensual",IF('02_PARAMETROS'!G48="","",'02_PARAMETROS'!G48),""))</x:f>
      </x:c>
      <x:c r="J46" s="20"/>
      <x:c r="K46" s="22" t="str">
        <x:f>IF(COUNTA(A46:F46)+COUNTA(J46)=0,"SIN DATOS",IF(AND(ISNUMBER(E46),ISNUMBER(F46),OR(E46&lt;=0,F46&lt;0,F46&gt;E46)),"REVISAR",IF(OR(A46="",B46="",NOT(ISNUMBER(C46)),NOT(ISNUMBER(D46)),D46&lt;C46,G46="",J46=""),"INCOMPLETO","VÁLIDO")))</x:f>
        <x:v>SIN DATOS</x:v>
      </x:c>
      <x:c r="L46" s="22" t="str">
        <x:f>IF(K46&lt;&gt;"VÁLIDO","SIN DATOS",IF(B46="Semanal",IF('02_PARAMETROS'!I47&lt;&gt;"APROBADO","PENDIENTE DE APROBACIÓN",IF(H46&gt;=I46,"CUMPLE","NO CUMPLE")),IF(B46="Mensual",IF('02_PARAMETROS'!I48&lt;&gt;"APROBADO","PENDIENTE DE APROBACIÓN",IF(H46&gt;=I46,"CUMPLE","NO CUMPLE")),"PENDIENTE DE APROBACIÓN")))</x:f>
        <x:v>SIN DATOS</x:v>
      </x:c>
    </x:row>
    <x:row r="47">
      <x:c r="A47" s="20"/>
      <x:c r="B47" s="20"/>
      <x:c r="C47" s="24"/>
      <x:c r="D47" s="24"/>
      <x:c r="E47" s="20"/>
      <x:c r="F47" s="20"/>
      <x:c r="G47" s="22" t="str">
        <x:f>IF(OR(NOT(ISNUMBER(E47)),NOT(ISNUMBER(F47)),E47&lt;=0,F47&lt;0,F47&gt;E47),"",E47-F47)</x:f>
      </x:c>
      <x:c r="H47" s="30" t="str">
        <x:f>IF(G47="","",100*F47/E47)</x:f>
      </x:c>
      <x:c r="I47" s="30" t="str">
        <x:f>IF(B47="Semanal",IF('02_PARAMETROS'!G48="","",'02_PARAMETROS'!G48),IF(B47="Mensual",IF('02_PARAMETROS'!G49="","",'02_PARAMETROS'!G49),""))</x:f>
      </x:c>
      <x:c r="J47" s="20"/>
      <x:c r="K47" s="22" t="str">
        <x:f>IF(COUNTA(A47:F47)+COUNTA(J47)=0,"SIN DATOS",IF(AND(ISNUMBER(E47),ISNUMBER(F47),OR(E47&lt;=0,F47&lt;0,F47&gt;E47)),"REVISAR",IF(OR(A47="",B47="",NOT(ISNUMBER(C47)),NOT(ISNUMBER(D47)),D47&lt;C47,G47="",J47=""),"INCOMPLETO","VÁLIDO")))</x:f>
        <x:v>SIN DATOS</x:v>
      </x:c>
      <x:c r="L47" s="22" t="str">
        <x:f>IF(K47&lt;&gt;"VÁLIDO","SIN DATOS",IF(B47="Semanal",IF('02_PARAMETROS'!I48&lt;&gt;"APROBADO","PENDIENTE DE APROBACIÓN",IF(H47&gt;=I47,"CUMPLE","NO CUMPLE")),IF(B47="Mensual",IF('02_PARAMETROS'!I49&lt;&gt;"APROBADO","PENDIENTE DE APROBACIÓN",IF(H47&gt;=I47,"CUMPLE","NO CUMPLE")),"PENDIENTE DE APROBACIÓN")))</x:f>
        <x:v>SIN DATOS</x:v>
      </x:c>
    </x:row>
    <x:row r="48">
      <x:c r="A48" s="20"/>
      <x:c r="B48" s="20"/>
      <x:c r="C48" s="24"/>
      <x:c r="D48" s="24"/>
      <x:c r="E48" s="20"/>
      <x:c r="F48" s="20"/>
      <x:c r="G48" s="22" t="str">
        <x:f>IF(OR(NOT(ISNUMBER(E48)),NOT(ISNUMBER(F48)),E48&lt;=0,F48&lt;0,F48&gt;E48),"",E48-F48)</x:f>
      </x:c>
      <x:c r="H48" s="30" t="str">
        <x:f>IF(G48="","",100*F48/E48)</x:f>
      </x:c>
      <x:c r="I48" s="30" t="str">
        <x:f>IF(B48="Semanal",IF('02_PARAMETROS'!G49="","",'02_PARAMETROS'!G49),IF(B48="Mensual",IF('02_PARAMETROS'!G50="","",'02_PARAMETROS'!G50),""))</x:f>
      </x:c>
      <x:c r="J48" s="20"/>
      <x:c r="K48" s="22" t="str">
        <x:f>IF(COUNTA(A48:F48)+COUNTA(J48)=0,"SIN DATOS",IF(AND(ISNUMBER(E48),ISNUMBER(F48),OR(E48&lt;=0,F48&lt;0,F48&gt;E48)),"REVISAR",IF(OR(A48="",B48="",NOT(ISNUMBER(C48)),NOT(ISNUMBER(D48)),D48&lt;C48,G48="",J48=""),"INCOMPLETO","VÁLIDO")))</x:f>
        <x:v>SIN DATOS</x:v>
      </x:c>
      <x:c r="L48" s="22" t="str">
        <x:f>IF(K48&lt;&gt;"VÁLIDO","SIN DATOS",IF(B48="Semanal",IF('02_PARAMETROS'!I49&lt;&gt;"APROBADO","PENDIENTE DE APROBACIÓN",IF(H48&gt;=I48,"CUMPLE","NO CUMPLE")),IF(B48="Mensual",IF('02_PARAMETROS'!I50&lt;&gt;"APROBADO","PENDIENTE DE APROBACIÓN",IF(H48&gt;=I48,"CUMPLE","NO CUMPLE")),"PENDIENTE DE APROBACIÓN")))</x:f>
        <x:v>SIN DATOS</x:v>
      </x:c>
    </x:row>
    <x:row r="49">
      <x:c r="A49" s="20"/>
      <x:c r="B49" s="20"/>
      <x:c r="C49" s="24"/>
      <x:c r="D49" s="24"/>
      <x:c r="E49" s="20"/>
      <x:c r="F49" s="20"/>
      <x:c r="G49" s="22" t="str">
        <x:f>IF(OR(NOT(ISNUMBER(E49)),NOT(ISNUMBER(F49)),E49&lt;=0,F49&lt;0,F49&gt;E49),"",E49-F49)</x:f>
      </x:c>
      <x:c r="H49" s="30" t="str">
        <x:f>IF(G49="","",100*F49/E49)</x:f>
      </x:c>
      <x:c r="I49" s="30" t="str">
        <x:f>IF(B49="Semanal",IF('02_PARAMETROS'!G50="","",'02_PARAMETROS'!G50),IF(B49="Mensual",IF('02_PARAMETROS'!G51="","",'02_PARAMETROS'!G51),""))</x:f>
      </x:c>
      <x:c r="J49" s="20"/>
      <x:c r="K49" s="22" t="str">
        <x:f>IF(COUNTA(A49:F49)+COUNTA(J49)=0,"SIN DATOS",IF(AND(ISNUMBER(E49),ISNUMBER(F49),OR(E49&lt;=0,F49&lt;0,F49&gt;E49)),"REVISAR",IF(OR(A49="",B49="",NOT(ISNUMBER(C49)),NOT(ISNUMBER(D49)),D49&lt;C49,G49="",J49=""),"INCOMPLETO","VÁLIDO")))</x:f>
        <x:v>SIN DATOS</x:v>
      </x:c>
      <x:c r="L49" s="22" t="str">
        <x:f>IF(K49&lt;&gt;"VÁLIDO","SIN DATOS",IF(B49="Semanal",IF('02_PARAMETROS'!I50&lt;&gt;"APROBADO","PENDIENTE DE APROBACIÓN",IF(H49&gt;=I49,"CUMPLE","NO CUMPLE")),IF(B49="Mensual",IF('02_PARAMETROS'!I51&lt;&gt;"APROBADO","PENDIENTE DE APROBACIÓN",IF(H49&gt;=I49,"CUMPLE","NO CUMPLE")),"PENDIENTE DE APROBACIÓN")))</x:f>
        <x:v>SIN DATOS</x:v>
      </x:c>
    </x:row>
    <x:row r="50">
      <x:c r="A50" s="20"/>
      <x:c r="B50" s="20"/>
      <x:c r="C50" s="24"/>
      <x:c r="D50" s="24"/>
      <x:c r="E50" s="20"/>
      <x:c r="F50" s="20"/>
      <x:c r="G50" s="22" t="str">
        <x:f>IF(OR(NOT(ISNUMBER(E50)),NOT(ISNUMBER(F50)),E50&lt;=0,F50&lt;0,F50&gt;E50),"",E50-F50)</x:f>
      </x:c>
      <x:c r="H50" s="30" t="str">
        <x:f>IF(G50="","",100*F50/E50)</x:f>
      </x:c>
      <x:c r="I50" s="30" t="str">
        <x:f>IF(B50="Semanal",IF('02_PARAMETROS'!G51="","",'02_PARAMETROS'!G51),IF(B50="Mensual",IF('02_PARAMETROS'!G52="","",'02_PARAMETROS'!G52),""))</x:f>
      </x:c>
      <x:c r="J50" s="20"/>
      <x:c r="K50" s="22" t="str">
        <x:f>IF(COUNTA(A50:F50)+COUNTA(J50)=0,"SIN DATOS",IF(AND(ISNUMBER(E50),ISNUMBER(F50),OR(E50&lt;=0,F50&lt;0,F50&gt;E50)),"REVISAR",IF(OR(A50="",B50="",NOT(ISNUMBER(C50)),NOT(ISNUMBER(D50)),D50&lt;C50,G50="",J50=""),"INCOMPLETO","VÁLIDO")))</x:f>
        <x:v>SIN DATOS</x:v>
      </x:c>
      <x:c r="L50" s="22" t="str">
        <x:f>IF(K50&lt;&gt;"VÁLIDO","SIN DATOS",IF(B50="Semanal",IF('02_PARAMETROS'!I51&lt;&gt;"APROBADO","PENDIENTE DE APROBACIÓN",IF(H50&gt;=I50,"CUMPLE","NO CUMPLE")),IF(B50="Mensual",IF('02_PARAMETROS'!I52&lt;&gt;"APROBADO","PENDIENTE DE APROBACIÓN",IF(H50&gt;=I50,"CUMPLE","NO CUMPLE")),"PENDIENTE DE APROBACIÓN")))</x:f>
        <x:v>SIN DATOS</x:v>
      </x:c>
    </x:row>
    <x:row r="51">
      <x:c r="A51" s="20"/>
      <x:c r="B51" s="20"/>
      <x:c r="C51" s="24"/>
      <x:c r="D51" s="24"/>
      <x:c r="E51" s="20"/>
      <x:c r="F51" s="20"/>
      <x:c r="G51" s="22" t="str">
        <x:f>IF(OR(NOT(ISNUMBER(E51)),NOT(ISNUMBER(F51)),E51&lt;=0,F51&lt;0,F51&gt;E51),"",E51-F51)</x:f>
      </x:c>
      <x:c r="H51" s="30" t="str">
        <x:f>IF(G51="","",100*F51/E51)</x:f>
      </x:c>
      <x:c r="I51" s="30" t="str">
        <x:f>IF(B51="Semanal",IF('02_PARAMETROS'!G52="","",'02_PARAMETROS'!G52),IF(B51="Mensual",IF('02_PARAMETROS'!G53="","",'02_PARAMETROS'!G53),""))</x:f>
      </x:c>
      <x:c r="J51" s="20"/>
      <x:c r="K51" s="22" t="str">
        <x:f>IF(COUNTA(A51:F51)+COUNTA(J51)=0,"SIN DATOS",IF(AND(ISNUMBER(E51),ISNUMBER(F51),OR(E51&lt;=0,F51&lt;0,F51&gt;E51)),"REVISAR",IF(OR(A51="",B51="",NOT(ISNUMBER(C51)),NOT(ISNUMBER(D51)),D51&lt;C51,G51="",J51=""),"INCOMPLETO","VÁLIDO")))</x:f>
        <x:v>SIN DATOS</x:v>
      </x:c>
      <x:c r="L51" s="22" t="str">
        <x:f>IF(K51&lt;&gt;"VÁLIDO","SIN DATOS",IF(B51="Semanal",IF('02_PARAMETROS'!I52&lt;&gt;"APROBADO","PENDIENTE DE APROBACIÓN",IF(H51&gt;=I51,"CUMPLE","NO CUMPLE")),IF(B51="Mensual",IF('02_PARAMETROS'!I53&lt;&gt;"APROBADO","PENDIENTE DE APROBACIÓN",IF(H51&gt;=I51,"CUMPLE","NO CUMPLE")),"PENDIENTE DE APROBACIÓN")))</x:f>
        <x:v>SIN DATOS</x:v>
      </x:c>
    </x:row>
    <x:row r="52">
      <x:c r="A52" s="20"/>
      <x:c r="B52" s="20"/>
      <x:c r="C52" s="24"/>
      <x:c r="D52" s="24"/>
      <x:c r="E52" s="20"/>
      <x:c r="F52" s="20"/>
      <x:c r="G52" s="22" t="str">
        <x:f>IF(OR(NOT(ISNUMBER(E52)),NOT(ISNUMBER(F52)),E52&lt;=0,F52&lt;0,F52&gt;E52),"",E52-F52)</x:f>
      </x:c>
      <x:c r="H52" s="30" t="str">
        <x:f>IF(G52="","",100*F52/E52)</x:f>
      </x:c>
      <x:c r="I52" s="30" t="str">
        <x:f>IF(B52="Semanal",IF('02_PARAMETROS'!G53="","",'02_PARAMETROS'!G53),IF(B52="Mensual",IF('02_PARAMETROS'!G54="","",'02_PARAMETROS'!G54),""))</x:f>
      </x:c>
      <x:c r="J52" s="20"/>
      <x:c r="K52" s="22" t="str">
        <x:f>IF(COUNTA(A52:F52)+COUNTA(J52)=0,"SIN DATOS",IF(AND(ISNUMBER(E52),ISNUMBER(F52),OR(E52&lt;=0,F52&lt;0,F52&gt;E52)),"REVISAR",IF(OR(A52="",B52="",NOT(ISNUMBER(C52)),NOT(ISNUMBER(D52)),D52&lt;C52,G52="",J52=""),"INCOMPLETO","VÁLIDO")))</x:f>
        <x:v>SIN DATOS</x:v>
      </x:c>
      <x:c r="L52" s="22" t="str">
        <x:f>IF(K52&lt;&gt;"VÁLIDO","SIN DATOS",IF(B52="Semanal",IF('02_PARAMETROS'!I53&lt;&gt;"APROBADO","PENDIENTE DE APROBACIÓN",IF(H52&gt;=I52,"CUMPLE","NO CUMPLE")),IF(B52="Mensual",IF('02_PARAMETROS'!I54&lt;&gt;"APROBADO","PENDIENTE DE APROBACIÓN",IF(H52&gt;=I52,"CUMPLE","NO CUMPLE")),"PENDIENTE DE APROBACIÓN")))</x:f>
        <x:v>SIN DATOS</x:v>
      </x:c>
    </x:row>
    <x:row r="53">
      <x:c r="A53" s="20"/>
      <x:c r="B53" s="20"/>
      <x:c r="C53" s="24"/>
      <x:c r="D53" s="24"/>
      <x:c r="E53" s="20"/>
      <x:c r="F53" s="20"/>
      <x:c r="G53" s="22" t="str">
        <x:f>IF(OR(NOT(ISNUMBER(E53)),NOT(ISNUMBER(F53)),E53&lt;=0,F53&lt;0,F53&gt;E53),"",E53-F53)</x:f>
      </x:c>
      <x:c r="H53" s="30" t="str">
        <x:f>IF(G53="","",100*F53/E53)</x:f>
      </x:c>
      <x:c r="I53" s="30" t="str">
        <x:f>IF(B53="Semanal",IF('02_PARAMETROS'!G54="","",'02_PARAMETROS'!G54),IF(B53="Mensual",IF('02_PARAMETROS'!G55="","",'02_PARAMETROS'!G55),""))</x:f>
      </x:c>
      <x:c r="J53" s="20"/>
      <x:c r="K53" s="22" t="str">
        <x:f>IF(COUNTA(A53:F53)+COUNTA(J53)=0,"SIN DATOS",IF(AND(ISNUMBER(E53),ISNUMBER(F53),OR(E53&lt;=0,F53&lt;0,F53&gt;E53)),"REVISAR",IF(OR(A53="",B53="",NOT(ISNUMBER(C53)),NOT(ISNUMBER(D53)),D53&lt;C53,G53="",J53=""),"INCOMPLETO","VÁLIDO")))</x:f>
        <x:v>SIN DATOS</x:v>
      </x:c>
      <x:c r="L53" s="22" t="str">
        <x:f>IF(K53&lt;&gt;"VÁLIDO","SIN DATOS",IF(B53="Semanal",IF('02_PARAMETROS'!I54&lt;&gt;"APROBADO","PENDIENTE DE APROBACIÓN",IF(H53&gt;=I53,"CUMPLE","NO CUMPLE")),IF(B53="Mensual",IF('02_PARAMETROS'!I55&lt;&gt;"APROBADO","PENDIENTE DE APROBACIÓN",IF(H53&gt;=I53,"CUMPLE","NO CUMPLE")),"PENDIENTE DE APROBACIÓN")))</x:f>
        <x:v>SIN DATOS</x:v>
      </x:c>
    </x:row>
    <x:row r="54">
      <x:c r="A54" s="20"/>
      <x:c r="B54" s="20"/>
      <x:c r="C54" s="24"/>
      <x:c r="D54" s="24"/>
      <x:c r="E54" s="20"/>
      <x:c r="F54" s="20"/>
      <x:c r="G54" s="22" t="str">
        <x:f>IF(OR(NOT(ISNUMBER(E54)),NOT(ISNUMBER(F54)),E54&lt;=0,F54&lt;0,F54&gt;E54),"",E54-F54)</x:f>
      </x:c>
      <x:c r="H54" s="30" t="str">
        <x:f>IF(G54="","",100*F54/E54)</x:f>
      </x:c>
      <x:c r="I54" s="30" t="str">
        <x:f>IF(B54="Semanal",IF('02_PARAMETROS'!G55="","",'02_PARAMETROS'!G55),IF(B54="Mensual",IF('02_PARAMETROS'!G56="","",'02_PARAMETROS'!G56),""))</x:f>
      </x:c>
      <x:c r="J54" s="20"/>
      <x:c r="K54" s="22" t="str">
        <x:f>IF(COUNTA(A54:F54)+COUNTA(J54)=0,"SIN DATOS",IF(AND(ISNUMBER(E54),ISNUMBER(F54),OR(E54&lt;=0,F54&lt;0,F54&gt;E54)),"REVISAR",IF(OR(A54="",B54="",NOT(ISNUMBER(C54)),NOT(ISNUMBER(D54)),D54&lt;C54,G54="",J54=""),"INCOMPLETO","VÁLIDO")))</x:f>
        <x:v>SIN DATOS</x:v>
      </x:c>
      <x:c r="L54" s="22" t="str">
        <x:f>IF(K54&lt;&gt;"VÁLIDO","SIN DATOS",IF(B54="Semanal",IF('02_PARAMETROS'!I55&lt;&gt;"APROBADO","PENDIENTE DE APROBACIÓN",IF(H54&gt;=I54,"CUMPLE","NO CUMPLE")),IF(B54="Mensual",IF('02_PARAMETROS'!I56&lt;&gt;"APROBADO","PENDIENTE DE APROBACIÓN",IF(H54&gt;=I54,"CUMPLE","NO CUMPLE")),"PENDIENTE DE APROBACIÓN")))</x:f>
        <x:v>SIN DATOS</x:v>
      </x:c>
    </x:row>
    <x:row r="55">
      <x:c r="A55" s="20"/>
      <x:c r="B55" s="20"/>
      <x:c r="C55" s="24"/>
      <x:c r="D55" s="24"/>
      <x:c r="E55" s="20"/>
      <x:c r="F55" s="20"/>
      <x:c r="G55" s="22" t="str">
        <x:f>IF(OR(NOT(ISNUMBER(E55)),NOT(ISNUMBER(F55)),E55&lt;=0,F55&lt;0,F55&gt;E55),"",E55-F55)</x:f>
      </x:c>
      <x:c r="H55" s="30" t="str">
        <x:f>IF(G55="","",100*F55/E55)</x:f>
      </x:c>
      <x:c r="I55" s="30" t="str">
        <x:f>IF(B55="Semanal",IF('02_PARAMETROS'!G56="","",'02_PARAMETROS'!G56),IF(B55="Mensual",IF('02_PARAMETROS'!G57="","",'02_PARAMETROS'!G57),""))</x:f>
      </x:c>
      <x:c r="J55" s="20"/>
      <x:c r="K55" s="22" t="str">
        <x:f>IF(COUNTA(A55:F55)+COUNTA(J55)=0,"SIN DATOS",IF(AND(ISNUMBER(E55),ISNUMBER(F55),OR(E55&lt;=0,F55&lt;0,F55&gt;E55)),"REVISAR",IF(OR(A55="",B55="",NOT(ISNUMBER(C55)),NOT(ISNUMBER(D55)),D55&lt;C55,G55="",J55=""),"INCOMPLETO","VÁLIDO")))</x:f>
        <x:v>SIN DATOS</x:v>
      </x:c>
      <x:c r="L55" s="22" t="str">
        <x:f>IF(K55&lt;&gt;"VÁLIDO","SIN DATOS",IF(B55="Semanal",IF('02_PARAMETROS'!I56&lt;&gt;"APROBADO","PENDIENTE DE APROBACIÓN",IF(H55&gt;=I55,"CUMPLE","NO CUMPLE")),IF(B55="Mensual",IF('02_PARAMETROS'!I57&lt;&gt;"APROBADO","PENDIENTE DE APROBACIÓN",IF(H55&gt;=I55,"CUMPLE","NO CUMPLE")),"PENDIENTE DE APROBACIÓN")))</x:f>
        <x:v>SIN DATOS</x:v>
      </x:c>
    </x:row>
    <x:row r="56">
      <x:c r="A56" s="20"/>
      <x:c r="B56" s="20"/>
      <x:c r="C56" s="24"/>
      <x:c r="D56" s="24"/>
      <x:c r="E56" s="20"/>
      <x:c r="F56" s="20"/>
      <x:c r="G56" s="22" t="str">
        <x:f>IF(OR(NOT(ISNUMBER(E56)),NOT(ISNUMBER(F56)),E56&lt;=0,F56&lt;0,F56&gt;E56),"",E56-F56)</x:f>
      </x:c>
      <x:c r="H56" s="30" t="str">
        <x:f>IF(G56="","",100*F56/E56)</x:f>
      </x:c>
      <x:c r="I56" s="30" t="str">
        <x:f>IF(B56="Semanal",IF('02_PARAMETROS'!G57="","",'02_PARAMETROS'!G57),IF(B56="Mensual",IF('02_PARAMETROS'!G58="","",'02_PARAMETROS'!G58),""))</x:f>
      </x:c>
      <x:c r="J56" s="20"/>
      <x:c r="K56" s="22" t="str">
        <x:f>IF(COUNTA(A56:F56)+COUNTA(J56)=0,"SIN DATOS",IF(AND(ISNUMBER(E56),ISNUMBER(F56),OR(E56&lt;=0,F56&lt;0,F56&gt;E56)),"REVISAR",IF(OR(A56="",B56="",NOT(ISNUMBER(C56)),NOT(ISNUMBER(D56)),D56&lt;C56,G56="",J56=""),"INCOMPLETO","VÁLIDO")))</x:f>
        <x:v>SIN DATOS</x:v>
      </x:c>
      <x:c r="L56" s="22" t="str">
        <x:f>IF(K56&lt;&gt;"VÁLIDO","SIN DATOS",IF(B56="Semanal",IF('02_PARAMETROS'!I57&lt;&gt;"APROBADO","PENDIENTE DE APROBACIÓN",IF(H56&gt;=I56,"CUMPLE","NO CUMPLE")),IF(B56="Mensual",IF('02_PARAMETROS'!I58&lt;&gt;"APROBADO","PENDIENTE DE APROBACIÓN",IF(H56&gt;=I56,"CUMPLE","NO CUMPLE")),"PENDIENTE DE APROBACIÓN")))</x:f>
        <x:v>SIN DATOS</x:v>
      </x:c>
    </x:row>
    <x:row r="57">
      <x:c r="A57" s="20"/>
      <x:c r="B57" s="20"/>
      <x:c r="C57" s="24"/>
      <x:c r="D57" s="24"/>
      <x:c r="E57" s="20"/>
      <x:c r="F57" s="20"/>
      <x:c r="G57" s="22" t="str">
        <x:f>IF(OR(NOT(ISNUMBER(E57)),NOT(ISNUMBER(F57)),E57&lt;=0,F57&lt;0,F57&gt;E57),"",E57-F57)</x:f>
      </x:c>
      <x:c r="H57" s="30" t="str">
        <x:f>IF(G57="","",100*F57/E57)</x:f>
      </x:c>
      <x:c r="I57" s="30" t="str">
        <x:f>IF(B57="Semanal",IF('02_PARAMETROS'!G58="","",'02_PARAMETROS'!G58),IF(B57="Mensual",IF('02_PARAMETROS'!G59="","",'02_PARAMETROS'!G59),""))</x:f>
      </x:c>
      <x:c r="J57" s="20"/>
      <x:c r="K57" s="22" t="str">
        <x:f>IF(COUNTA(A57:F57)+COUNTA(J57)=0,"SIN DATOS",IF(AND(ISNUMBER(E57),ISNUMBER(F57),OR(E57&lt;=0,F57&lt;0,F57&gt;E57)),"REVISAR",IF(OR(A57="",B57="",NOT(ISNUMBER(C57)),NOT(ISNUMBER(D57)),D57&lt;C57,G57="",J57=""),"INCOMPLETO","VÁLIDO")))</x:f>
        <x:v>SIN DATOS</x:v>
      </x:c>
      <x:c r="L57" s="22" t="str">
        <x:f>IF(K57&lt;&gt;"VÁLIDO","SIN DATOS",IF(B57="Semanal",IF('02_PARAMETROS'!I58&lt;&gt;"APROBADO","PENDIENTE DE APROBACIÓN",IF(H57&gt;=I57,"CUMPLE","NO CUMPLE")),IF(B57="Mensual",IF('02_PARAMETROS'!I59&lt;&gt;"APROBADO","PENDIENTE DE APROBACIÓN",IF(H57&gt;=I57,"CUMPLE","NO CUMPLE")),"PENDIENTE DE APROBACIÓN")))</x:f>
        <x:v>SIN DATOS</x:v>
      </x:c>
    </x:row>
    <x:row r="58">
      <x:c r="A58" s="20"/>
      <x:c r="B58" s="20"/>
      <x:c r="C58" s="24"/>
      <x:c r="D58" s="24"/>
      <x:c r="E58" s="20"/>
      <x:c r="F58" s="20"/>
      <x:c r="G58" s="22" t="str">
        <x:f>IF(OR(NOT(ISNUMBER(E58)),NOT(ISNUMBER(F58)),E58&lt;=0,F58&lt;0,F58&gt;E58),"",E58-F58)</x:f>
      </x:c>
      <x:c r="H58" s="30" t="str">
        <x:f>IF(G58="","",100*F58/E58)</x:f>
      </x:c>
      <x:c r="I58" s="30" t="str">
        <x:f>IF(B58="Semanal",IF('02_PARAMETROS'!G59="","",'02_PARAMETROS'!G59),IF(B58="Mensual",IF('02_PARAMETROS'!G60="","",'02_PARAMETROS'!G60),""))</x:f>
      </x:c>
      <x:c r="J58" s="20"/>
      <x:c r="K58" s="22" t="str">
        <x:f>IF(COUNTA(A58:F58)+COUNTA(J58)=0,"SIN DATOS",IF(AND(ISNUMBER(E58),ISNUMBER(F58),OR(E58&lt;=0,F58&lt;0,F58&gt;E58)),"REVISAR",IF(OR(A58="",B58="",NOT(ISNUMBER(C58)),NOT(ISNUMBER(D58)),D58&lt;C58,G58="",J58=""),"INCOMPLETO","VÁLIDO")))</x:f>
        <x:v>SIN DATOS</x:v>
      </x:c>
      <x:c r="L58" s="22" t="str">
        <x:f>IF(K58&lt;&gt;"VÁLIDO","SIN DATOS",IF(B58="Semanal",IF('02_PARAMETROS'!I59&lt;&gt;"APROBADO","PENDIENTE DE APROBACIÓN",IF(H58&gt;=I58,"CUMPLE","NO CUMPLE")),IF(B58="Mensual",IF('02_PARAMETROS'!I60&lt;&gt;"APROBADO","PENDIENTE DE APROBACIÓN",IF(H58&gt;=I58,"CUMPLE","NO CUMPLE")),"PENDIENTE DE APROBACIÓN")))</x:f>
        <x:v>SIN DATOS</x:v>
      </x:c>
    </x:row>
    <x:row r="59">
      <x:c r="A59" s="20"/>
      <x:c r="B59" s="20"/>
      <x:c r="C59" s="24"/>
      <x:c r="D59" s="24"/>
      <x:c r="E59" s="20"/>
      <x:c r="F59" s="20"/>
      <x:c r="G59" s="22" t="str">
        <x:f>IF(OR(NOT(ISNUMBER(E59)),NOT(ISNUMBER(F59)),E59&lt;=0,F59&lt;0,F59&gt;E59),"",E59-F59)</x:f>
      </x:c>
      <x:c r="H59" s="30" t="str">
        <x:f>IF(G59="","",100*F59/E59)</x:f>
      </x:c>
      <x:c r="I59" s="30" t="str">
        <x:f>IF(B59="Semanal",IF('02_PARAMETROS'!G60="","",'02_PARAMETROS'!G60),IF(B59="Mensual",IF('02_PARAMETROS'!G61="","",'02_PARAMETROS'!G61),""))</x:f>
      </x:c>
      <x:c r="J59" s="20"/>
      <x:c r="K59" s="22" t="str">
        <x:f>IF(COUNTA(A59:F59)+COUNTA(J59)=0,"SIN DATOS",IF(AND(ISNUMBER(E59),ISNUMBER(F59),OR(E59&lt;=0,F59&lt;0,F59&gt;E59)),"REVISAR",IF(OR(A59="",B59="",NOT(ISNUMBER(C59)),NOT(ISNUMBER(D59)),D59&lt;C59,G59="",J59=""),"INCOMPLETO","VÁLIDO")))</x:f>
        <x:v>SIN DATOS</x:v>
      </x:c>
      <x:c r="L59" s="22" t="str">
        <x:f>IF(K59&lt;&gt;"VÁLIDO","SIN DATOS",IF(B59="Semanal",IF('02_PARAMETROS'!I60&lt;&gt;"APROBADO","PENDIENTE DE APROBACIÓN",IF(H59&gt;=I59,"CUMPLE","NO CUMPLE")),IF(B59="Mensual",IF('02_PARAMETROS'!I61&lt;&gt;"APROBADO","PENDIENTE DE APROBACIÓN",IF(H59&gt;=I59,"CUMPLE","NO CUMPLE")),"PENDIENTE DE APROBACIÓN")))</x:f>
        <x:v>SIN DATOS</x:v>
      </x:c>
    </x:row>
    <x:row r="60">
      <x:c r="A60" s="20"/>
      <x:c r="B60" s="20"/>
      <x:c r="C60" s="24"/>
      <x:c r="D60" s="24"/>
      <x:c r="E60" s="20"/>
      <x:c r="F60" s="20"/>
      <x:c r="G60" s="22" t="str">
        <x:f>IF(OR(NOT(ISNUMBER(E60)),NOT(ISNUMBER(F60)),E60&lt;=0,F60&lt;0,F60&gt;E60),"",E60-F60)</x:f>
      </x:c>
      <x:c r="H60" s="30" t="str">
        <x:f>IF(G60="","",100*F60/E60)</x:f>
      </x:c>
      <x:c r="I60" s="30" t="str">
        <x:f>IF(B60="Semanal",IF('02_PARAMETROS'!G61="","",'02_PARAMETROS'!G61),IF(B60="Mensual",IF('02_PARAMETROS'!G62="","",'02_PARAMETROS'!G62),""))</x:f>
      </x:c>
      <x:c r="J60" s="20"/>
      <x:c r="K60" s="22" t="str">
        <x:f>IF(COUNTA(A60:F60)+COUNTA(J60)=0,"SIN DATOS",IF(AND(ISNUMBER(E60),ISNUMBER(F60),OR(E60&lt;=0,F60&lt;0,F60&gt;E60)),"REVISAR",IF(OR(A60="",B60="",NOT(ISNUMBER(C60)),NOT(ISNUMBER(D60)),D60&lt;C60,G60="",J60=""),"INCOMPLETO","VÁLIDO")))</x:f>
        <x:v>SIN DATOS</x:v>
      </x:c>
      <x:c r="L60" s="22" t="str">
        <x:f>IF(K60&lt;&gt;"VÁLIDO","SIN DATOS",IF(B60="Semanal",IF('02_PARAMETROS'!I61&lt;&gt;"APROBADO","PENDIENTE DE APROBACIÓN",IF(H60&gt;=I60,"CUMPLE","NO CUMPLE")),IF(B60="Mensual",IF('02_PARAMETROS'!I62&lt;&gt;"APROBADO","PENDIENTE DE APROBACIÓN",IF(H60&gt;=I60,"CUMPLE","NO CUMPLE")),"PENDIENTE DE APROBACIÓN")))</x:f>
        <x:v>SIN DATOS</x:v>
      </x:c>
    </x:row>
    <x:row r="61">
      <x:c r="A61" s="20"/>
      <x:c r="B61" s="20"/>
      <x:c r="C61" s="24"/>
      <x:c r="D61" s="24"/>
      <x:c r="E61" s="20"/>
      <x:c r="F61" s="20"/>
      <x:c r="G61" s="22" t="str">
        <x:f>IF(OR(NOT(ISNUMBER(E61)),NOT(ISNUMBER(F61)),E61&lt;=0,F61&lt;0,F61&gt;E61),"",E61-F61)</x:f>
      </x:c>
      <x:c r="H61" s="30" t="str">
        <x:f>IF(G61="","",100*F61/E61)</x:f>
      </x:c>
      <x:c r="I61" s="30" t="str">
        <x:f>IF(B61="Semanal",IF('02_PARAMETROS'!G62="","",'02_PARAMETROS'!G62),IF(B61="Mensual",IF('02_PARAMETROS'!G63="","",'02_PARAMETROS'!G63),""))</x:f>
      </x:c>
      <x:c r="J61" s="20"/>
      <x:c r="K61" s="22" t="str">
        <x:f>IF(COUNTA(A61:F61)+COUNTA(J61)=0,"SIN DATOS",IF(AND(ISNUMBER(E61),ISNUMBER(F61),OR(E61&lt;=0,F61&lt;0,F61&gt;E61)),"REVISAR",IF(OR(A61="",B61="",NOT(ISNUMBER(C61)),NOT(ISNUMBER(D61)),D61&lt;C61,G61="",J61=""),"INCOMPLETO","VÁLIDO")))</x:f>
        <x:v>SIN DATOS</x:v>
      </x:c>
      <x:c r="L61" s="22" t="str">
        <x:f>IF(K61&lt;&gt;"VÁLIDO","SIN DATOS",IF(B61="Semanal",IF('02_PARAMETROS'!I62&lt;&gt;"APROBADO","PENDIENTE DE APROBACIÓN",IF(H61&gt;=I61,"CUMPLE","NO CUMPLE")),IF(B61="Mensual",IF('02_PARAMETROS'!I63&lt;&gt;"APROBADO","PENDIENTE DE APROBACIÓN",IF(H61&gt;=I61,"CUMPLE","NO CUMPLE")),"PENDIENTE DE APROBACIÓN")))</x:f>
        <x:v>SIN DATOS</x:v>
      </x:c>
    </x:row>
    <x:row r="62">
      <x:c r="A62" s="20"/>
      <x:c r="B62" s="20"/>
      <x:c r="C62" s="24"/>
      <x:c r="D62" s="24"/>
      <x:c r="E62" s="20"/>
      <x:c r="F62" s="20"/>
      <x:c r="G62" s="22" t="str">
        <x:f>IF(OR(NOT(ISNUMBER(E62)),NOT(ISNUMBER(F62)),E62&lt;=0,F62&lt;0,F62&gt;E62),"",E62-F62)</x:f>
      </x:c>
      <x:c r="H62" s="30" t="str">
        <x:f>IF(G62="","",100*F62/E62)</x:f>
      </x:c>
      <x:c r="I62" s="30" t="str">
        <x:f>IF(B62="Semanal",IF('02_PARAMETROS'!G63="","",'02_PARAMETROS'!G63),IF(B62="Mensual",IF('02_PARAMETROS'!G64="","",'02_PARAMETROS'!G64),""))</x:f>
      </x:c>
      <x:c r="J62" s="20"/>
      <x:c r="K62" s="22" t="str">
        <x:f>IF(COUNTA(A62:F62)+COUNTA(J62)=0,"SIN DATOS",IF(AND(ISNUMBER(E62),ISNUMBER(F62),OR(E62&lt;=0,F62&lt;0,F62&gt;E62)),"REVISAR",IF(OR(A62="",B62="",NOT(ISNUMBER(C62)),NOT(ISNUMBER(D62)),D62&lt;C62,G62="",J62=""),"INCOMPLETO","VÁLIDO")))</x:f>
        <x:v>SIN DATOS</x:v>
      </x:c>
      <x:c r="L62" s="22" t="str">
        <x:f>IF(K62&lt;&gt;"VÁLIDO","SIN DATOS",IF(B62="Semanal",IF('02_PARAMETROS'!I63&lt;&gt;"APROBADO","PENDIENTE DE APROBACIÓN",IF(H62&gt;=I62,"CUMPLE","NO CUMPLE")),IF(B62="Mensual",IF('02_PARAMETROS'!I64&lt;&gt;"APROBADO","PENDIENTE DE APROBACIÓN",IF(H62&gt;=I62,"CUMPLE","NO CUMPLE")),"PENDIENTE DE APROBACIÓN")))</x:f>
        <x:v>SIN DATOS</x:v>
      </x:c>
    </x:row>
    <x:row r="63">
      <x:c r="A63" s="20"/>
      <x:c r="B63" s="20"/>
      <x:c r="C63" s="24"/>
      <x:c r="D63" s="24"/>
      <x:c r="E63" s="20"/>
      <x:c r="F63" s="20"/>
      <x:c r="G63" s="22" t="str">
        <x:f>IF(OR(NOT(ISNUMBER(E63)),NOT(ISNUMBER(F63)),E63&lt;=0,F63&lt;0,F63&gt;E63),"",E63-F63)</x:f>
      </x:c>
      <x:c r="H63" s="30" t="str">
        <x:f>IF(G63="","",100*F63/E63)</x:f>
      </x:c>
      <x:c r="I63" s="30" t="str">
        <x:f>IF(B63="Semanal",IF('02_PARAMETROS'!G64="","",'02_PARAMETROS'!G64),IF(B63="Mensual",IF('02_PARAMETROS'!G65="","",'02_PARAMETROS'!G65),""))</x:f>
      </x:c>
      <x:c r="J63" s="20"/>
      <x:c r="K63" s="22" t="str">
        <x:f>IF(COUNTA(A63:F63)+COUNTA(J63)=0,"SIN DATOS",IF(AND(ISNUMBER(E63),ISNUMBER(F63),OR(E63&lt;=0,F63&lt;0,F63&gt;E63)),"REVISAR",IF(OR(A63="",B63="",NOT(ISNUMBER(C63)),NOT(ISNUMBER(D63)),D63&lt;C63,G63="",J63=""),"INCOMPLETO","VÁLIDO")))</x:f>
        <x:v>SIN DATOS</x:v>
      </x:c>
      <x:c r="L63" s="22" t="str">
        <x:f>IF(K63&lt;&gt;"VÁLIDO","SIN DATOS",IF(B63="Semanal",IF('02_PARAMETROS'!I64&lt;&gt;"APROBADO","PENDIENTE DE APROBACIÓN",IF(H63&gt;=I63,"CUMPLE","NO CUMPLE")),IF(B63="Mensual",IF('02_PARAMETROS'!I65&lt;&gt;"APROBADO","PENDIENTE DE APROBACIÓN",IF(H63&gt;=I63,"CUMPLE","NO CUMPLE")),"PENDIENTE DE APROBACIÓN")))</x:f>
        <x:v>SIN DATOS</x:v>
      </x:c>
    </x:row>
    <x:row r="64">
      <x:c r="A64" s="20"/>
      <x:c r="B64" s="20"/>
      <x:c r="C64" s="24"/>
      <x:c r="D64" s="24"/>
      <x:c r="E64" s="20"/>
      <x:c r="F64" s="20"/>
      <x:c r="G64" s="22" t="str">
        <x:f>IF(OR(NOT(ISNUMBER(E64)),NOT(ISNUMBER(F64)),E64&lt;=0,F64&lt;0,F64&gt;E64),"",E64-F64)</x:f>
      </x:c>
      <x:c r="H64" s="30" t="str">
        <x:f>IF(G64="","",100*F64/E64)</x:f>
      </x:c>
      <x:c r="I64" s="30" t="str">
        <x:f>IF(B64="Semanal",IF('02_PARAMETROS'!G65="","",'02_PARAMETROS'!G65),IF(B64="Mensual",IF('02_PARAMETROS'!G66="","",'02_PARAMETROS'!G66),""))</x:f>
      </x:c>
      <x:c r="J64" s="20"/>
      <x:c r="K64" s="22" t="str">
        <x:f>IF(COUNTA(A64:F64)+COUNTA(J64)=0,"SIN DATOS",IF(AND(ISNUMBER(E64),ISNUMBER(F64),OR(E64&lt;=0,F64&lt;0,F64&gt;E64)),"REVISAR",IF(OR(A64="",B64="",NOT(ISNUMBER(C64)),NOT(ISNUMBER(D64)),D64&lt;C64,G64="",J64=""),"INCOMPLETO","VÁLIDO")))</x:f>
        <x:v>SIN DATOS</x:v>
      </x:c>
      <x:c r="L64" s="22" t="str">
        <x:f>IF(K64&lt;&gt;"VÁLIDO","SIN DATOS",IF(B64="Semanal",IF('02_PARAMETROS'!I65&lt;&gt;"APROBADO","PENDIENTE DE APROBACIÓN",IF(H64&gt;=I64,"CUMPLE","NO CUMPLE")),IF(B64="Mensual",IF('02_PARAMETROS'!I66&lt;&gt;"APROBADO","PENDIENTE DE APROBACIÓN",IF(H64&gt;=I64,"CUMPLE","NO CUMPLE")),"PENDIENTE DE APROBACIÓN")))</x:f>
        <x:v>SIN DATOS</x:v>
      </x:c>
    </x:row>
    <x:row r="65">
      <x:c r="A65" s="20"/>
      <x:c r="B65" s="20"/>
      <x:c r="C65" s="24"/>
      <x:c r="D65" s="24"/>
      <x:c r="E65" s="20"/>
      <x:c r="F65" s="20"/>
      <x:c r="G65" s="22" t="str">
        <x:f>IF(OR(NOT(ISNUMBER(E65)),NOT(ISNUMBER(F65)),E65&lt;=0,F65&lt;0,F65&gt;E65),"",E65-F65)</x:f>
      </x:c>
      <x:c r="H65" s="30" t="str">
        <x:f>IF(G65="","",100*F65/E65)</x:f>
      </x:c>
      <x:c r="I65" s="30" t="str">
        <x:f>IF(B65="Semanal",IF('02_PARAMETROS'!G66="","",'02_PARAMETROS'!G66),IF(B65="Mensual",IF('02_PARAMETROS'!G67="","",'02_PARAMETROS'!G67),""))</x:f>
      </x:c>
      <x:c r="J65" s="20"/>
      <x:c r="K65" s="22" t="str">
        <x:f>IF(COUNTA(A65:F65)+COUNTA(J65)=0,"SIN DATOS",IF(AND(ISNUMBER(E65),ISNUMBER(F65),OR(E65&lt;=0,F65&lt;0,F65&gt;E65)),"REVISAR",IF(OR(A65="",B65="",NOT(ISNUMBER(C65)),NOT(ISNUMBER(D65)),D65&lt;C65,G65="",J65=""),"INCOMPLETO","VÁLIDO")))</x:f>
        <x:v>SIN DATOS</x:v>
      </x:c>
      <x:c r="L65" s="22" t="str">
        <x:f>IF(K65&lt;&gt;"VÁLIDO","SIN DATOS",IF(B65="Semanal",IF('02_PARAMETROS'!I66&lt;&gt;"APROBADO","PENDIENTE DE APROBACIÓN",IF(H65&gt;=I65,"CUMPLE","NO CUMPLE")),IF(B65="Mensual",IF('02_PARAMETROS'!I67&lt;&gt;"APROBADO","PENDIENTE DE APROBACIÓN",IF(H65&gt;=I65,"CUMPLE","NO CUMPLE")),"PENDIENTE DE APROBACIÓN")))</x:f>
        <x:v>SIN DATOS</x:v>
      </x:c>
    </x:row>
    <x:row r="66">
      <x:c r="A66" s="20"/>
      <x:c r="B66" s="20"/>
      <x:c r="C66" s="24"/>
      <x:c r="D66" s="24"/>
      <x:c r="E66" s="20"/>
      <x:c r="F66" s="20"/>
      <x:c r="G66" s="22" t="str">
        <x:f>IF(OR(NOT(ISNUMBER(E66)),NOT(ISNUMBER(F66)),E66&lt;=0,F66&lt;0,F66&gt;E66),"",E66-F66)</x:f>
      </x:c>
      <x:c r="H66" s="30" t="str">
        <x:f>IF(G66="","",100*F66/E66)</x:f>
      </x:c>
      <x:c r="I66" s="30" t="str">
        <x:f>IF(B66="Semanal",IF('02_PARAMETROS'!G67="","",'02_PARAMETROS'!G67),IF(B66="Mensual",IF('02_PARAMETROS'!G68="","",'02_PARAMETROS'!G68),""))</x:f>
      </x:c>
      <x:c r="J66" s="20"/>
      <x:c r="K66" s="22" t="str">
        <x:f>IF(COUNTA(A66:F66)+COUNTA(J66)=0,"SIN DATOS",IF(AND(ISNUMBER(E66),ISNUMBER(F66),OR(E66&lt;=0,F66&lt;0,F66&gt;E66)),"REVISAR",IF(OR(A66="",B66="",NOT(ISNUMBER(C66)),NOT(ISNUMBER(D66)),D66&lt;C66,G66="",J66=""),"INCOMPLETO","VÁLIDO")))</x:f>
        <x:v>SIN DATOS</x:v>
      </x:c>
      <x:c r="L66" s="22" t="str">
        <x:f>IF(K66&lt;&gt;"VÁLIDO","SIN DATOS",IF(B66="Semanal",IF('02_PARAMETROS'!I67&lt;&gt;"APROBADO","PENDIENTE DE APROBACIÓN",IF(H66&gt;=I66,"CUMPLE","NO CUMPLE")),IF(B66="Mensual",IF('02_PARAMETROS'!I68&lt;&gt;"APROBADO","PENDIENTE DE APROBACIÓN",IF(H66&gt;=I66,"CUMPLE","NO CUMPLE")),"PENDIENTE DE APROBACIÓN")))</x:f>
        <x:v>SIN DATOS</x:v>
      </x:c>
    </x:row>
    <x:row r="67">
      <x:c r="A67" s="20"/>
      <x:c r="B67" s="20"/>
      <x:c r="C67" s="24"/>
      <x:c r="D67" s="24"/>
      <x:c r="E67" s="20"/>
      <x:c r="F67" s="20"/>
      <x:c r="G67" s="22" t="str">
        <x:f>IF(OR(NOT(ISNUMBER(E67)),NOT(ISNUMBER(F67)),E67&lt;=0,F67&lt;0,F67&gt;E67),"",E67-F67)</x:f>
      </x:c>
      <x:c r="H67" s="30" t="str">
        <x:f>IF(G67="","",100*F67/E67)</x:f>
      </x:c>
      <x:c r="I67" s="30" t="str">
        <x:f>IF(B67="Semanal",IF('02_PARAMETROS'!G68="","",'02_PARAMETROS'!G68),IF(B67="Mensual",IF('02_PARAMETROS'!G69="","",'02_PARAMETROS'!G69),""))</x:f>
      </x:c>
      <x:c r="J67" s="20"/>
      <x:c r="K67" s="22" t="str">
        <x:f>IF(COUNTA(A67:F67)+COUNTA(J67)=0,"SIN DATOS",IF(AND(ISNUMBER(E67),ISNUMBER(F67),OR(E67&lt;=0,F67&lt;0,F67&gt;E67)),"REVISAR",IF(OR(A67="",B67="",NOT(ISNUMBER(C67)),NOT(ISNUMBER(D67)),D67&lt;C67,G67="",J67=""),"INCOMPLETO","VÁLIDO")))</x:f>
        <x:v>SIN DATOS</x:v>
      </x:c>
      <x:c r="L67" s="22" t="str">
        <x:f>IF(K67&lt;&gt;"VÁLIDO","SIN DATOS",IF(B67="Semanal",IF('02_PARAMETROS'!I68&lt;&gt;"APROBADO","PENDIENTE DE APROBACIÓN",IF(H67&gt;=I67,"CUMPLE","NO CUMPLE")),IF(B67="Mensual",IF('02_PARAMETROS'!I69&lt;&gt;"APROBADO","PENDIENTE DE APROBACIÓN",IF(H67&gt;=I67,"CUMPLE","NO CUMPLE")),"PENDIENTE DE APROBACIÓN")))</x:f>
        <x:v>SIN DATOS</x:v>
      </x:c>
    </x:row>
    <x:row r="68">
      <x:c r="A68" s="20"/>
      <x:c r="B68" s="20"/>
      <x:c r="C68" s="24"/>
      <x:c r="D68" s="24"/>
      <x:c r="E68" s="20"/>
      <x:c r="F68" s="20"/>
      <x:c r="G68" s="22" t="str">
        <x:f>IF(OR(NOT(ISNUMBER(E68)),NOT(ISNUMBER(F68)),E68&lt;=0,F68&lt;0,F68&gt;E68),"",E68-F68)</x:f>
      </x:c>
      <x:c r="H68" s="30" t="str">
        <x:f>IF(G68="","",100*F68/E68)</x:f>
      </x:c>
      <x:c r="I68" s="30" t="str">
        <x:f>IF(B68="Semanal",IF('02_PARAMETROS'!G69="","",'02_PARAMETROS'!G69),IF(B68="Mensual",IF('02_PARAMETROS'!G70="","",'02_PARAMETROS'!G70),""))</x:f>
      </x:c>
      <x:c r="J68" s="20"/>
      <x:c r="K68" s="22" t="str">
        <x:f>IF(COUNTA(A68:F68)+COUNTA(J68)=0,"SIN DATOS",IF(AND(ISNUMBER(E68),ISNUMBER(F68),OR(E68&lt;=0,F68&lt;0,F68&gt;E68)),"REVISAR",IF(OR(A68="",B68="",NOT(ISNUMBER(C68)),NOT(ISNUMBER(D68)),D68&lt;C68,G68="",J68=""),"INCOMPLETO","VÁLIDO")))</x:f>
        <x:v>SIN DATOS</x:v>
      </x:c>
      <x:c r="L68" s="22" t="str">
        <x:f>IF(K68&lt;&gt;"VÁLIDO","SIN DATOS",IF(B68="Semanal",IF('02_PARAMETROS'!I69&lt;&gt;"APROBADO","PENDIENTE DE APROBACIÓN",IF(H68&gt;=I68,"CUMPLE","NO CUMPLE")),IF(B68="Mensual",IF('02_PARAMETROS'!I70&lt;&gt;"APROBADO","PENDIENTE DE APROBACIÓN",IF(H68&gt;=I68,"CUMPLE","NO CUMPLE")),"PENDIENTE DE APROBACIÓN")))</x:f>
        <x:v>SIN DATOS</x:v>
      </x:c>
    </x:row>
    <x:row r="69">
      <x:c r="A69" s="20"/>
      <x:c r="B69" s="20"/>
      <x:c r="C69" s="24"/>
      <x:c r="D69" s="24"/>
      <x:c r="E69" s="20"/>
      <x:c r="F69" s="20"/>
      <x:c r="G69" s="22" t="str">
        <x:f>IF(OR(NOT(ISNUMBER(E69)),NOT(ISNUMBER(F69)),E69&lt;=0,F69&lt;0,F69&gt;E69),"",E69-F69)</x:f>
      </x:c>
      <x:c r="H69" s="30" t="str">
        <x:f>IF(G69="","",100*F69/E69)</x:f>
      </x:c>
      <x:c r="I69" s="30" t="str">
        <x:f>IF(B69="Semanal",IF('02_PARAMETROS'!G70="","",'02_PARAMETROS'!G70),IF(B69="Mensual",IF('02_PARAMETROS'!G71="","",'02_PARAMETROS'!G71),""))</x:f>
      </x:c>
      <x:c r="J69" s="20"/>
      <x:c r="K69" s="22" t="str">
        <x:f>IF(COUNTA(A69:F69)+COUNTA(J69)=0,"SIN DATOS",IF(AND(ISNUMBER(E69),ISNUMBER(F69),OR(E69&lt;=0,F69&lt;0,F69&gt;E69)),"REVISAR",IF(OR(A69="",B69="",NOT(ISNUMBER(C69)),NOT(ISNUMBER(D69)),D69&lt;C69,G69="",J69=""),"INCOMPLETO","VÁLIDO")))</x:f>
        <x:v>SIN DATOS</x:v>
      </x:c>
      <x:c r="L69" s="22" t="str">
        <x:f>IF(K69&lt;&gt;"VÁLIDO","SIN DATOS",IF(B69="Semanal",IF('02_PARAMETROS'!I70&lt;&gt;"APROBADO","PENDIENTE DE APROBACIÓN",IF(H69&gt;=I69,"CUMPLE","NO CUMPLE")),IF(B69="Mensual",IF('02_PARAMETROS'!I71&lt;&gt;"APROBADO","PENDIENTE DE APROBACIÓN",IF(H69&gt;=I69,"CUMPLE","NO CUMPLE")),"PENDIENTE DE APROBACIÓN")))</x:f>
        <x:v>SIN DATOS</x:v>
      </x:c>
    </x:row>
    <x:row r="70">
      <x:c r="A70" s="20"/>
      <x:c r="B70" s="20"/>
      <x:c r="C70" s="24"/>
      <x:c r="D70" s="24"/>
      <x:c r="E70" s="20"/>
      <x:c r="F70" s="20"/>
      <x:c r="G70" s="22" t="str">
        <x:f>IF(OR(NOT(ISNUMBER(E70)),NOT(ISNUMBER(F70)),E70&lt;=0,F70&lt;0,F70&gt;E70),"",E70-F70)</x:f>
      </x:c>
      <x:c r="H70" s="30" t="str">
        <x:f>IF(G70="","",100*F70/E70)</x:f>
      </x:c>
      <x:c r="I70" s="30" t="str">
        <x:f>IF(B70="Semanal",IF('02_PARAMETROS'!G71="","",'02_PARAMETROS'!G71),IF(B70="Mensual",IF('02_PARAMETROS'!G72="","",'02_PARAMETROS'!G72),""))</x:f>
      </x:c>
      <x:c r="J70" s="20"/>
      <x:c r="K70" s="22" t="str">
        <x:f>IF(COUNTA(A70:F70)+COUNTA(J70)=0,"SIN DATOS",IF(AND(ISNUMBER(E70),ISNUMBER(F70),OR(E70&lt;=0,F70&lt;0,F70&gt;E70)),"REVISAR",IF(OR(A70="",B70="",NOT(ISNUMBER(C70)),NOT(ISNUMBER(D70)),D70&lt;C70,G70="",J70=""),"INCOMPLETO","VÁLIDO")))</x:f>
        <x:v>SIN DATOS</x:v>
      </x:c>
      <x:c r="L70" s="22" t="str">
        <x:f>IF(K70&lt;&gt;"VÁLIDO","SIN DATOS",IF(B70="Semanal",IF('02_PARAMETROS'!I71&lt;&gt;"APROBADO","PENDIENTE DE APROBACIÓN",IF(H70&gt;=I70,"CUMPLE","NO CUMPLE")),IF(B70="Mensual",IF('02_PARAMETROS'!I72&lt;&gt;"APROBADO","PENDIENTE DE APROBACIÓN",IF(H70&gt;=I70,"CUMPLE","NO CUMPLE")),"PENDIENTE DE APROBACIÓN")))</x:f>
        <x:v>SIN DATOS</x:v>
      </x:c>
    </x:row>
    <x:row r="71">
      <x:c r="A71" s="20"/>
      <x:c r="B71" s="20"/>
      <x:c r="C71" s="24"/>
      <x:c r="D71" s="24"/>
      <x:c r="E71" s="20"/>
      <x:c r="F71" s="20"/>
      <x:c r="G71" s="22" t="str">
        <x:f>IF(OR(NOT(ISNUMBER(E71)),NOT(ISNUMBER(F71)),E71&lt;=0,F71&lt;0,F71&gt;E71),"",E71-F71)</x:f>
      </x:c>
      <x:c r="H71" s="30" t="str">
        <x:f>IF(G71="","",100*F71/E71)</x:f>
      </x:c>
      <x:c r="I71" s="30" t="str">
        <x:f>IF(B71="Semanal",IF('02_PARAMETROS'!G72="","",'02_PARAMETROS'!G72),IF(B71="Mensual",IF('02_PARAMETROS'!G73="","",'02_PARAMETROS'!G73),""))</x:f>
      </x:c>
      <x:c r="J71" s="20"/>
      <x:c r="K71" s="22" t="str">
        <x:f>IF(COUNTA(A71:F71)+COUNTA(J71)=0,"SIN DATOS",IF(AND(ISNUMBER(E71),ISNUMBER(F71),OR(E71&lt;=0,F71&lt;0,F71&gt;E71)),"REVISAR",IF(OR(A71="",B71="",NOT(ISNUMBER(C71)),NOT(ISNUMBER(D71)),D71&lt;C71,G71="",J71=""),"INCOMPLETO","VÁLIDO")))</x:f>
        <x:v>SIN DATOS</x:v>
      </x:c>
      <x:c r="L71" s="22" t="str">
        <x:f>IF(K71&lt;&gt;"VÁLIDO","SIN DATOS",IF(B71="Semanal",IF('02_PARAMETROS'!I72&lt;&gt;"APROBADO","PENDIENTE DE APROBACIÓN",IF(H71&gt;=I71,"CUMPLE","NO CUMPLE")),IF(B71="Mensual",IF('02_PARAMETROS'!I73&lt;&gt;"APROBADO","PENDIENTE DE APROBACIÓN",IF(H71&gt;=I71,"CUMPLE","NO CUMPLE")),"PENDIENTE DE APROBACIÓN")))</x:f>
        <x:v>SIN DATOS</x:v>
      </x:c>
    </x:row>
    <x:row r="72">
      <x:c r="A72" s="20"/>
      <x:c r="B72" s="20"/>
      <x:c r="C72" s="24"/>
      <x:c r="D72" s="24"/>
      <x:c r="E72" s="20"/>
      <x:c r="F72" s="20"/>
      <x:c r="G72" s="22" t="str">
        <x:f>IF(OR(NOT(ISNUMBER(E72)),NOT(ISNUMBER(F72)),E72&lt;=0,F72&lt;0,F72&gt;E72),"",E72-F72)</x:f>
      </x:c>
      <x:c r="H72" s="30" t="str">
        <x:f>IF(G72="","",100*F72/E72)</x:f>
      </x:c>
      <x:c r="I72" s="30" t="str">
        <x:f>IF(B72="Semanal",IF('02_PARAMETROS'!G73="","",'02_PARAMETROS'!G73),IF(B72="Mensual",IF('02_PARAMETROS'!G74="","",'02_PARAMETROS'!G74),""))</x:f>
      </x:c>
      <x:c r="J72" s="20"/>
      <x:c r="K72" s="22" t="str">
        <x:f>IF(COUNTA(A72:F72)+COUNTA(J72)=0,"SIN DATOS",IF(AND(ISNUMBER(E72),ISNUMBER(F72),OR(E72&lt;=0,F72&lt;0,F72&gt;E72)),"REVISAR",IF(OR(A72="",B72="",NOT(ISNUMBER(C72)),NOT(ISNUMBER(D72)),D72&lt;C72,G72="",J72=""),"INCOMPLETO","VÁLIDO")))</x:f>
        <x:v>SIN DATOS</x:v>
      </x:c>
      <x:c r="L72" s="22" t="str">
        <x:f>IF(K72&lt;&gt;"VÁLIDO","SIN DATOS",IF(B72="Semanal",IF('02_PARAMETROS'!I73&lt;&gt;"APROBADO","PENDIENTE DE APROBACIÓN",IF(H72&gt;=I72,"CUMPLE","NO CUMPLE")),IF(B72="Mensual",IF('02_PARAMETROS'!I74&lt;&gt;"APROBADO","PENDIENTE DE APROBACIÓN",IF(H72&gt;=I72,"CUMPLE","NO CUMPLE")),"PENDIENTE DE APROBACIÓN")))</x:f>
        <x:v>SIN DATOS</x:v>
      </x:c>
    </x:row>
    <x:row r="73">
      <x:c r="A73" s="20"/>
      <x:c r="B73" s="20"/>
      <x:c r="C73" s="24"/>
      <x:c r="D73" s="24"/>
      <x:c r="E73" s="20"/>
      <x:c r="F73" s="20"/>
      <x:c r="G73" s="22" t="str">
        <x:f>IF(OR(NOT(ISNUMBER(E73)),NOT(ISNUMBER(F73)),E73&lt;=0,F73&lt;0,F73&gt;E73),"",E73-F73)</x:f>
      </x:c>
      <x:c r="H73" s="30" t="str">
        <x:f>IF(G73="","",100*F73/E73)</x:f>
      </x:c>
      <x:c r="I73" s="30" t="str">
        <x:f>IF(B73="Semanal",IF('02_PARAMETROS'!G74="","",'02_PARAMETROS'!G74),IF(B73="Mensual",IF('02_PARAMETROS'!G75="","",'02_PARAMETROS'!G75),""))</x:f>
      </x:c>
      <x:c r="J73" s="20"/>
      <x:c r="K73" s="22" t="str">
        <x:f>IF(COUNTA(A73:F73)+COUNTA(J73)=0,"SIN DATOS",IF(AND(ISNUMBER(E73),ISNUMBER(F73),OR(E73&lt;=0,F73&lt;0,F73&gt;E73)),"REVISAR",IF(OR(A73="",B73="",NOT(ISNUMBER(C73)),NOT(ISNUMBER(D73)),D73&lt;C73,G73="",J73=""),"INCOMPLETO","VÁLIDO")))</x:f>
        <x:v>SIN DATOS</x:v>
      </x:c>
      <x:c r="L73" s="22" t="str">
        <x:f>IF(K73&lt;&gt;"VÁLIDO","SIN DATOS",IF(B73="Semanal",IF('02_PARAMETROS'!I74&lt;&gt;"APROBADO","PENDIENTE DE APROBACIÓN",IF(H73&gt;=I73,"CUMPLE","NO CUMPLE")),IF(B73="Mensual",IF('02_PARAMETROS'!I75&lt;&gt;"APROBADO","PENDIENTE DE APROBACIÓN",IF(H73&gt;=I73,"CUMPLE","NO CUMPLE")),"PENDIENTE DE APROBACIÓN")))</x:f>
        <x:v>SIN DATOS</x:v>
      </x:c>
    </x:row>
    <x:row r="74">
      <x:c r="A74" s="20"/>
      <x:c r="B74" s="20"/>
      <x:c r="C74" s="24"/>
      <x:c r="D74" s="24"/>
      <x:c r="E74" s="20"/>
      <x:c r="F74" s="20"/>
      <x:c r="G74" s="22" t="str">
        <x:f>IF(OR(NOT(ISNUMBER(E74)),NOT(ISNUMBER(F74)),E74&lt;=0,F74&lt;0,F74&gt;E74),"",E74-F74)</x:f>
      </x:c>
      <x:c r="H74" s="30" t="str">
        <x:f>IF(G74="","",100*F74/E74)</x:f>
      </x:c>
      <x:c r="I74" s="30" t="str">
        <x:f>IF(B74="Semanal",IF('02_PARAMETROS'!G75="","",'02_PARAMETROS'!G75),IF(B74="Mensual",IF('02_PARAMETROS'!G76="","",'02_PARAMETROS'!G76),""))</x:f>
      </x:c>
      <x:c r="J74" s="20"/>
      <x:c r="K74" s="22" t="str">
        <x:f>IF(COUNTA(A74:F74)+COUNTA(J74)=0,"SIN DATOS",IF(AND(ISNUMBER(E74),ISNUMBER(F74),OR(E74&lt;=0,F74&lt;0,F74&gt;E74)),"REVISAR",IF(OR(A74="",B74="",NOT(ISNUMBER(C74)),NOT(ISNUMBER(D74)),D74&lt;C74,G74="",J74=""),"INCOMPLETO","VÁLIDO")))</x:f>
        <x:v>SIN DATOS</x:v>
      </x:c>
      <x:c r="L74" s="22" t="str">
        <x:f>IF(K74&lt;&gt;"VÁLIDO","SIN DATOS",IF(B74="Semanal",IF('02_PARAMETROS'!I75&lt;&gt;"APROBADO","PENDIENTE DE APROBACIÓN",IF(H74&gt;=I74,"CUMPLE","NO CUMPLE")),IF(B74="Mensual",IF('02_PARAMETROS'!I76&lt;&gt;"APROBADO","PENDIENTE DE APROBACIÓN",IF(H74&gt;=I74,"CUMPLE","NO CUMPLE")),"PENDIENTE DE APROBACIÓN")))</x:f>
        <x:v>SIN DATOS</x:v>
      </x:c>
    </x:row>
    <x:row r="75">
      <x:c r="A75" s="20"/>
      <x:c r="B75" s="20"/>
      <x:c r="C75" s="24"/>
      <x:c r="D75" s="24"/>
      <x:c r="E75" s="20"/>
      <x:c r="F75" s="20"/>
      <x:c r="G75" s="22" t="str">
        <x:f>IF(OR(NOT(ISNUMBER(E75)),NOT(ISNUMBER(F75)),E75&lt;=0,F75&lt;0,F75&gt;E75),"",E75-F75)</x:f>
      </x:c>
      <x:c r="H75" s="30" t="str">
        <x:f>IF(G75="","",100*F75/E75)</x:f>
      </x:c>
      <x:c r="I75" s="30" t="str">
        <x:f>IF(B75="Semanal",IF('02_PARAMETROS'!G76="","",'02_PARAMETROS'!G76),IF(B75="Mensual",IF('02_PARAMETROS'!G77="","",'02_PARAMETROS'!G77),""))</x:f>
      </x:c>
      <x:c r="J75" s="20"/>
      <x:c r="K75" s="22" t="str">
        <x:f>IF(COUNTA(A75:F75)+COUNTA(J75)=0,"SIN DATOS",IF(AND(ISNUMBER(E75),ISNUMBER(F75),OR(E75&lt;=0,F75&lt;0,F75&gt;E75)),"REVISAR",IF(OR(A75="",B75="",NOT(ISNUMBER(C75)),NOT(ISNUMBER(D75)),D75&lt;C75,G75="",J75=""),"INCOMPLETO","VÁLIDO")))</x:f>
        <x:v>SIN DATOS</x:v>
      </x:c>
      <x:c r="L75" s="22" t="str">
        <x:f>IF(K75&lt;&gt;"VÁLIDO","SIN DATOS",IF(B75="Semanal",IF('02_PARAMETROS'!I76&lt;&gt;"APROBADO","PENDIENTE DE APROBACIÓN",IF(H75&gt;=I75,"CUMPLE","NO CUMPLE")),IF(B75="Mensual",IF('02_PARAMETROS'!I77&lt;&gt;"APROBADO","PENDIENTE DE APROBACIÓN",IF(H75&gt;=I75,"CUMPLE","NO CUMPLE")),"PENDIENTE DE APROBACIÓN")))</x:f>
        <x:v>SIN DATOS</x:v>
      </x:c>
    </x:row>
    <x:row r="76">
      <x:c r="A76" s="20"/>
      <x:c r="B76" s="20"/>
      <x:c r="C76" s="24"/>
      <x:c r="D76" s="24"/>
      <x:c r="E76" s="20"/>
      <x:c r="F76" s="20"/>
      <x:c r="G76" s="22" t="str">
        <x:f>IF(OR(NOT(ISNUMBER(E76)),NOT(ISNUMBER(F76)),E76&lt;=0,F76&lt;0,F76&gt;E76),"",E76-F76)</x:f>
      </x:c>
      <x:c r="H76" s="30" t="str">
        <x:f>IF(G76="","",100*F76/E76)</x:f>
      </x:c>
      <x:c r="I76" s="30" t="str">
        <x:f>IF(B76="Semanal",IF('02_PARAMETROS'!G77="","",'02_PARAMETROS'!G77),IF(B76="Mensual",IF('02_PARAMETROS'!G78="","",'02_PARAMETROS'!G78),""))</x:f>
      </x:c>
      <x:c r="J76" s="20"/>
      <x:c r="K76" s="22" t="str">
        <x:f>IF(COUNTA(A76:F76)+COUNTA(J76)=0,"SIN DATOS",IF(AND(ISNUMBER(E76),ISNUMBER(F76),OR(E76&lt;=0,F76&lt;0,F76&gt;E76)),"REVISAR",IF(OR(A76="",B76="",NOT(ISNUMBER(C76)),NOT(ISNUMBER(D76)),D76&lt;C76,G76="",J76=""),"INCOMPLETO","VÁLIDO")))</x:f>
        <x:v>SIN DATOS</x:v>
      </x:c>
      <x:c r="L76" s="22" t="str">
        <x:f>IF(K76&lt;&gt;"VÁLIDO","SIN DATOS",IF(B76="Semanal",IF('02_PARAMETROS'!I77&lt;&gt;"APROBADO","PENDIENTE DE APROBACIÓN",IF(H76&gt;=I76,"CUMPLE","NO CUMPLE")),IF(B76="Mensual",IF('02_PARAMETROS'!I78&lt;&gt;"APROBADO","PENDIENTE DE APROBACIÓN",IF(H76&gt;=I76,"CUMPLE","NO CUMPLE")),"PENDIENTE DE APROBACIÓN")))</x:f>
        <x:v>SIN DATOS</x:v>
      </x:c>
    </x:row>
    <x:row r="77">
      <x:c r="A77" s="20"/>
      <x:c r="B77" s="20"/>
      <x:c r="C77" s="24"/>
      <x:c r="D77" s="24"/>
      <x:c r="E77" s="20"/>
      <x:c r="F77" s="20"/>
      <x:c r="G77" s="22" t="str">
        <x:f>IF(OR(NOT(ISNUMBER(E77)),NOT(ISNUMBER(F77)),E77&lt;=0,F77&lt;0,F77&gt;E77),"",E77-F77)</x:f>
      </x:c>
      <x:c r="H77" s="30" t="str">
        <x:f>IF(G77="","",100*F77/E77)</x:f>
      </x:c>
      <x:c r="I77" s="30" t="str">
        <x:f>IF(B77="Semanal",IF('02_PARAMETROS'!G78="","",'02_PARAMETROS'!G78),IF(B77="Mensual",IF('02_PARAMETROS'!G79="","",'02_PARAMETROS'!G79),""))</x:f>
      </x:c>
      <x:c r="J77" s="20"/>
      <x:c r="K77" s="22" t="str">
        <x:f>IF(COUNTA(A77:F77)+COUNTA(J77)=0,"SIN DATOS",IF(AND(ISNUMBER(E77),ISNUMBER(F77),OR(E77&lt;=0,F77&lt;0,F77&gt;E77)),"REVISAR",IF(OR(A77="",B77="",NOT(ISNUMBER(C77)),NOT(ISNUMBER(D77)),D77&lt;C77,G77="",J77=""),"INCOMPLETO","VÁLIDO")))</x:f>
        <x:v>SIN DATOS</x:v>
      </x:c>
      <x:c r="L77" s="22" t="str">
        <x:f>IF(K77&lt;&gt;"VÁLIDO","SIN DATOS",IF(B77="Semanal",IF('02_PARAMETROS'!I78&lt;&gt;"APROBADO","PENDIENTE DE APROBACIÓN",IF(H77&gt;=I77,"CUMPLE","NO CUMPLE")),IF(B77="Mensual",IF('02_PARAMETROS'!I79&lt;&gt;"APROBADO","PENDIENTE DE APROBACIÓN",IF(H77&gt;=I77,"CUMPLE","NO CUMPLE")),"PENDIENTE DE APROBACIÓN")))</x:f>
        <x:v>SIN DATOS</x:v>
      </x:c>
    </x:row>
    <x:row r="78">
      <x:c r="A78" s="20"/>
      <x:c r="B78" s="20"/>
      <x:c r="C78" s="24"/>
      <x:c r="D78" s="24"/>
      <x:c r="E78" s="20"/>
      <x:c r="F78" s="20"/>
      <x:c r="G78" s="22" t="str">
        <x:f>IF(OR(NOT(ISNUMBER(E78)),NOT(ISNUMBER(F78)),E78&lt;=0,F78&lt;0,F78&gt;E78),"",E78-F78)</x:f>
      </x:c>
      <x:c r="H78" s="30" t="str">
        <x:f>IF(G78="","",100*F78/E78)</x:f>
      </x:c>
      <x:c r="I78" s="30" t="str">
        <x:f>IF(B78="Semanal",IF('02_PARAMETROS'!G79="","",'02_PARAMETROS'!G79),IF(B78="Mensual",IF('02_PARAMETROS'!G80="","",'02_PARAMETROS'!G80),""))</x:f>
      </x:c>
      <x:c r="J78" s="20"/>
      <x:c r="K78" s="22" t="str">
        <x:f>IF(COUNTA(A78:F78)+COUNTA(J78)=0,"SIN DATOS",IF(AND(ISNUMBER(E78),ISNUMBER(F78),OR(E78&lt;=0,F78&lt;0,F78&gt;E78)),"REVISAR",IF(OR(A78="",B78="",NOT(ISNUMBER(C78)),NOT(ISNUMBER(D78)),D78&lt;C78,G78="",J78=""),"INCOMPLETO","VÁLIDO")))</x:f>
        <x:v>SIN DATOS</x:v>
      </x:c>
      <x:c r="L78" s="22" t="str">
        <x:f>IF(K78&lt;&gt;"VÁLIDO","SIN DATOS",IF(B78="Semanal",IF('02_PARAMETROS'!I79&lt;&gt;"APROBADO","PENDIENTE DE APROBACIÓN",IF(H78&gt;=I78,"CUMPLE","NO CUMPLE")),IF(B78="Mensual",IF('02_PARAMETROS'!I80&lt;&gt;"APROBADO","PENDIENTE DE APROBACIÓN",IF(H78&gt;=I78,"CUMPLE","NO CUMPLE")),"PENDIENTE DE APROBACIÓN")))</x:f>
        <x:v>SIN DATOS</x:v>
      </x:c>
    </x:row>
    <x:row r="79">
      <x:c r="A79" s="20"/>
      <x:c r="B79" s="20"/>
      <x:c r="C79" s="24"/>
      <x:c r="D79" s="24"/>
      <x:c r="E79" s="20"/>
      <x:c r="F79" s="20"/>
      <x:c r="G79" s="22" t="str">
        <x:f>IF(OR(NOT(ISNUMBER(E79)),NOT(ISNUMBER(F79)),E79&lt;=0,F79&lt;0,F79&gt;E79),"",E79-F79)</x:f>
      </x:c>
      <x:c r="H79" s="30" t="str">
        <x:f>IF(G79="","",100*F79/E79)</x:f>
      </x:c>
      <x:c r="I79" s="30" t="str">
        <x:f>IF(B79="Semanal",IF('02_PARAMETROS'!G80="","",'02_PARAMETROS'!G80),IF(B79="Mensual",IF('02_PARAMETROS'!G81="","",'02_PARAMETROS'!G81),""))</x:f>
      </x:c>
      <x:c r="J79" s="20"/>
      <x:c r="K79" s="22" t="str">
        <x:f>IF(COUNTA(A79:F79)+COUNTA(J79)=0,"SIN DATOS",IF(AND(ISNUMBER(E79),ISNUMBER(F79),OR(E79&lt;=0,F79&lt;0,F79&gt;E79)),"REVISAR",IF(OR(A79="",B79="",NOT(ISNUMBER(C79)),NOT(ISNUMBER(D79)),D79&lt;C79,G79="",J79=""),"INCOMPLETO","VÁLIDO")))</x:f>
        <x:v>SIN DATOS</x:v>
      </x:c>
      <x:c r="L79" s="22" t="str">
        <x:f>IF(K79&lt;&gt;"VÁLIDO","SIN DATOS",IF(B79="Semanal",IF('02_PARAMETROS'!I80&lt;&gt;"APROBADO","PENDIENTE DE APROBACIÓN",IF(H79&gt;=I79,"CUMPLE","NO CUMPLE")),IF(B79="Mensual",IF('02_PARAMETROS'!I81&lt;&gt;"APROBADO","PENDIENTE DE APROBACIÓN",IF(H79&gt;=I79,"CUMPLE","NO CUMPLE")),"PENDIENTE DE APROBACIÓN")))</x:f>
        <x:v>SIN DATOS</x:v>
      </x:c>
    </x:row>
    <x:row r="80">
      <x:c r="A80" s="20"/>
      <x:c r="B80" s="20"/>
      <x:c r="C80" s="24"/>
      <x:c r="D80" s="24"/>
      <x:c r="E80" s="20"/>
      <x:c r="F80" s="20"/>
      <x:c r="G80" s="22" t="str">
        <x:f>IF(OR(NOT(ISNUMBER(E80)),NOT(ISNUMBER(F80)),E80&lt;=0,F80&lt;0,F80&gt;E80),"",E80-F80)</x:f>
      </x:c>
      <x:c r="H80" s="30" t="str">
        <x:f>IF(G80="","",100*F80/E80)</x:f>
      </x:c>
      <x:c r="I80" s="30" t="str">
        <x:f>IF(B80="Semanal",IF('02_PARAMETROS'!G81="","",'02_PARAMETROS'!G81),IF(B80="Mensual",IF('02_PARAMETROS'!G82="","",'02_PARAMETROS'!G82),""))</x:f>
      </x:c>
      <x:c r="J80" s="20"/>
      <x:c r="K80" s="22" t="str">
        <x:f>IF(COUNTA(A80:F80)+COUNTA(J80)=0,"SIN DATOS",IF(AND(ISNUMBER(E80),ISNUMBER(F80),OR(E80&lt;=0,F80&lt;0,F80&gt;E80)),"REVISAR",IF(OR(A80="",B80="",NOT(ISNUMBER(C80)),NOT(ISNUMBER(D80)),D80&lt;C80,G80="",J80=""),"INCOMPLETO","VÁLIDO")))</x:f>
        <x:v>SIN DATOS</x:v>
      </x:c>
      <x:c r="L80" s="22" t="str">
        <x:f>IF(K80&lt;&gt;"VÁLIDO","SIN DATOS",IF(B80="Semanal",IF('02_PARAMETROS'!I81&lt;&gt;"APROBADO","PENDIENTE DE APROBACIÓN",IF(H80&gt;=I80,"CUMPLE","NO CUMPLE")),IF(B80="Mensual",IF('02_PARAMETROS'!I82&lt;&gt;"APROBADO","PENDIENTE DE APROBACIÓN",IF(H80&gt;=I80,"CUMPLE","NO CUMPLE")),"PENDIENTE DE APROBACIÓN")))</x:f>
        <x:v>SIN DATOS</x:v>
      </x:c>
    </x:row>
    <x:row r="81">
      <x:c r="A81" s="20"/>
      <x:c r="B81" s="20"/>
      <x:c r="C81" s="24"/>
      <x:c r="D81" s="24"/>
      <x:c r="E81" s="20"/>
      <x:c r="F81" s="20"/>
      <x:c r="G81" s="22" t="str">
        <x:f>IF(OR(NOT(ISNUMBER(E81)),NOT(ISNUMBER(F81)),E81&lt;=0,F81&lt;0,F81&gt;E81),"",E81-F81)</x:f>
      </x:c>
      <x:c r="H81" s="30" t="str">
        <x:f>IF(G81="","",100*F81/E81)</x:f>
      </x:c>
      <x:c r="I81" s="30" t="str">
        <x:f>IF(B81="Semanal",IF('02_PARAMETROS'!G82="","",'02_PARAMETROS'!G82),IF(B81="Mensual",IF('02_PARAMETROS'!G83="","",'02_PARAMETROS'!G83),""))</x:f>
      </x:c>
      <x:c r="J81" s="20"/>
      <x:c r="K81" s="22" t="str">
        <x:f>IF(COUNTA(A81:F81)+COUNTA(J81)=0,"SIN DATOS",IF(AND(ISNUMBER(E81),ISNUMBER(F81),OR(E81&lt;=0,F81&lt;0,F81&gt;E81)),"REVISAR",IF(OR(A81="",B81="",NOT(ISNUMBER(C81)),NOT(ISNUMBER(D81)),D81&lt;C81,G81="",J81=""),"INCOMPLETO","VÁLIDO")))</x:f>
        <x:v>SIN DATOS</x:v>
      </x:c>
      <x:c r="L81" s="22" t="str">
        <x:f>IF(K81&lt;&gt;"VÁLIDO","SIN DATOS",IF(B81="Semanal",IF('02_PARAMETROS'!I82&lt;&gt;"APROBADO","PENDIENTE DE APROBACIÓN",IF(H81&gt;=I81,"CUMPLE","NO CUMPLE")),IF(B81="Mensual",IF('02_PARAMETROS'!I83&lt;&gt;"APROBADO","PENDIENTE DE APROBACIÓN",IF(H81&gt;=I81,"CUMPLE","NO CUMPLE")),"PENDIENTE DE APROBACIÓN")))</x:f>
        <x:v>SIN DATOS</x:v>
      </x:c>
    </x:row>
    <x:row r="82">
      <x:c r="A82" s="20"/>
      <x:c r="B82" s="20"/>
      <x:c r="C82" s="24"/>
      <x:c r="D82" s="24"/>
      <x:c r="E82" s="20"/>
      <x:c r="F82" s="20"/>
      <x:c r="G82" s="22" t="str">
        <x:f>IF(OR(NOT(ISNUMBER(E82)),NOT(ISNUMBER(F82)),E82&lt;=0,F82&lt;0,F82&gt;E82),"",E82-F82)</x:f>
      </x:c>
      <x:c r="H82" s="30" t="str">
        <x:f>IF(G82="","",100*F82/E82)</x:f>
      </x:c>
      <x:c r="I82" s="30" t="str">
        <x:f>IF(B82="Semanal",IF('02_PARAMETROS'!G83="","",'02_PARAMETROS'!G83),IF(B82="Mensual",IF('02_PARAMETROS'!G84="","",'02_PARAMETROS'!G84),""))</x:f>
      </x:c>
      <x:c r="J82" s="20"/>
      <x:c r="K82" s="22" t="str">
        <x:f>IF(COUNTA(A82:F82)+COUNTA(J82)=0,"SIN DATOS",IF(AND(ISNUMBER(E82),ISNUMBER(F82),OR(E82&lt;=0,F82&lt;0,F82&gt;E82)),"REVISAR",IF(OR(A82="",B82="",NOT(ISNUMBER(C82)),NOT(ISNUMBER(D82)),D82&lt;C82,G82="",J82=""),"INCOMPLETO","VÁLIDO")))</x:f>
        <x:v>SIN DATOS</x:v>
      </x:c>
      <x:c r="L82" s="22" t="str">
        <x:f>IF(K82&lt;&gt;"VÁLIDO","SIN DATOS",IF(B82="Semanal",IF('02_PARAMETROS'!I83&lt;&gt;"APROBADO","PENDIENTE DE APROBACIÓN",IF(H82&gt;=I82,"CUMPLE","NO CUMPLE")),IF(B82="Mensual",IF('02_PARAMETROS'!I84&lt;&gt;"APROBADO","PENDIENTE DE APROBACIÓN",IF(H82&gt;=I82,"CUMPLE","NO CUMPLE")),"PENDIENTE DE APROBACIÓN")))</x:f>
        <x:v>SIN DATOS</x:v>
      </x:c>
    </x:row>
    <x:row r="83">
      <x:c r="A83" s="20"/>
      <x:c r="B83" s="20"/>
      <x:c r="C83" s="24"/>
      <x:c r="D83" s="24"/>
      <x:c r="E83" s="20"/>
      <x:c r="F83" s="20"/>
      <x:c r="G83" s="22" t="str">
        <x:f>IF(OR(NOT(ISNUMBER(E83)),NOT(ISNUMBER(F83)),E83&lt;=0,F83&lt;0,F83&gt;E83),"",E83-F83)</x:f>
      </x:c>
      <x:c r="H83" s="30" t="str">
        <x:f>IF(G83="","",100*F83/E83)</x:f>
      </x:c>
      <x:c r="I83" s="30" t="str">
        <x:f>IF(B83="Semanal",IF('02_PARAMETROS'!G84="","",'02_PARAMETROS'!G84),IF(B83="Mensual",IF('02_PARAMETROS'!G85="","",'02_PARAMETROS'!G85),""))</x:f>
      </x:c>
      <x:c r="J83" s="20"/>
      <x:c r="K83" s="22" t="str">
        <x:f>IF(COUNTA(A83:F83)+COUNTA(J83)=0,"SIN DATOS",IF(AND(ISNUMBER(E83),ISNUMBER(F83),OR(E83&lt;=0,F83&lt;0,F83&gt;E83)),"REVISAR",IF(OR(A83="",B83="",NOT(ISNUMBER(C83)),NOT(ISNUMBER(D83)),D83&lt;C83,G83="",J83=""),"INCOMPLETO","VÁLIDO")))</x:f>
        <x:v>SIN DATOS</x:v>
      </x:c>
      <x:c r="L83" s="22" t="str">
        <x:f>IF(K83&lt;&gt;"VÁLIDO","SIN DATOS",IF(B83="Semanal",IF('02_PARAMETROS'!I84&lt;&gt;"APROBADO","PENDIENTE DE APROBACIÓN",IF(H83&gt;=I83,"CUMPLE","NO CUMPLE")),IF(B83="Mensual",IF('02_PARAMETROS'!I85&lt;&gt;"APROBADO","PENDIENTE DE APROBACIÓN",IF(H83&gt;=I83,"CUMPLE","NO CUMPLE")),"PENDIENTE DE APROBACIÓN")))</x:f>
        <x:v>SIN DATOS</x:v>
      </x:c>
    </x:row>
    <x:row r="84">
      <x:c r="A84" s="20"/>
      <x:c r="B84" s="20"/>
      <x:c r="C84" s="24"/>
      <x:c r="D84" s="24"/>
      <x:c r="E84" s="20"/>
      <x:c r="F84" s="20"/>
      <x:c r="G84" s="22" t="str">
        <x:f>IF(OR(NOT(ISNUMBER(E84)),NOT(ISNUMBER(F84)),E84&lt;=0,F84&lt;0,F84&gt;E84),"",E84-F84)</x:f>
      </x:c>
      <x:c r="H84" s="30" t="str">
        <x:f>IF(G84="","",100*F84/E84)</x:f>
      </x:c>
      <x:c r="I84" s="30" t="str">
        <x:f>IF(B84="Semanal",IF('02_PARAMETROS'!G85="","",'02_PARAMETROS'!G85),IF(B84="Mensual",IF('02_PARAMETROS'!G86="","",'02_PARAMETROS'!G86),""))</x:f>
      </x:c>
      <x:c r="J84" s="20"/>
      <x:c r="K84" s="22" t="str">
        <x:f>IF(COUNTA(A84:F84)+COUNTA(J84)=0,"SIN DATOS",IF(AND(ISNUMBER(E84),ISNUMBER(F84),OR(E84&lt;=0,F84&lt;0,F84&gt;E84)),"REVISAR",IF(OR(A84="",B84="",NOT(ISNUMBER(C84)),NOT(ISNUMBER(D84)),D84&lt;C84,G84="",J84=""),"INCOMPLETO","VÁLIDO")))</x:f>
        <x:v>SIN DATOS</x:v>
      </x:c>
      <x:c r="L84" s="22" t="str">
        <x:f>IF(K84&lt;&gt;"VÁLIDO","SIN DATOS",IF(B84="Semanal",IF('02_PARAMETROS'!I85&lt;&gt;"APROBADO","PENDIENTE DE APROBACIÓN",IF(H84&gt;=I84,"CUMPLE","NO CUMPLE")),IF(B84="Mensual",IF('02_PARAMETROS'!I86&lt;&gt;"APROBADO","PENDIENTE DE APROBACIÓN",IF(H84&gt;=I84,"CUMPLE","NO CUMPLE")),"PENDIENTE DE APROBACIÓN")))</x:f>
        <x:v>SIN DATOS</x:v>
      </x:c>
    </x:row>
    <x:row r="85">
      <x:c r="A85" s="20"/>
      <x:c r="B85" s="20"/>
      <x:c r="C85" s="24"/>
      <x:c r="D85" s="24"/>
      <x:c r="E85" s="20"/>
      <x:c r="F85" s="20"/>
      <x:c r="G85" s="22" t="str">
        <x:f>IF(OR(NOT(ISNUMBER(E85)),NOT(ISNUMBER(F85)),E85&lt;=0,F85&lt;0,F85&gt;E85),"",E85-F85)</x:f>
      </x:c>
      <x:c r="H85" s="30" t="str">
        <x:f>IF(G85="","",100*F85/E85)</x:f>
      </x:c>
      <x:c r="I85" s="30" t="str">
        <x:f>IF(B85="Semanal",IF('02_PARAMETROS'!G86="","",'02_PARAMETROS'!G86),IF(B85="Mensual",IF('02_PARAMETROS'!G87="","",'02_PARAMETROS'!G87),""))</x:f>
      </x:c>
      <x:c r="J85" s="20"/>
      <x:c r="K85" s="22" t="str">
        <x:f>IF(COUNTA(A85:F85)+COUNTA(J85)=0,"SIN DATOS",IF(AND(ISNUMBER(E85),ISNUMBER(F85),OR(E85&lt;=0,F85&lt;0,F85&gt;E85)),"REVISAR",IF(OR(A85="",B85="",NOT(ISNUMBER(C85)),NOT(ISNUMBER(D85)),D85&lt;C85,G85="",J85=""),"INCOMPLETO","VÁLIDO")))</x:f>
        <x:v>SIN DATOS</x:v>
      </x:c>
      <x:c r="L85" s="22" t="str">
        <x:f>IF(K85&lt;&gt;"VÁLIDO","SIN DATOS",IF(B85="Semanal",IF('02_PARAMETROS'!I86&lt;&gt;"APROBADO","PENDIENTE DE APROBACIÓN",IF(H85&gt;=I85,"CUMPLE","NO CUMPLE")),IF(B85="Mensual",IF('02_PARAMETROS'!I87&lt;&gt;"APROBADO","PENDIENTE DE APROBACIÓN",IF(H85&gt;=I85,"CUMPLE","NO CUMPLE")),"PENDIENTE DE APROBACIÓN")))</x:f>
        <x:v>SIN DATOS</x:v>
      </x:c>
    </x:row>
    <x:row r="86">
      <x:c r="A86" s="20"/>
      <x:c r="B86" s="20"/>
      <x:c r="C86" s="24"/>
      <x:c r="D86" s="24"/>
      <x:c r="E86" s="20"/>
      <x:c r="F86" s="20"/>
      <x:c r="G86" s="22" t="str">
        <x:f>IF(OR(NOT(ISNUMBER(E86)),NOT(ISNUMBER(F86)),E86&lt;=0,F86&lt;0,F86&gt;E86),"",E86-F86)</x:f>
      </x:c>
      <x:c r="H86" s="30" t="str">
        <x:f>IF(G86="","",100*F86/E86)</x:f>
      </x:c>
      <x:c r="I86" s="30" t="str">
        <x:f>IF(B86="Semanal",IF('02_PARAMETROS'!G87="","",'02_PARAMETROS'!G87),IF(B86="Mensual",IF('02_PARAMETROS'!G88="","",'02_PARAMETROS'!G88),""))</x:f>
      </x:c>
      <x:c r="J86" s="20"/>
      <x:c r="K86" s="22" t="str">
        <x:f>IF(COUNTA(A86:F86)+COUNTA(J86)=0,"SIN DATOS",IF(AND(ISNUMBER(E86),ISNUMBER(F86),OR(E86&lt;=0,F86&lt;0,F86&gt;E86)),"REVISAR",IF(OR(A86="",B86="",NOT(ISNUMBER(C86)),NOT(ISNUMBER(D86)),D86&lt;C86,G86="",J86=""),"INCOMPLETO","VÁLIDO")))</x:f>
        <x:v>SIN DATOS</x:v>
      </x:c>
      <x:c r="L86" s="22" t="str">
        <x:f>IF(K86&lt;&gt;"VÁLIDO","SIN DATOS",IF(B86="Semanal",IF('02_PARAMETROS'!I87&lt;&gt;"APROBADO","PENDIENTE DE APROBACIÓN",IF(H86&gt;=I86,"CUMPLE","NO CUMPLE")),IF(B86="Mensual",IF('02_PARAMETROS'!I88&lt;&gt;"APROBADO","PENDIENTE DE APROBACIÓN",IF(H86&gt;=I86,"CUMPLE","NO CUMPLE")),"PENDIENTE DE APROBACIÓN")))</x:f>
        <x:v>SIN DATOS</x:v>
      </x:c>
    </x:row>
    <x:row r="87">
      <x:c r="A87" s="20"/>
      <x:c r="B87" s="20"/>
      <x:c r="C87" s="24"/>
      <x:c r="D87" s="24"/>
      <x:c r="E87" s="20"/>
      <x:c r="F87" s="20"/>
      <x:c r="G87" s="22" t="str">
        <x:f>IF(OR(NOT(ISNUMBER(E87)),NOT(ISNUMBER(F87)),E87&lt;=0,F87&lt;0,F87&gt;E87),"",E87-F87)</x:f>
      </x:c>
      <x:c r="H87" s="30" t="str">
        <x:f>IF(G87="","",100*F87/E87)</x:f>
      </x:c>
      <x:c r="I87" s="30" t="str">
        <x:f>IF(B87="Semanal",IF('02_PARAMETROS'!G88="","",'02_PARAMETROS'!G88),IF(B87="Mensual",IF('02_PARAMETROS'!G89="","",'02_PARAMETROS'!G89),""))</x:f>
      </x:c>
      <x:c r="J87" s="20"/>
      <x:c r="K87" s="22" t="str">
        <x:f>IF(COUNTA(A87:F87)+COUNTA(J87)=0,"SIN DATOS",IF(AND(ISNUMBER(E87),ISNUMBER(F87),OR(E87&lt;=0,F87&lt;0,F87&gt;E87)),"REVISAR",IF(OR(A87="",B87="",NOT(ISNUMBER(C87)),NOT(ISNUMBER(D87)),D87&lt;C87,G87="",J87=""),"INCOMPLETO","VÁLIDO")))</x:f>
        <x:v>SIN DATOS</x:v>
      </x:c>
      <x:c r="L87" s="22" t="str">
        <x:f>IF(K87&lt;&gt;"VÁLIDO","SIN DATOS",IF(B87="Semanal",IF('02_PARAMETROS'!I88&lt;&gt;"APROBADO","PENDIENTE DE APROBACIÓN",IF(H87&gt;=I87,"CUMPLE","NO CUMPLE")),IF(B87="Mensual",IF('02_PARAMETROS'!I89&lt;&gt;"APROBADO","PENDIENTE DE APROBACIÓN",IF(H87&gt;=I87,"CUMPLE","NO CUMPLE")),"PENDIENTE DE APROBACIÓN")))</x:f>
        <x:v>SIN DATOS</x:v>
      </x:c>
    </x:row>
    <x:row r="88">
      <x:c r="A88" s="20"/>
      <x:c r="B88" s="20"/>
      <x:c r="C88" s="24"/>
      <x:c r="D88" s="24"/>
      <x:c r="E88" s="20"/>
      <x:c r="F88" s="20"/>
      <x:c r="G88" s="22" t="str">
        <x:f>IF(OR(NOT(ISNUMBER(E88)),NOT(ISNUMBER(F88)),E88&lt;=0,F88&lt;0,F88&gt;E88),"",E88-F88)</x:f>
      </x:c>
      <x:c r="H88" s="30" t="str">
        <x:f>IF(G88="","",100*F88/E88)</x:f>
      </x:c>
      <x:c r="I88" s="30" t="str">
        <x:f>IF(B88="Semanal",IF('02_PARAMETROS'!G89="","",'02_PARAMETROS'!G89),IF(B88="Mensual",IF('02_PARAMETROS'!G90="","",'02_PARAMETROS'!G90),""))</x:f>
      </x:c>
      <x:c r="J88" s="20"/>
      <x:c r="K88" s="22" t="str">
        <x:f>IF(COUNTA(A88:F88)+COUNTA(J88)=0,"SIN DATOS",IF(AND(ISNUMBER(E88),ISNUMBER(F88),OR(E88&lt;=0,F88&lt;0,F88&gt;E88)),"REVISAR",IF(OR(A88="",B88="",NOT(ISNUMBER(C88)),NOT(ISNUMBER(D88)),D88&lt;C88,G88="",J88=""),"INCOMPLETO","VÁLIDO")))</x:f>
        <x:v>SIN DATOS</x:v>
      </x:c>
      <x:c r="L88" s="22" t="str">
        <x:f>IF(K88&lt;&gt;"VÁLIDO","SIN DATOS",IF(B88="Semanal",IF('02_PARAMETROS'!I89&lt;&gt;"APROBADO","PENDIENTE DE APROBACIÓN",IF(H88&gt;=I88,"CUMPLE","NO CUMPLE")),IF(B88="Mensual",IF('02_PARAMETROS'!I90&lt;&gt;"APROBADO","PENDIENTE DE APROBACIÓN",IF(H88&gt;=I88,"CUMPLE","NO CUMPLE")),"PENDIENTE DE APROBACIÓN")))</x:f>
        <x:v>SIN DATOS</x:v>
      </x:c>
    </x:row>
    <x:row r="89">
      <x:c r="A89" s="20"/>
      <x:c r="B89" s="20"/>
      <x:c r="C89" s="24"/>
      <x:c r="D89" s="24"/>
      <x:c r="E89" s="20"/>
      <x:c r="F89" s="20"/>
      <x:c r="G89" s="22" t="str">
        <x:f>IF(OR(NOT(ISNUMBER(E89)),NOT(ISNUMBER(F89)),E89&lt;=0,F89&lt;0,F89&gt;E89),"",E89-F89)</x:f>
      </x:c>
      <x:c r="H89" s="30" t="str">
        <x:f>IF(G89="","",100*F89/E89)</x:f>
      </x:c>
      <x:c r="I89" s="30" t="str">
        <x:f>IF(B89="Semanal",IF('02_PARAMETROS'!G90="","",'02_PARAMETROS'!G90),IF(B89="Mensual",IF('02_PARAMETROS'!G91="","",'02_PARAMETROS'!G91),""))</x:f>
      </x:c>
      <x:c r="J89" s="20"/>
      <x:c r="K89" s="22" t="str">
        <x:f>IF(COUNTA(A89:F89)+COUNTA(J89)=0,"SIN DATOS",IF(AND(ISNUMBER(E89),ISNUMBER(F89),OR(E89&lt;=0,F89&lt;0,F89&gt;E89)),"REVISAR",IF(OR(A89="",B89="",NOT(ISNUMBER(C89)),NOT(ISNUMBER(D89)),D89&lt;C89,G89="",J89=""),"INCOMPLETO","VÁLIDO")))</x:f>
        <x:v>SIN DATOS</x:v>
      </x:c>
      <x:c r="L89" s="22" t="str">
        <x:f>IF(K89&lt;&gt;"VÁLIDO","SIN DATOS",IF(B89="Semanal",IF('02_PARAMETROS'!I90&lt;&gt;"APROBADO","PENDIENTE DE APROBACIÓN",IF(H89&gt;=I89,"CUMPLE","NO CUMPLE")),IF(B89="Mensual",IF('02_PARAMETROS'!I91&lt;&gt;"APROBADO","PENDIENTE DE APROBACIÓN",IF(H89&gt;=I89,"CUMPLE","NO CUMPLE")),"PENDIENTE DE APROBACIÓN")))</x:f>
        <x:v>SIN DATOS</x:v>
      </x:c>
    </x:row>
    <x:row r="90">
      <x:c r="A90" s="20"/>
      <x:c r="B90" s="20"/>
      <x:c r="C90" s="24"/>
      <x:c r="D90" s="24"/>
      <x:c r="E90" s="20"/>
      <x:c r="F90" s="20"/>
      <x:c r="G90" s="22" t="str">
        <x:f>IF(OR(NOT(ISNUMBER(E90)),NOT(ISNUMBER(F90)),E90&lt;=0,F90&lt;0,F90&gt;E90),"",E90-F90)</x:f>
      </x:c>
      <x:c r="H90" s="30" t="str">
        <x:f>IF(G90="","",100*F90/E90)</x:f>
      </x:c>
      <x:c r="I90" s="30" t="str">
        <x:f>IF(B90="Semanal",IF('02_PARAMETROS'!G91="","",'02_PARAMETROS'!G91),IF(B90="Mensual",IF('02_PARAMETROS'!G92="","",'02_PARAMETROS'!G92),""))</x:f>
      </x:c>
      <x:c r="J90" s="20"/>
      <x:c r="K90" s="22" t="str">
        <x:f>IF(COUNTA(A90:F90)+COUNTA(J90)=0,"SIN DATOS",IF(AND(ISNUMBER(E90),ISNUMBER(F90),OR(E90&lt;=0,F90&lt;0,F90&gt;E90)),"REVISAR",IF(OR(A90="",B90="",NOT(ISNUMBER(C90)),NOT(ISNUMBER(D90)),D90&lt;C90,G90="",J90=""),"INCOMPLETO","VÁLIDO")))</x:f>
        <x:v>SIN DATOS</x:v>
      </x:c>
      <x:c r="L90" s="22" t="str">
        <x:f>IF(K90&lt;&gt;"VÁLIDO","SIN DATOS",IF(B90="Semanal",IF('02_PARAMETROS'!I91&lt;&gt;"APROBADO","PENDIENTE DE APROBACIÓN",IF(H90&gt;=I90,"CUMPLE","NO CUMPLE")),IF(B90="Mensual",IF('02_PARAMETROS'!I92&lt;&gt;"APROBADO","PENDIENTE DE APROBACIÓN",IF(H90&gt;=I90,"CUMPLE","NO CUMPLE")),"PENDIENTE DE APROBACIÓN")))</x:f>
        <x:v>SIN DATOS</x:v>
      </x:c>
    </x:row>
    <x:row r="91">
      <x:c r="A91" s="20"/>
      <x:c r="B91" s="20"/>
      <x:c r="C91" s="24"/>
      <x:c r="D91" s="24"/>
      <x:c r="E91" s="20"/>
      <x:c r="F91" s="20"/>
      <x:c r="G91" s="22" t="str">
        <x:f>IF(OR(NOT(ISNUMBER(E91)),NOT(ISNUMBER(F91)),E91&lt;=0,F91&lt;0,F91&gt;E91),"",E91-F91)</x:f>
      </x:c>
      <x:c r="H91" s="30" t="str">
        <x:f>IF(G91="","",100*F91/E91)</x:f>
      </x:c>
      <x:c r="I91" s="30" t="str">
        <x:f>IF(B91="Semanal",IF('02_PARAMETROS'!G92="","",'02_PARAMETROS'!G92),IF(B91="Mensual",IF('02_PARAMETROS'!G93="","",'02_PARAMETROS'!G93),""))</x:f>
      </x:c>
      <x:c r="J91" s="20"/>
      <x:c r="K91" s="22" t="str">
        <x:f>IF(COUNTA(A91:F91)+COUNTA(J91)=0,"SIN DATOS",IF(AND(ISNUMBER(E91),ISNUMBER(F91),OR(E91&lt;=0,F91&lt;0,F91&gt;E91)),"REVISAR",IF(OR(A91="",B91="",NOT(ISNUMBER(C91)),NOT(ISNUMBER(D91)),D91&lt;C91,G91="",J91=""),"INCOMPLETO","VÁLIDO")))</x:f>
        <x:v>SIN DATOS</x:v>
      </x:c>
      <x:c r="L91" s="22" t="str">
        <x:f>IF(K91&lt;&gt;"VÁLIDO","SIN DATOS",IF(B91="Semanal",IF('02_PARAMETROS'!I92&lt;&gt;"APROBADO","PENDIENTE DE APROBACIÓN",IF(H91&gt;=I91,"CUMPLE","NO CUMPLE")),IF(B91="Mensual",IF('02_PARAMETROS'!I93&lt;&gt;"APROBADO","PENDIENTE DE APROBACIÓN",IF(H91&gt;=I91,"CUMPLE","NO CUMPLE")),"PENDIENTE DE APROBACIÓN")))</x:f>
        <x:v>SIN DATOS</x:v>
      </x:c>
    </x:row>
    <x:row r="92">
      <x:c r="A92" s="20"/>
      <x:c r="B92" s="20"/>
      <x:c r="C92" s="24"/>
      <x:c r="D92" s="24"/>
      <x:c r="E92" s="20"/>
      <x:c r="F92" s="20"/>
      <x:c r="G92" s="22" t="str">
        <x:f>IF(OR(NOT(ISNUMBER(E92)),NOT(ISNUMBER(F92)),E92&lt;=0,F92&lt;0,F92&gt;E92),"",E92-F92)</x:f>
      </x:c>
      <x:c r="H92" s="30" t="str">
        <x:f>IF(G92="","",100*F92/E92)</x:f>
      </x:c>
      <x:c r="I92" s="30" t="str">
        <x:f>IF(B92="Semanal",IF('02_PARAMETROS'!G93="","",'02_PARAMETROS'!G93),IF(B92="Mensual",IF('02_PARAMETROS'!G94="","",'02_PARAMETROS'!G94),""))</x:f>
      </x:c>
      <x:c r="J92" s="20"/>
      <x:c r="K92" s="22" t="str">
        <x:f>IF(COUNTA(A92:F92)+COUNTA(J92)=0,"SIN DATOS",IF(AND(ISNUMBER(E92),ISNUMBER(F92),OR(E92&lt;=0,F92&lt;0,F92&gt;E92)),"REVISAR",IF(OR(A92="",B92="",NOT(ISNUMBER(C92)),NOT(ISNUMBER(D92)),D92&lt;C92,G92="",J92=""),"INCOMPLETO","VÁLIDO")))</x:f>
        <x:v>SIN DATOS</x:v>
      </x:c>
      <x:c r="L92" s="22" t="str">
        <x:f>IF(K92&lt;&gt;"VÁLIDO","SIN DATOS",IF(B92="Semanal",IF('02_PARAMETROS'!I93&lt;&gt;"APROBADO","PENDIENTE DE APROBACIÓN",IF(H92&gt;=I92,"CUMPLE","NO CUMPLE")),IF(B92="Mensual",IF('02_PARAMETROS'!I94&lt;&gt;"APROBADO","PENDIENTE DE APROBACIÓN",IF(H92&gt;=I92,"CUMPLE","NO CUMPLE")),"PENDIENTE DE APROBACIÓN")))</x:f>
        <x:v>SIN DATOS</x:v>
      </x:c>
    </x:row>
    <x:row r="93">
      <x:c r="A93" s="20"/>
      <x:c r="B93" s="20"/>
      <x:c r="C93" s="24"/>
      <x:c r="D93" s="24"/>
      <x:c r="E93" s="20"/>
      <x:c r="F93" s="20"/>
      <x:c r="G93" s="22" t="str">
        <x:f>IF(OR(NOT(ISNUMBER(E93)),NOT(ISNUMBER(F93)),E93&lt;=0,F93&lt;0,F93&gt;E93),"",E93-F93)</x:f>
      </x:c>
      <x:c r="H93" s="30" t="str">
        <x:f>IF(G93="","",100*F93/E93)</x:f>
      </x:c>
      <x:c r="I93" s="30" t="str">
        <x:f>IF(B93="Semanal",IF('02_PARAMETROS'!G94="","",'02_PARAMETROS'!G94),IF(B93="Mensual",IF('02_PARAMETROS'!G95="","",'02_PARAMETROS'!G95),""))</x:f>
      </x:c>
      <x:c r="J93" s="20"/>
      <x:c r="K93" s="22" t="str">
        <x:f>IF(COUNTA(A93:F93)+COUNTA(J93)=0,"SIN DATOS",IF(AND(ISNUMBER(E93),ISNUMBER(F93),OR(E93&lt;=0,F93&lt;0,F93&gt;E93)),"REVISAR",IF(OR(A93="",B93="",NOT(ISNUMBER(C93)),NOT(ISNUMBER(D93)),D93&lt;C93,G93="",J93=""),"INCOMPLETO","VÁLIDO")))</x:f>
        <x:v>SIN DATOS</x:v>
      </x:c>
      <x:c r="L93" s="22" t="str">
        <x:f>IF(K93&lt;&gt;"VÁLIDO","SIN DATOS",IF(B93="Semanal",IF('02_PARAMETROS'!I94&lt;&gt;"APROBADO","PENDIENTE DE APROBACIÓN",IF(H93&gt;=I93,"CUMPLE","NO CUMPLE")),IF(B93="Mensual",IF('02_PARAMETROS'!I95&lt;&gt;"APROBADO","PENDIENTE DE APROBACIÓN",IF(H93&gt;=I93,"CUMPLE","NO CUMPLE")),"PENDIENTE DE APROBACIÓN")))</x:f>
        <x:v>SIN DATOS</x:v>
      </x:c>
    </x:row>
    <x:row r="94">
      <x:c r="A94" s="20"/>
      <x:c r="B94" s="20"/>
      <x:c r="C94" s="24"/>
      <x:c r="D94" s="24"/>
      <x:c r="E94" s="20"/>
      <x:c r="F94" s="20"/>
      <x:c r="G94" s="22" t="str">
        <x:f>IF(OR(NOT(ISNUMBER(E94)),NOT(ISNUMBER(F94)),E94&lt;=0,F94&lt;0,F94&gt;E94),"",E94-F94)</x:f>
      </x:c>
      <x:c r="H94" s="30" t="str">
        <x:f>IF(G94="","",100*F94/E94)</x:f>
      </x:c>
      <x:c r="I94" s="30" t="str">
        <x:f>IF(B94="Semanal",IF('02_PARAMETROS'!G95="","",'02_PARAMETROS'!G95),IF(B94="Mensual",IF('02_PARAMETROS'!G96="","",'02_PARAMETROS'!G96),""))</x:f>
      </x:c>
      <x:c r="J94" s="20"/>
      <x:c r="K94" s="22" t="str">
        <x:f>IF(COUNTA(A94:F94)+COUNTA(J94)=0,"SIN DATOS",IF(AND(ISNUMBER(E94),ISNUMBER(F94),OR(E94&lt;=0,F94&lt;0,F94&gt;E94)),"REVISAR",IF(OR(A94="",B94="",NOT(ISNUMBER(C94)),NOT(ISNUMBER(D94)),D94&lt;C94,G94="",J94=""),"INCOMPLETO","VÁLIDO")))</x:f>
        <x:v>SIN DATOS</x:v>
      </x:c>
      <x:c r="L94" s="22" t="str">
        <x:f>IF(K94&lt;&gt;"VÁLIDO","SIN DATOS",IF(B94="Semanal",IF('02_PARAMETROS'!I95&lt;&gt;"APROBADO","PENDIENTE DE APROBACIÓN",IF(H94&gt;=I94,"CUMPLE","NO CUMPLE")),IF(B94="Mensual",IF('02_PARAMETROS'!I96&lt;&gt;"APROBADO","PENDIENTE DE APROBACIÓN",IF(H94&gt;=I94,"CUMPLE","NO CUMPLE")),"PENDIENTE DE APROBACIÓN")))</x:f>
        <x:v>SIN DATOS</x:v>
      </x:c>
    </x:row>
    <x:row r="95">
      <x:c r="A95" s="20"/>
      <x:c r="B95" s="20"/>
      <x:c r="C95" s="24"/>
      <x:c r="D95" s="24"/>
      <x:c r="E95" s="20"/>
      <x:c r="F95" s="20"/>
      <x:c r="G95" s="22" t="str">
        <x:f>IF(OR(NOT(ISNUMBER(E95)),NOT(ISNUMBER(F95)),E95&lt;=0,F95&lt;0,F95&gt;E95),"",E95-F95)</x:f>
      </x:c>
      <x:c r="H95" s="30" t="str">
        <x:f>IF(G95="","",100*F95/E95)</x:f>
      </x:c>
      <x:c r="I95" s="30" t="str">
        <x:f>IF(B95="Semanal",IF('02_PARAMETROS'!G96="","",'02_PARAMETROS'!G96),IF(B95="Mensual",IF('02_PARAMETROS'!G97="","",'02_PARAMETROS'!G97),""))</x:f>
      </x:c>
      <x:c r="J95" s="20"/>
      <x:c r="K95" s="22" t="str">
        <x:f>IF(COUNTA(A95:F95)+COUNTA(J95)=0,"SIN DATOS",IF(AND(ISNUMBER(E95),ISNUMBER(F95),OR(E95&lt;=0,F95&lt;0,F95&gt;E95)),"REVISAR",IF(OR(A95="",B95="",NOT(ISNUMBER(C95)),NOT(ISNUMBER(D95)),D95&lt;C95,G95="",J95=""),"INCOMPLETO","VÁLIDO")))</x:f>
        <x:v>SIN DATOS</x:v>
      </x:c>
      <x:c r="L95" s="22" t="str">
        <x:f>IF(K95&lt;&gt;"VÁLIDO","SIN DATOS",IF(B95="Semanal",IF('02_PARAMETROS'!I96&lt;&gt;"APROBADO","PENDIENTE DE APROBACIÓN",IF(H95&gt;=I95,"CUMPLE","NO CUMPLE")),IF(B95="Mensual",IF('02_PARAMETROS'!I97&lt;&gt;"APROBADO","PENDIENTE DE APROBACIÓN",IF(H95&gt;=I95,"CUMPLE","NO CUMPLE")),"PENDIENTE DE APROBACIÓN")))</x:f>
        <x:v>SIN DATOS</x:v>
      </x:c>
    </x:row>
    <x:row r="96">
      <x:c r="A96" s="20"/>
      <x:c r="B96" s="20"/>
      <x:c r="C96" s="24"/>
      <x:c r="D96" s="24"/>
      <x:c r="E96" s="20"/>
      <x:c r="F96" s="20"/>
      <x:c r="G96" s="22" t="str">
        <x:f>IF(OR(NOT(ISNUMBER(E96)),NOT(ISNUMBER(F96)),E96&lt;=0,F96&lt;0,F96&gt;E96),"",E96-F96)</x:f>
      </x:c>
      <x:c r="H96" s="30" t="str">
        <x:f>IF(G96="","",100*F96/E96)</x:f>
      </x:c>
      <x:c r="I96" s="30" t="str">
        <x:f>IF(B96="Semanal",IF('02_PARAMETROS'!G97="","",'02_PARAMETROS'!G97),IF(B96="Mensual",IF('02_PARAMETROS'!G98="","",'02_PARAMETROS'!G98),""))</x:f>
      </x:c>
      <x:c r="J96" s="20"/>
      <x:c r="K96" s="22" t="str">
        <x:f>IF(COUNTA(A96:F96)+COUNTA(J96)=0,"SIN DATOS",IF(AND(ISNUMBER(E96),ISNUMBER(F96),OR(E96&lt;=0,F96&lt;0,F96&gt;E96)),"REVISAR",IF(OR(A96="",B96="",NOT(ISNUMBER(C96)),NOT(ISNUMBER(D96)),D96&lt;C96,G96="",J96=""),"INCOMPLETO","VÁLIDO")))</x:f>
        <x:v>SIN DATOS</x:v>
      </x:c>
      <x:c r="L96" s="22" t="str">
        <x:f>IF(K96&lt;&gt;"VÁLIDO","SIN DATOS",IF(B96="Semanal",IF('02_PARAMETROS'!I97&lt;&gt;"APROBADO","PENDIENTE DE APROBACIÓN",IF(H96&gt;=I96,"CUMPLE","NO CUMPLE")),IF(B96="Mensual",IF('02_PARAMETROS'!I98&lt;&gt;"APROBADO","PENDIENTE DE APROBACIÓN",IF(H96&gt;=I96,"CUMPLE","NO CUMPLE")),"PENDIENTE DE APROBACIÓN")))</x:f>
        <x:v>SIN DATOS</x:v>
      </x:c>
    </x:row>
    <x:row r="97">
      <x:c r="A97" s="20"/>
      <x:c r="B97" s="20"/>
      <x:c r="C97" s="24"/>
      <x:c r="D97" s="24"/>
      <x:c r="E97" s="20"/>
      <x:c r="F97" s="20"/>
      <x:c r="G97" s="22" t="str">
        <x:f>IF(OR(NOT(ISNUMBER(E97)),NOT(ISNUMBER(F97)),E97&lt;=0,F97&lt;0,F97&gt;E97),"",E97-F97)</x:f>
      </x:c>
      <x:c r="H97" s="30" t="str">
        <x:f>IF(G97="","",100*F97/E97)</x:f>
      </x:c>
      <x:c r="I97" s="30" t="str">
        <x:f>IF(B97="Semanal",IF('02_PARAMETROS'!G98="","",'02_PARAMETROS'!G98),IF(B97="Mensual",IF('02_PARAMETROS'!G99="","",'02_PARAMETROS'!G99),""))</x:f>
      </x:c>
      <x:c r="J97" s="20"/>
      <x:c r="K97" s="22" t="str">
        <x:f>IF(COUNTA(A97:F97)+COUNTA(J97)=0,"SIN DATOS",IF(AND(ISNUMBER(E97),ISNUMBER(F97),OR(E97&lt;=0,F97&lt;0,F97&gt;E97)),"REVISAR",IF(OR(A97="",B97="",NOT(ISNUMBER(C97)),NOT(ISNUMBER(D97)),D97&lt;C97,G97="",J97=""),"INCOMPLETO","VÁLIDO")))</x:f>
        <x:v>SIN DATOS</x:v>
      </x:c>
      <x:c r="L97" s="22" t="str">
        <x:f>IF(K97&lt;&gt;"VÁLIDO","SIN DATOS",IF(B97="Semanal",IF('02_PARAMETROS'!I98&lt;&gt;"APROBADO","PENDIENTE DE APROBACIÓN",IF(H97&gt;=I97,"CUMPLE","NO CUMPLE")),IF(B97="Mensual",IF('02_PARAMETROS'!I99&lt;&gt;"APROBADO","PENDIENTE DE APROBACIÓN",IF(H97&gt;=I97,"CUMPLE","NO CUMPLE")),"PENDIENTE DE APROBACIÓN")))</x:f>
        <x:v>SIN DATOS</x:v>
      </x:c>
    </x:row>
    <x:row r="98">
      <x:c r="A98" s="20"/>
      <x:c r="B98" s="20"/>
      <x:c r="C98" s="24"/>
      <x:c r="D98" s="24"/>
      <x:c r="E98" s="20"/>
      <x:c r="F98" s="20"/>
      <x:c r="G98" s="22" t="str">
        <x:f>IF(OR(NOT(ISNUMBER(E98)),NOT(ISNUMBER(F98)),E98&lt;=0,F98&lt;0,F98&gt;E98),"",E98-F98)</x:f>
      </x:c>
      <x:c r="H98" s="30" t="str">
        <x:f>IF(G98="","",100*F98/E98)</x:f>
      </x:c>
      <x:c r="I98" s="30" t="str">
        <x:f>IF(B98="Semanal",IF('02_PARAMETROS'!G99="","",'02_PARAMETROS'!G99),IF(B98="Mensual",IF('02_PARAMETROS'!G100="","",'02_PARAMETROS'!G100),""))</x:f>
      </x:c>
      <x:c r="J98" s="20"/>
      <x:c r="K98" s="22" t="str">
        <x:f>IF(COUNTA(A98:F98)+COUNTA(J98)=0,"SIN DATOS",IF(AND(ISNUMBER(E98),ISNUMBER(F98),OR(E98&lt;=0,F98&lt;0,F98&gt;E98)),"REVISAR",IF(OR(A98="",B98="",NOT(ISNUMBER(C98)),NOT(ISNUMBER(D98)),D98&lt;C98,G98="",J98=""),"INCOMPLETO","VÁLIDO")))</x:f>
        <x:v>SIN DATOS</x:v>
      </x:c>
      <x:c r="L98" s="22" t="str">
        <x:f>IF(K98&lt;&gt;"VÁLIDO","SIN DATOS",IF(B98="Semanal",IF('02_PARAMETROS'!I99&lt;&gt;"APROBADO","PENDIENTE DE APROBACIÓN",IF(H98&gt;=I98,"CUMPLE","NO CUMPLE")),IF(B98="Mensual",IF('02_PARAMETROS'!I100&lt;&gt;"APROBADO","PENDIENTE DE APROBACIÓN",IF(H98&gt;=I98,"CUMPLE","NO CUMPLE")),"PENDIENTE DE APROBACIÓN")))</x:f>
        <x:v>SIN DATOS</x:v>
      </x:c>
    </x:row>
    <x:row r="99">
      <x:c r="A99" s="20"/>
      <x:c r="B99" s="20"/>
      <x:c r="C99" s="24"/>
      <x:c r="D99" s="24"/>
      <x:c r="E99" s="20"/>
      <x:c r="F99" s="20"/>
      <x:c r="G99" s="22" t="str">
        <x:f>IF(OR(NOT(ISNUMBER(E99)),NOT(ISNUMBER(F99)),E99&lt;=0,F99&lt;0,F99&gt;E99),"",E99-F99)</x:f>
      </x:c>
      <x:c r="H99" s="30" t="str">
        <x:f>IF(G99="","",100*F99/E99)</x:f>
      </x:c>
      <x:c r="I99" s="30" t="str">
        <x:f>IF(B99="Semanal",IF('02_PARAMETROS'!G100="","",'02_PARAMETROS'!G100),IF(B99="Mensual",IF('02_PARAMETROS'!G101="","",'02_PARAMETROS'!G101),""))</x:f>
      </x:c>
      <x:c r="J99" s="20"/>
      <x:c r="K99" s="22" t="str">
        <x:f>IF(COUNTA(A99:F99)+COUNTA(J99)=0,"SIN DATOS",IF(AND(ISNUMBER(E99),ISNUMBER(F99),OR(E99&lt;=0,F99&lt;0,F99&gt;E99)),"REVISAR",IF(OR(A99="",B99="",NOT(ISNUMBER(C99)),NOT(ISNUMBER(D99)),D99&lt;C99,G99="",J99=""),"INCOMPLETO","VÁLIDO")))</x:f>
        <x:v>SIN DATOS</x:v>
      </x:c>
      <x:c r="L99" s="22" t="str">
        <x:f>IF(K99&lt;&gt;"VÁLIDO","SIN DATOS",IF(B99="Semanal",IF('02_PARAMETROS'!I100&lt;&gt;"APROBADO","PENDIENTE DE APROBACIÓN",IF(H99&gt;=I99,"CUMPLE","NO CUMPLE")),IF(B99="Mensual",IF('02_PARAMETROS'!I101&lt;&gt;"APROBADO","PENDIENTE DE APROBACIÓN",IF(H99&gt;=I99,"CUMPLE","NO CUMPLE")),"PENDIENTE DE APROBACIÓN")))</x:f>
        <x:v>SIN DATOS</x:v>
      </x:c>
    </x:row>
    <x:row r="100">
      <x:c r="A100" s="20"/>
      <x:c r="B100" s="20"/>
      <x:c r="C100" s="24"/>
      <x:c r="D100" s="24"/>
      <x:c r="E100" s="20"/>
      <x:c r="F100" s="20"/>
      <x:c r="G100" s="22" t="str">
        <x:f>IF(OR(NOT(ISNUMBER(E100)),NOT(ISNUMBER(F100)),E100&lt;=0,F100&lt;0,F100&gt;E100),"",E100-F100)</x:f>
      </x:c>
      <x:c r="H100" s="30" t="str">
        <x:f>IF(G100="","",100*F100/E100)</x:f>
      </x:c>
      <x:c r="I100" s="30" t="str">
        <x:f>IF(B100="Semanal",IF('02_PARAMETROS'!G101="","",'02_PARAMETROS'!G101),IF(B100="Mensual",IF('02_PARAMETROS'!G102="","",'02_PARAMETROS'!G102),""))</x:f>
      </x:c>
      <x:c r="J100" s="20"/>
      <x:c r="K100" s="22" t="str">
        <x:f>IF(COUNTA(A100:F100)+COUNTA(J100)=0,"SIN DATOS",IF(AND(ISNUMBER(E100),ISNUMBER(F100),OR(E100&lt;=0,F100&lt;0,F100&gt;E100)),"REVISAR",IF(OR(A100="",B100="",NOT(ISNUMBER(C100)),NOT(ISNUMBER(D100)),D100&lt;C100,G100="",J100=""),"INCOMPLETO","VÁLIDO")))</x:f>
        <x:v>SIN DATOS</x:v>
      </x:c>
      <x:c r="L100" s="22" t="str">
        <x:f>IF(K100&lt;&gt;"VÁLIDO","SIN DATOS",IF(B100="Semanal",IF('02_PARAMETROS'!I101&lt;&gt;"APROBADO","PENDIENTE DE APROBACIÓN",IF(H100&gt;=I100,"CUMPLE","NO CUMPLE")),IF(B100="Mensual",IF('02_PARAMETROS'!I102&lt;&gt;"APROBADO","PENDIENTE DE APROBACIÓN",IF(H100&gt;=I100,"CUMPLE","NO CUMPLE")),"PENDIENTE DE APROBACIÓN")))</x:f>
        <x:v>SIN DATOS</x:v>
      </x:c>
    </x:row>
    <x:row r="101">
      <x:c r="A101" s="20"/>
      <x:c r="B101" s="20"/>
      <x:c r="C101" s="24"/>
      <x:c r="D101" s="24"/>
      <x:c r="E101" s="20"/>
      <x:c r="F101" s="20"/>
      <x:c r="G101" s="22" t="str">
        <x:f>IF(OR(NOT(ISNUMBER(E101)),NOT(ISNUMBER(F101)),E101&lt;=0,F101&lt;0,F101&gt;E101),"",E101-F101)</x:f>
      </x:c>
      <x:c r="H101" s="30" t="str">
        <x:f>IF(G101="","",100*F101/E101)</x:f>
      </x:c>
      <x:c r="I101" s="30" t="str">
        <x:f>IF(B101="Semanal",IF('02_PARAMETROS'!G102="","",'02_PARAMETROS'!G102),IF(B101="Mensual",IF('02_PARAMETROS'!G103="","",'02_PARAMETROS'!G103),""))</x:f>
      </x:c>
      <x:c r="J101" s="20"/>
      <x:c r="K101" s="22" t="str">
        <x:f>IF(COUNTA(A101:F101)+COUNTA(J101)=0,"SIN DATOS",IF(AND(ISNUMBER(E101),ISNUMBER(F101),OR(E101&lt;=0,F101&lt;0,F101&gt;E101)),"REVISAR",IF(OR(A101="",B101="",NOT(ISNUMBER(C101)),NOT(ISNUMBER(D101)),D101&lt;C101,G101="",J101=""),"INCOMPLETO","VÁLIDO")))</x:f>
        <x:v>SIN DATOS</x:v>
      </x:c>
      <x:c r="L101" s="22" t="str">
        <x:f>IF(K101&lt;&gt;"VÁLIDO","SIN DATOS",IF(B101="Semanal",IF('02_PARAMETROS'!I102&lt;&gt;"APROBADO","PENDIENTE DE APROBACIÓN",IF(H101&gt;=I101,"CUMPLE","NO CUMPLE")),IF(B101="Mensual",IF('02_PARAMETROS'!I103&lt;&gt;"APROBADO","PENDIENTE DE APROBACIÓN",IF(H101&gt;=I101,"CUMPLE","NO CUMPLE")),"PENDIENTE DE APROBACIÓN")))</x:f>
        <x:v>SIN DATOS</x:v>
      </x:c>
    </x:row>
    <x:row r="102">
      <x:c r="A102" s="20"/>
      <x:c r="B102" s="20"/>
      <x:c r="C102" s="24"/>
      <x:c r="D102" s="24"/>
      <x:c r="E102" s="20"/>
      <x:c r="F102" s="20"/>
      <x:c r="G102" s="22" t="str">
        <x:f>IF(OR(NOT(ISNUMBER(E102)),NOT(ISNUMBER(F102)),E102&lt;=0,F102&lt;0,F102&gt;E102),"",E102-F102)</x:f>
      </x:c>
      <x:c r="H102" s="30" t="str">
        <x:f>IF(G102="","",100*F102/E102)</x:f>
      </x:c>
      <x:c r="I102" s="30" t="str">
        <x:f>IF(B102="Semanal",IF('02_PARAMETROS'!G103="","",'02_PARAMETROS'!G103),IF(B102="Mensual",IF('02_PARAMETROS'!G104="","",'02_PARAMETROS'!G104),""))</x:f>
      </x:c>
      <x:c r="J102" s="20"/>
      <x:c r="K102" s="22" t="str">
        <x:f>IF(COUNTA(A102:F102)+COUNTA(J102)=0,"SIN DATOS",IF(AND(ISNUMBER(E102),ISNUMBER(F102),OR(E102&lt;=0,F102&lt;0,F102&gt;E102)),"REVISAR",IF(OR(A102="",B102="",NOT(ISNUMBER(C102)),NOT(ISNUMBER(D102)),D102&lt;C102,G102="",J102=""),"INCOMPLETO","VÁLIDO")))</x:f>
        <x:v>SIN DATOS</x:v>
      </x:c>
      <x:c r="L102" s="22" t="str">
        <x:f>IF(K102&lt;&gt;"VÁLIDO","SIN DATOS",IF(B102="Semanal",IF('02_PARAMETROS'!I103&lt;&gt;"APROBADO","PENDIENTE DE APROBACIÓN",IF(H102&gt;=I102,"CUMPLE","NO CUMPLE")),IF(B102="Mensual",IF('02_PARAMETROS'!I104&lt;&gt;"APROBADO","PENDIENTE DE APROBACIÓN",IF(H102&gt;=I102,"CUMPLE","NO CUMPLE")),"PENDIENTE DE APROBACIÓN")))</x:f>
        <x:v>SIN DATOS</x:v>
      </x:c>
    </x:row>
    <x:row r="103">
      <x:c r="A103" s="20"/>
      <x:c r="B103" s="20"/>
      <x:c r="C103" s="24"/>
      <x:c r="D103" s="24"/>
      <x:c r="E103" s="20"/>
      <x:c r="F103" s="20"/>
      <x:c r="G103" s="22" t="str">
        <x:f>IF(OR(NOT(ISNUMBER(E103)),NOT(ISNUMBER(F103)),E103&lt;=0,F103&lt;0,F103&gt;E103),"",E103-F103)</x:f>
      </x:c>
      <x:c r="H103" s="30" t="str">
        <x:f>IF(G103="","",100*F103/E103)</x:f>
      </x:c>
      <x:c r="I103" s="30" t="str">
        <x:f>IF(B103="Semanal",IF('02_PARAMETROS'!G104="","",'02_PARAMETROS'!G104),IF(B103="Mensual",IF('02_PARAMETROS'!G105="","",'02_PARAMETROS'!G105),""))</x:f>
      </x:c>
      <x:c r="J103" s="20"/>
      <x:c r="K103" s="22" t="str">
        <x:f>IF(COUNTA(A103:F103)+COUNTA(J103)=0,"SIN DATOS",IF(AND(ISNUMBER(E103),ISNUMBER(F103),OR(E103&lt;=0,F103&lt;0,F103&gt;E103)),"REVISAR",IF(OR(A103="",B103="",NOT(ISNUMBER(C103)),NOT(ISNUMBER(D103)),D103&lt;C103,G103="",J103=""),"INCOMPLETO","VÁLIDO")))</x:f>
        <x:v>SIN DATOS</x:v>
      </x:c>
      <x:c r="L103" s="22" t="str">
        <x:f>IF(K103&lt;&gt;"VÁLIDO","SIN DATOS",IF(B103="Semanal",IF('02_PARAMETROS'!I104&lt;&gt;"APROBADO","PENDIENTE DE APROBACIÓN",IF(H103&gt;=I103,"CUMPLE","NO CUMPLE")),IF(B103="Mensual",IF('02_PARAMETROS'!I105&lt;&gt;"APROBADO","PENDIENTE DE APROBACIÓN",IF(H103&gt;=I103,"CUMPLE","NO CUMPLE")),"PENDIENTE DE APROBACIÓN")))</x:f>
        <x:v>SIN DATOS</x:v>
      </x:c>
    </x:row>
    <x:row r="104">
      <x:c r="A104" s="20"/>
      <x:c r="B104" s="20"/>
      <x:c r="C104" s="24"/>
      <x:c r="D104" s="24"/>
      <x:c r="E104" s="20"/>
      <x:c r="F104" s="20"/>
      <x:c r="G104" s="22" t="str">
        <x:f>IF(OR(NOT(ISNUMBER(E104)),NOT(ISNUMBER(F104)),E104&lt;=0,F104&lt;0,F104&gt;E104),"",E104-F104)</x:f>
      </x:c>
      <x:c r="H104" s="30" t="str">
        <x:f>IF(G104="","",100*F104/E104)</x:f>
      </x:c>
      <x:c r="I104" s="30" t="str">
        <x:f>IF(B104="Semanal",IF('02_PARAMETROS'!G105="","",'02_PARAMETROS'!G105),IF(B104="Mensual",IF('02_PARAMETROS'!G106="","",'02_PARAMETROS'!G106),""))</x:f>
      </x:c>
      <x:c r="J104" s="20"/>
      <x:c r="K104" s="22" t="str">
        <x:f>IF(COUNTA(A104:F104)+COUNTA(J104)=0,"SIN DATOS",IF(AND(ISNUMBER(E104),ISNUMBER(F104),OR(E104&lt;=0,F104&lt;0,F104&gt;E104)),"REVISAR",IF(OR(A104="",B104="",NOT(ISNUMBER(C104)),NOT(ISNUMBER(D104)),D104&lt;C104,G104="",J104=""),"INCOMPLETO","VÁLIDO")))</x:f>
        <x:v>SIN DATOS</x:v>
      </x:c>
      <x:c r="L104" s="22" t="str">
        <x:f>IF(K104&lt;&gt;"VÁLIDO","SIN DATOS",IF(B104="Semanal",IF('02_PARAMETROS'!I105&lt;&gt;"APROBADO","PENDIENTE DE APROBACIÓN",IF(H104&gt;=I104,"CUMPLE","NO CUMPLE")),IF(B104="Mensual",IF('02_PARAMETROS'!I106&lt;&gt;"APROBADO","PENDIENTE DE APROBACIÓN",IF(H104&gt;=I104,"CUMPLE","NO CUMPLE")),"PENDIENTE DE APROBACIÓN")))</x:f>
        <x:v>SIN DATOS</x:v>
      </x:c>
    </x:row>
  </x:sheetData>
  <x:mergeCells>
    <x:mergeCell ref="A1:L1"/>
    <x:mergeCell ref="A2:L2"/>
  </x:mergeCells>
  <x:dataValidations count="2">
    <x:dataValidation type="list" sqref="B5:B104">
      <x:formula1>"Semanal,Mensual"</x:formula1>
    </x:dataValidation>
    <x:dataValidation type="decimal" sqref="E5:F10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d13c1dfbe8485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4" hidden="0" customWidth="1"/>
    <x:col min="4" max="4" width="26" hidden="0" customWidth="1"/>
    <x:col min="5" max="5" width="19" hidden="0" customWidth="1"/>
    <x:col min="6" max="6" width="19" hidden="0" customWidth="1"/>
    <x:col min="7" max="7" width="13" hidden="0" customWidth="1"/>
    <x:col min="8" max="8" width="36" hidden="0" customWidth="1"/>
    <x:col min="9" max="9" width="36" hidden="0" customWidth="1"/>
    <x:col min="10" max="10" width="58" hidden="0" customWidth="1"/>
    <x:col min="11" max="11" width="43" hidden="0" customWidth="1"/>
    <x:col min="12" max="12" width="26" hidden="0" customWidth="1"/>
    <x:col min="13" max="13" width="28" hidden="0" customWidth="1"/>
    <x:col min="14" max="14" width="28" hidden="0" customWidth="1"/>
  </x:cols>
  <x:sheetData>
    <x:row r="1" ht="35" customHeight="1">
      <x:c r="A1" s="3" t="str">
        <x:v>TIEMPOS DE RESPUESTA | P95 / P99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7" t="str">
        <x:v>PERCENTILE.INC sobre observaciones crudas filtradas por escenario y ejecución (Excel 365).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1" customHeight="1">
      <x:c r="A4" s="13" t="str">
        <x:v>Escenario</x:v>
      </x:c>
      <x:c r="B4" s="13" t="str">
        <x:v>ID ejecución</x:v>
      </x:c>
      <x:c r="C4" s="13" t="str">
        <x:v>Solicitudes registradas</x:v>
      </x:c>
      <x:c r="D4" s="13" t="str">
        <x:v>Observaciones válidas</x:v>
      </x:c>
      <x:c r="E4" s="13" t="str">
        <x:v>P95 (ms)</x:v>
      </x:c>
      <x:c r="F4" s="13" t="str">
        <x:v>P99 (ms)</x:v>
      </x:c>
      <x:c r="G4" s="13" t="str">
        <x:v>Unidad</x:v>
      </x:c>
      <x:c r="H4" s="13" t="str">
        <x:v>Condiciones de carga</x:v>
      </x:c>
      <x:c r="I4" s="13" t="str">
        <x:v>Fuente observaciones</x:v>
      </x:c>
      <x:c r="J4" s="13" t="str">
        <x:v>Advertencia metodológica</x:v>
      </x:c>
      <x:c r="K4" s="13" t="str">
        <x:v>Evidencia</x:v>
      </x:c>
      <x:c r="L4" s="13" t="str">
        <x:v>Estado interpretación</x:v>
      </x:c>
      <x:c r="M4" s="13" t="str">
        <x:v>Dictamen P95</x:v>
      </x:c>
      <x:c r="N4" s="13" t="str">
        <x:v>Dictamen P99</x:v>
      </x:c>
    </x:row>
    <x:row r="5" ht="22" customHeight="1">
      <x:c r="A5" s="20" t="str">
        <x:v>ET-01</x:v>
      </x:c>
      <x:c r="B5" s="20"/>
      <x:c r="C5" s="22" t="str">
        <x:f>IF(OR(A5="",B5=""),"",IF(COUNTIFS('14_TIEMPOS_CRUDOS'!$B$5:$B$304,$A5,'14_TIEMPOS_CRUDOS'!$C$5:$C$304,$B5)=0,"",COUNTIFS('14_TIEMPOS_CRUDOS'!$B$5:$B$304,$A5,'14_TIEMPOS_CRUDOS'!$C$5:$C$304,$B5)))</x:f>
      </x:c>
      <x:c r="D5" s="22" t="str">
        <x:f>IF(C5="","",COUNTIFS('14_TIEMPOS_CRUDOS'!$B$5:$B$304,$A5,'14_TIEMPOS_CRUDOS'!$C$5:$C$304,$B5,'14_TIEMPOS_CRUDOS'!$H$5:$H$304,"VÁLIDO"))</x:f>
      </x:c>
      <x:c r="E5" s="30" t="str">
        <x:f>IF(OR(D5="",D5=0),"",IFERROR(_xlfn.PERCENTILE.INC(_xlfn._xlws.FILTER('14_TIEMPOS_CRUDOS'!$D$5:$D$304,('14_TIEMPOS_CRUDOS'!$B$5:$B$304=$A5)*('14_TIEMPOS_CRUDOS'!$C$5:$C$304=$B5)*('14_TIEMPOS_CRUDOS'!$H$5:$H$304="VÁLIDO")),0.95),""))</x:f>
      </x:c>
      <x:c r="F5" s="30" t="str">
        <x:f>IF(OR(D5="",D5=0),"",IFERROR(_xlfn.PERCENTILE.INC(_xlfn._xlws.FILTER('14_TIEMPOS_CRUDOS'!$D$5:$D$304,('14_TIEMPOS_CRUDOS'!$B$5:$B$304=$A5)*('14_TIEMPOS_CRUDOS'!$C$5:$C$304=$B5)*('14_TIEMPOS_CRUDOS'!$H$5:$H$304="VÁLIDO")),0.99),""))</x:f>
      </x:c>
      <x:c r="G5" s="22" t="str">
        <x:f>IF(D5="","","ms")</x:f>
      </x:c>
      <x:c r="H5" s="20"/>
      <x:c r="I5" s="20"/>
      <x:c r="J5" s="22" t="str">
        <x:f>IF(OR(D5="",D5=0),"SIN DATOS","REVISAR SUFICIENCIA / PRECISIÓN DEL n; NO HAY MÍNIMO APROBADO")</x:f>
        <x:v>SIN DATOS</x:v>
      </x:c>
      <x:c r="K5" s="22" t="str">
        <x:f>IF(D5&gt;0,"Ver evidencia individual de 14_TIEMPOS_CRUDOS","")</x:f>
      </x:c>
      <x:c r="L5" s="22" t="str">
        <x:f>IF(OR(A5="",B5=""),"SIN DATOS",IF(C5="","SIN DATOS",IF(OR(D5=0,H5="",I5="",E5="",F5=""),"INCOMPLETO",IF(F5&lt;E5,"REVISAR","VÁLIDO"))))</x:f>
        <x:v>SIN DATOS</x:v>
      </x:c>
      <x:c r="M5" s="22" t="str">
        <x:f>IF(L5&lt;&gt;"VÁLIDO","SIN DATOS",IF(OR('02_PARAMETROS'!$I$10&lt;&gt;"APROBADO",NOT(ISNUMBER('02_PARAMETROS'!$G$10)),'02_PARAMETROS'!$H$10=""),"PENDIENTE DE APROBACIÓN",IF(OR(AND('02_PARAMETROS'!$H$10="&gt;=",E5&gt;='02_PARAMETROS'!$G$10),AND('02_PARAMETROS'!$H$10="&lt;=",E5&lt;='02_PARAMETROS'!$G$10),AND('02_PARAMETROS'!$H$10="&gt;",E5&gt;'02_PARAMETROS'!$G$10),AND('02_PARAMETROS'!$H$10="&lt;",E5&lt;'02_PARAMETROS'!$G$10),AND('02_PARAMETROS'!$H$10="=",E5='02_PARAMETROS'!$G$10)),"CUMPLE","NO CUMPLE")))</x:f>
        <x:v>SIN DATOS</x:v>
      </x:c>
      <x:c r="N5" s="22" t="str">
        <x:f>IF(L5&lt;&gt;"VÁLIDO","SIN DATOS",IF(OR('02_PARAMETROS'!$I$11&lt;&gt;"APROBADO",NOT(ISNUMBER('02_PARAMETROS'!$G$11)),'02_PARAMETROS'!$H$11=""),"PENDIENTE DE APROBACIÓN",IF(OR(AND('02_PARAMETROS'!$H$11="&gt;=",F5&gt;='02_PARAMETROS'!$G$11),AND('02_PARAMETROS'!$H$11="&lt;=",F5&lt;='02_PARAMETROS'!$G$11),AND('02_PARAMETROS'!$H$11="&gt;",F5&gt;'02_PARAMETROS'!$G$11),AND('02_PARAMETROS'!$H$11="&lt;",F5&lt;'02_PARAMETROS'!$G$11),AND('02_PARAMETROS'!$H$11="=",F5='02_PARAMETROS'!$G$11)),"CUMPLE","NO CUMPLE")))</x:f>
        <x:v>SIN DATOS</x:v>
      </x:c>
    </x:row>
    <x:row r="6" ht="22" customHeight="1">
      <x:c r="A6" s="20" t="str">
        <x:v>ET-02</x:v>
      </x:c>
      <x:c r="B6" s="20"/>
      <x:c r="C6" s="22" t="str">
        <x:f>IF(OR(A6="",B6=""),"",IF(COUNTIFS('14_TIEMPOS_CRUDOS'!$B$5:$B$304,$A6,'14_TIEMPOS_CRUDOS'!$C$5:$C$304,$B6)=0,"",COUNTIFS('14_TIEMPOS_CRUDOS'!$B$5:$B$304,$A6,'14_TIEMPOS_CRUDOS'!$C$5:$C$304,$B6)))</x:f>
      </x:c>
      <x:c r="D6" s="22" t="str">
        <x:f>IF(C6="","",COUNTIFS('14_TIEMPOS_CRUDOS'!$B$5:$B$304,$A6,'14_TIEMPOS_CRUDOS'!$C$5:$C$304,$B6,'14_TIEMPOS_CRUDOS'!$H$5:$H$304,"VÁLIDO"))</x:f>
      </x:c>
      <x:c r="E6" s="30" t="str">
        <x:f>IF(OR(D6="",D6=0),"",IFERROR(_xlfn.PERCENTILE.INC(_xlfn._xlws.FILTER('14_TIEMPOS_CRUDOS'!$D$5:$D$304,('14_TIEMPOS_CRUDOS'!$B$5:$B$304=$A6)*('14_TIEMPOS_CRUDOS'!$C$5:$C$304=$B6)*('14_TIEMPOS_CRUDOS'!$H$5:$H$304="VÁLIDO")),0.95),""))</x:f>
      </x:c>
      <x:c r="F6" s="30" t="str">
        <x:f>IF(OR(D6="",D6=0),"",IFERROR(_xlfn.PERCENTILE.INC(_xlfn._xlws.FILTER('14_TIEMPOS_CRUDOS'!$D$5:$D$304,('14_TIEMPOS_CRUDOS'!$B$5:$B$304=$A6)*('14_TIEMPOS_CRUDOS'!$C$5:$C$304=$B6)*('14_TIEMPOS_CRUDOS'!$H$5:$H$304="VÁLIDO")),0.99),""))</x:f>
      </x:c>
      <x:c r="G6" s="22" t="str">
        <x:f>IF(D6="","","ms")</x:f>
      </x:c>
      <x:c r="H6" s="20"/>
      <x:c r="I6" s="20"/>
      <x:c r="J6" s="22" t="str">
        <x:f>IF(OR(D6="",D6=0),"SIN DATOS","REVISAR SUFICIENCIA / PRECISIÓN DEL n; NO HAY MÍNIMO APROBADO")</x:f>
        <x:v>SIN DATOS</x:v>
      </x:c>
      <x:c r="K6" s="22" t="str">
        <x:f>IF(D6&gt;0,"Ver evidencia individual de 14_TIEMPOS_CRUDOS","")</x:f>
      </x:c>
      <x:c r="L6" s="22" t="str">
        <x:f>IF(OR(A6="",B6=""),"SIN DATOS",IF(C6="","SIN DATOS",IF(OR(D6=0,H6="",I6="",E6="",F6=""),"INCOMPLETO",IF(F6&lt;E6,"REVISAR","VÁLIDO"))))</x:f>
        <x:v>SIN DATOS</x:v>
      </x:c>
      <x:c r="M6" s="22" t="str">
        <x:f>IF(L6&lt;&gt;"VÁLIDO","SIN DATOS",IF(OR('02_PARAMETROS'!$I$10&lt;&gt;"APROBADO",NOT(ISNUMBER('02_PARAMETROS'!$G$10)),'02_PARAMETROS'!$H$10=""),"PENDIENTE DE APROBACIÓN",IF(OR(AND('02_PARAMETROS'!$H$10="&gt;=",E6&gt;='02_PARAMETROS'!$G$10),AND('02_PARAMETROS'!$H$10="&lt;=",E6&lt;='02_PARAMETROS'!$G$10),AND('02_PARAMETROS'!$H$10="&gt;",E6&gt;'02_PARAMETROS'!$G$10),AND('02_PARAMETROS'!$H$10="&lt;",E6&lt;'02_PARAMETROS'!$G$10),AND('02_PARAMETROS'!$H$10="=",E6='02_PARAMETROS'!$G$10)),"CUMPLE","NO CUMPLE")))</x:f>
        <x:v>SIN DATOS</x:v>
      </x:c>
      <x:c r="N6" s="22" t="str">
        <x:f>IF(L6&lt;&gt;"VÁLIDO","SIN DATOS",IF(OR('02_PARAMETROS'!$I$11&lt;&gt;"APROBADO",NOT(ISNUMBER('02_PARAMETROS'!$G$11)),'02_PARAMETROS'!$H$11=""),"PENDIENTE DE APROBACIÓN",IF(OR(AND('02_PARAMETROS'!$H$11="&gt;=",F6&gt;='02_PARAMETROS'!$G$11),AND('02_PARAMETROS'!$H$11="&lt;=",F6&lt;='02_PARAMETROS'!$G$11),AND('02_PARAMETROS'!$H$11="&gt;",F6&gt;'02_PARAMETROS'!$G$11),AND('02_PARAMETROS'!$H$11="&lt;",F6&lt;'02_PARAMETROS'!$G$11),AND('02_PARAMETROS'!$H$11="=",F6='02_PARAMETROS'!$G$11)),"CUMPLE","NO CUMPLE")))</x:f>
        <x:v>SIN DATOS</x:v>
      </x:c>
    </x:row>
    <x:row r="7" ht="22" customHeight="1">
      <x:c r="A7" s="20"/>
      <x:c r="B7" s="20"/>
      <x:c r="C7" s="22" t="str">
        <x:f>IF(OR(A7="",B7=""),"",IF(COUNTIFS('14_TIEMPOS_CRUDOS'!$B$5:$B$304,$A7,'14_TIEMPOS_CRUDOS'!$C$5:$C$304,$B7)=0,"",COUNTIFS('14_TIEMPOS_CRUDOS'!$B$5:$B$304,$A7,'14_TIEMPOS_CRUDOS'!$C$5:$C$304,$B7)))</x:f>
      </x:c>
      <x:c r="D7" s="22" t="str">
        <x:f>IF(C7="","",COUNTIFS('14_TIEMPOS_CRUDOS'!$B$5:$B$304,$A7,'14_TIEMPOS_CRUDOS'!$C$5:$C$304,$B7,'14_TIEMPOS_CRUDOS'!$H$5:$H$304,"VÁLIDO"))</x:f>
      </x:c>
      <x:c r="E7" s="30" t="str">
        <x:f>IF(OR(D7="",D7=0),"",IFERROR(_xlfn.PERCENTILE.INC(_xlfn._xlws.FILTER('14_TIEMPOS_CRUDOS'!$D$5:$D$304,('14_TIEMPOS_CRUDOS'!$B$5:$B$304=$A7)*('14_TIEMPOS_CRUDOS'!$C$5:$C$304=$B7)*('14_TIEMPOS_CRUDOS'!$H$5:$H$304="VÁLIDO")),0.95),""))</x:f>
      </x:c>
      <x:c r="F7" s="30" t="str">
        <x:f>IF(OR(D7="",D7=0),"",IFERROR(_xlfn.PERCENTILE.INC(_xlfn._xlws.FILTER('14_TIEMPOS_CRUDOS'!$D$5:$D$304,('14_TIEMPOS_CRUDOS'!$B$5:$B$304=$A7)*('14_TIEMPOS_CRUDOS'!$C$5:$C$304=$B7)*('14_TIEMPOS_CRUDOS'!$H$5:$H$304="VÁLIDO")),0.99),""))</x:f>
      </x:c>
      <x:c r="G7" s="22" t="str">
        <x:f>IF(D7="","","ms")</x:f>
      </x:c>
      <x:c r="H7" s="20"/>
      <x:c r="I7" s="20"/>
      <x:c r="J7" s="22" t="str">
        <x:f>IF(OR(D7="",D7=0),"SIN DATOS","REVISAR SUFICIENCIA / PRECISIÓN DEL n; NO HAY MÍNIMO APROBADO")</x:f>
        <x:v>SIN DATOS</x:v>
      </x:c>
      <x:c r="K7" s="22" t="str">
        <x:f>IF(D7&gt;0,"Ver evidencia individual de 14_TIEMPOS_CRUDOS","")</x:f>
      </x:c>
      <x:c r="L7" s="22" t="str">
        <x:f>IF(OR(A7="",B7=""),"SIN DATOS",IF(C7="","SIN DATOS",IF(OR(D7=0,H7="",I7="",E7="",F7=""),"INCOMPLETO",IF(F7&lt;E7,"REVISAR","VÁLIDO"))))</x:f>
        <x:v>SIN DATOS</x:v>
      </x:c>
      <x:c r="M7" s="22" t="str">
        <x:f>IF(L7&lt;&gt;"VÁLIDO","SIN DATOS",IF(OR('02_PARAMETROS'!$I$10&lt;&gt;"APROBADO",NOT(ISNUMBER('02_PARAMETROS'!$G$10)),'02_PARAMETROS'!$H$10=""),"PENDIENTE DE APROBACIÓN",IF(OR(AND('02_PARAMETROS'!$H$10="&gt;=",E7&gt;='02_PARAMETROS'!$G$10),AND('02_PARAMETROS'!$H$10="&lt;=",E7&lt;='02_PARAMETROS'!$G$10),AND('02_PARAMETROS'!$H$10="&gt;",E7&gt;'02_PARAMETROS'!$G$10),AND('02_PARAMETROS'!$H$10="&lt;",E7&lt;'02_PARAMETROS'!$G$10),AND('02_PARAMETROS'!$H$10="=",E7='02_PARAMETROS'!$G$10)),"CUMPLE","NO CUMPLE")))</x:f>
        <x:v>SIN DATOS</x:v>
      </x:c>
      <x:c r="N7" s="22" t="str">
        <x:f>IF(L7&lt;&gt;"VÁLIDO","SIN DATOS",IF(OR('02_PARAMETROS'!$I$11&lt;&gt;"APROBADO",NOT(ISNUMBER('02_PARAMETROS'!$G$11)),'02_PARAMETROS'!$H$11=""),"PENDIENTE DE APROBACIÓN",IF(OR(AND('02_PARAMETROS'!$H$11="&gt;=",F7&gt;='02_PARAMETROS'!$G$11),AND('02_PARAMETROS'!$H$11="&lt;=",F7&lt;='02_PARAMETROS'!$G$11),AND('02_PARAMETROS'!$H$11="&gt;",F7&gt;'02_PARAMETROS'!$G$11),AND('02_PARAMETROS'!$H$11="&lt;",F7&lt;'02_PARAMETROS'!$G$11),AND('02_PARAMETROS'!$H$11="=",F7='02_PARAMETROS'!$G$11)),"CUMPLE","NO CUMPLE")))</x:f>
        <x:v>SIN DATOS</x:v>
      </x:c>
    </x:row>
    <x:row r="8" ht="22" customHeight="1">
      <x:c r="A8" s="20"/>
      <x:c r="B8" s="20"/>
      <x:c r="C8" s="22" t="str">
        <x:f>IF(OR(A8="",B8=""),"",IF(COUNTIFS('14_TIEMPOS_CRUDOS'!$B$5:$B$304,$A8,'14_TIEMPOS_CRUDOS'!$C$5:$C$304,$B8)=0,"",COUNTIFS('14_TIEMPOS_CRUDOS'!$B$5:$B$304,$A8,'14_TIEMPOS_CRUDOS'!$C$5:$C$304,$B8)))</x:f>
      </x:c>
      <x:c r="D8" s="22" t="str">
        <x:f>IF(C8="","",COUNTIFS('14_TIEMPOS_CRUDOS'!$B$5:$B$304,$A8,'14_TIEMPOS_CRUDOS'!$C$5:$C$304,$B8,'14_TIEMPOS_CRUDOS'!$H$5:$H$304,"VÁLIDO"))</x:f>
      </x:c>
      <x:c r="E8" s="30" t="str">
        <x:f>IF(OR(D8="",D8=0),"",IFERROR(_xlfn.PERCENTILE.INC(_xlfn._xlws.FILTER('14_TIEMPOS_CRUDOS'!$D$5:$D$304,('14_TIEMPOS_CRUDOS'!$B$5:$B$304=$A8)*('14_TIEMPOS_CRUDOS'!$C$5:$C$304=$B8)*('14_TIEMPOS_CRUDOS'!$H$5:$H$304="VÁLIDO")),0.95),""))</x:f>
      </x:c>
      <x:c r="F8" s="30" t="str">
        <x:f>IF(OR(D8="",D8=0),"",IFERROR(_xlfn.PERCENTILE.INC(_xlfn._xlws.FILTER('14_TIEMPOS_CRUDOS'!$D$5:$D$304,('14_TIEMPOS_CRUDOS'!$B$5:$B$304=$A8)*('14_TIEMPOS_CRUDOS'!$C$5:$C$304=$B8)*('14_TIEMPOS_CRUDOS'!$H$5:$H$304="VÁLIDO")),0.99),""))</x:f>
      </x:c>
      <x:c r="G8" s="22" t="str">
        <x:f>IF(D8="","","ms")</x:f>
      </x:c>
      <x:c r="H8" s="20"/>
      <x:c r="I8" s="20"/>
      <x:c r="J8" s="22" t="str">
        <x:f>IF(OR(D8="",D8=0),"SIN DATOS","REVISAR SUFICIENCIA / PRECISIÓN DEL n; NO HAY MÍNIMO APROBADO")</x:f>
        <x:v>SIN DATOS</x:v>
      </x:c>
      <x:c r="K8" s="22" t="str">
        <x:f>IF(D8&gt;0,"Ver evidencia individual de 14_TIEMPOS_CRUDOS","")</x:f>
      </x:c>
      <x:c r="L8" s="22" t="str">
        <x:f>IF(OR(A8="",B8=""),"SIN DATOS",IF(C8="","SIN DATOS",IF(OR(D8=0,H8="",I8="",E8="",F8=""),"INCOMPLETO",IF(F8&lt;E8,"REVISAR","VÁLIDO"))))</x:f>
        <x:v>SIN DATOS</x:v>
      </x:c>
      <x:c r="M8" s="22" t="str">
        <x:f>IF(L8&lt;&gt;"VÁLIDO","SIN DATOS",IF(OR('02_PARAMETROS'!$I$10&lt;&gt;"APROBADO",NOT(ISNUMBER('02_PARAMETROS'!$G$10)),'02_PARAMETROS'!$H$10=""),"PENDIENTE DE APROBACIÓN",IF(OR(AND('02_PARAMETROS'!$H$10="&gt;=",E8&gt;='02_PARAMETROS'!$G$10),AND('02_PARAMETROS'!$H$10="&lt;=",E8&lt;='02_PARAMETROS'!$G$10),AND('02_PARAMETROS'!$H$10="&gt;",E8&gt;'02_PARAMETROS'!$G$10),AND('02_PARAMETROS'!$H$10="&lt;",E8&lt;'02_PARAMETROS'!$G$10),AND('02_PARAMETROS'!$H$10="=",E8='02_PARAMETROS'!$G$10)),"CUMPLE","NO CUMPLE")))</x:f>
        <x:v>SIN DATOS</x:v>
      </x:c>
      <x:c r="N8" s="22" t="str">
        <x:f>IF(L8&lt;&gt;"VÁLIDO","SIN DATOS",IF(OR('02_PARAMETROS'!$I$11&lt;&gt;"APROBADO",NOT(ISNUMBER('02_PARAMETROS'!$G$11)),'02_PARAMETROS'!$H$11=""),"PENDIENTE DE APROBACIÓN",IF(OR(AND('02_PARAMETROS'!$H$11="&gt;=",F8&gt;='02_PARAMETROS'!$G$11),AND('02_PARAMETROS'!$H$11="&lt;=",F8&lt;='02_PARAMETROS'!$G$11),AND('02_PARAMETROS'!$H$11="&gt;",F8&gt;'02_PARAMETROS'!$G$11),AND('02_PARAMETROS'!$H$11="&lt;",F8&lt;'02_PARAMETROS'!$G$11),AND('02_PARAMETROS'!$H$11="=",F8='02_PARAMETROS'!$G$11)),"CUMPLE","NO CUMPLE")))</x:f>
        <x:v>SIN DATOS</x:v>
      </x:c>
    </x:row>
    <x:row r="9" ht="22" customHeight="1">
      <x:c r="A9" s="20"/>
      <x:c r="B9" s="20"/>
      <x:c r="C9" s="22" t="str">
        <x:f>IF(OR(A9="",B9=""),"",IF(COUNTIFS('14_TIEMPOS_CRUDOS'!$B$5:$B$304,$A9,'14_TIEMPOS_CRUDOS'!$C$5:$C$304,$B9)=0,"",COUNTIFS('14_TIEMPOS_CRUDOS'!$B$5:$B$304,$A9,'14_TIEMPOS_CRUDOS'!$C$5:$C$304,$B9)))</x:f>
      </x:c>
      <x:c r="D9" s="22" t="str">
        <x:f>IF(C9="","",COUNTIFS('14_TIEMPOS_CRUDOS'!$B$5:$B$304,$A9,'14_TIEMPOS_CRUDOS'!$C$5:$C$304,$B9,'14_TIEMPOS_CRUDOS'!$H$5:$H$304,"VÁLIDO"))</x:f>
      </x:c>
      <x:c r="E9" s="30" t="str">
        <x:f>IF(OR(D9="",D9=0),"",IFERROR(_xlfn.PERCENTILE.INC(_xlfn._xlws.FILTER('14_TIEMPOS_CRUDOS'!$D$5:$D$304,('14_TIEMPOS_CRUDOS'!$B$5:$B$304=$A9)*('14_TIEMPOS_CRUDOS'!$C$5:$C$304=$B9)*('14_TIEMPOS_CRUDOS'!$H$5:$H$304="VÁLIDO")),0.95),""))</x:f>
      </x:c>
      <x:c r="F9" s="30" t="str">
        <x:f>IF(OR(D9="",D9=0),"",IFERROR(_xlfn.PERCENTILE.INC(_xlfn._xlws.FILTER('14_TIEMPOS_CRUDOS'!$D$5:$D$304,('14_TIEMPOS_CRUDOS'!$B$5:$B$304=$A9)*('14_TIEMPOS_CRUDOS'!$C$5:$C$304=$B9)*('14_TIEMPOS_CRUDOS'!$H$5:$H$304="VÁLIDO")),0.99),""))</x:f>
      </x:c>
      <x:c r="G9" s="22" t="str">
        <x:f>IF(D9="","","ms")</x:f>
      </x:c>
      <x:c r="H9" s="20"/>
      <x:c r="I9" s="20"/>
      <x:c r="J9" s="22" t="str">
        <x:f>IF(OR(D9="",D9=0),"SIN DATOS","REVISAR SUFICIENCIA / PRECISIÓN DEL n; NO HAY MÍNIMO APROBADO")</x:f>
        <x:v>SIN DATOS</x:v>
      </x:c>
      <x:c r="K9" s="22" t="str">
        <x:f>IF(D9&gt;0,"Ver evidencia individual de 14_TIEMPOS_CRUDOS","")</x:f>
      </x:c>
      <x:c r="L9" s="22" t="str">
        <x:f>IF(OR(A9="",B9=""),"SIN DATOS",IF(C9="","SIN DATOS",IF(OR(D9=0,H9="",I9="",E9="",F9=""),"INCOMPLETO",IF(F9&lt;E9,"REVISAR","VÁLIDO"))))</x:f>
        <x:v>SIN DATOS</x:v>
      </x:c>
      <x:c r="M9" s="22" t="str">
        <x:f>IF(L9&lt;&gt;"VÁLIDO","SIN DATOS",IF(OR('02_PARAMETROS'!$I$10&lt;&gt;"APROBADO",NOT(ISNUMBER('02_PARAMETROS'!$G$10)),'02_PARAMETROS'!$H$10=""),"PENDIENTE DE APROBACIÓN",IF(OR(AND('02_PARAMETROS'!$H$10="&gt;=",E9&gt;='02_PARAMETROS'!$G$10),AND('02_PARAMETROS'!$H$10="&lt;=",E9&lt;='02_PARAMETROS'!$G$10),AND('02_PARAMETROS'!$H$10="&gt;",E9&gt;'02_PARAMETROS'!$G$10),AND('02_PARAMETROS'!$H$10="&lt;",E9&lt;'02_PARAMETROS'!$G$10),AND('02_PARAMETROS'!$H$10="=",E9='02_PARAMETROS'!$G$10)),"CUMPLE","NO CUMPLE")))</x:f>
        <x:v>SIN DATOS</x:v>
      </x:c>
      <x:c r="N9" s="22" t="str">
        <x:f>IF(L9&lt;&gt;"VÁLIDO","SIN DATOS",IF(OR('02_PARAMETROS'!$I$11&lt;&gt;"APROBADO",NOT(ISNUMBER('02_PARAMETROS'!$G$11)),'02_PARAMETROS'!$H$11=""),"PENDIENTE DE APROBACIÓN",IF(OR(AND('02_PARAMETROS'!$H$11="&gt;=",F9&gt;='02_PARAMETROS'!$G$11),AND('02_PARAMETROS'!$H$11="&lt;=",F9&lt;='02_PARAMETROS'!$G$11),AND('02_PARAMETROS'!$H$11="&gt;",F9&gt;'02_PARAMETROS'!$G$11),AND('02_PARAMETROS'!$H$11="&lt;",F9&lt;'02_PARAMETROS'!$G$11),AND('02_PARAMETROS'!$H$11="=",F9='02_PARAMETROS'!$G$11)),"CUMPLE","NO CUMPLE")))</x:f>
        <x:v>SIN DATOS</x:v>
      </x:c>
    </x:row>
    <x:row r="10" ht="22" customHeight="1">
      <x:c r="A10" s="20"/>
      <x:c r="B10" s="20"/>
      <x:c r="C10" s="22" t="str">
        <x:f>IF(OR(A10="",B10=""),"",IF(COUNTIFS('14_TIEMPOS_CRUDOS'!$B$5:$B$304,$A10,'14_TIEMPOS_CRUDOS'!$C$5:$C$304,$B10)=0,"",COUNTIFS('14_TIEMPOS_CRUDOS'!$B$5:$B$304,$A10,'14_TIEMPOS_CRUDOS'!$C$5:$C$304,$B10)))</x:f>
      </x:c>
      <x:c r="D10" s="22" t="str">
        <x:f>IF(C10="","",COUNTIFS('14_TIEMPOS_CRUDOS'!$B$5:$B$304,$A10,'14_TIEMPOS_CRUDOS'!$C$5:$C$304,$B10,'14_TIEMPOS_CRUDOS'!$H$5:$H$304,"VÁLIDO"))</x:f>
      </x:c>
      <x:c r="E10" s="30" t="str">
        <x:f>IF(OR(D10="",D10=0),"",IFERROR(_xlfn.PERCENTILE.INC(_xlfn._xlws.FILTER('14_TIEMPOS_CRUDOS'!$D$5:$D$304,('14_TIEMPOS_CRUDOS'!$B$5:$B$304=$A10)*('14_TIEMPOS_CRUDOS'!$C$5:$C$304=$B10)*('14_TIEMPOS_CRUDOS'!$H$5:$H$304="VÁLIDO")),0.95),""))</x:f>
      </x:c>
      <x:c r="F10" s="30" t="str">
        <x:f>IF(OR(D10="",D10=0),"",IFERROR(_xlfn.PERCENTILE.INC(_xlfn._xlws.FILTER('14_TIEMPOS_CRUDOS'!$D$5:$D$304,('14_TIEMPOS_CRUDOS'!$B$5:$B$304=$A10)*('14_TIEMPOS_CRUDOS'!$C$5:$C$304=$B10)*('14_TIEMPOS_CRUDOS'!$H$5:$H$304="VÁLIDO")),0.99),""))</x:f>
      </x:c>
      <x:c r="G10" s="22" t="str">
        <x:f>IF(D10="","","ms")</x:f>
      </x:c>
      <x:c r="H10" s="20"/>
      <x:c r="I10" s="20"/>
      <x:c r="J10" s="22" t="str">
        <x:f>IF(OR(D10="",D10=0),"SIN DATOS","REVISAR SUFICIENCIA / PRECISIÓN DEL n; NO HAY MÍNIMO APROBADO")</x:f>
        <x:v>SIN DATOS</x:v>
      </x:c>
      <x:c r="K10" s="22" t="str">
        <x:f>IF(D10&gt;0,"Ver evidencia individual de 14_TIEMPOS_CRUDOS","")</x:f>
      </x:c>
      <x:c r="L10" s="22" t="str">
        <x:f>IF(OR(A10="",B10=""),"SIN DATOS",IF(C10="","SIN DATOS",IF(OR(D10=0,H10="",I10="",E10="",F10=""),"INCOMPLETO",IF(F10&lt;E10,"REVISAR","VÁLIDO"))))</x:f>
        <x:v>SIN DATOS</x:v>
      </x:c>
      <x:c r="M10" s="22" t="str">
        <x:f>IF(L10&lt;&gt;"VÁLIDO","SIN DATOS",IF(OR('02_PARAMETROS'!$I$10&lt;&gt;"APROBADO",NOT(ISNUMBER('02_PARAMETROS'!$G$10)),'02_PARAMETROS'!$H$10=""),"PENDIENTE DE APROBACIÓN",IF(OR(AND('02_PARAMETROS'!$H$10="&gt;=",E10&gt;='02_PARAMETROS'!$G$10),AND('02_PARAMETROS'!$H$10="&lt;=",E10&lt;='02_PARAMETROS'!$G$10),AND('02_PARAMETROS'!$H$10="&gt;",E10&gt;'02_PARAMETROS'!$G$10),AND('02_PARAMETROS'!$H$10="&lt;",E10&lt;'02_PARAMETROS'!$G$10),AND('02_PARAMETROS'!$H$10="=",E10='02_PARAMETROS'!$G$10)),"CUMPLE","NO CUMPLE")))</x:f>
        <x:v>SIN DATOS</x:v>
      </x:c>
      <x:c r="N10" s="22" t="str">
        <x:f>IF(L10&lt;&gt;"VÁLIDO","SIN DATOS",IF(OR('02_PARAMETROS'!$I$11&lt;&gt;"APROBADO",NOT(ISNUMBER('02_PARAMETROS'!$G$11)),'02_PARAMETROS'!$H$11=""),"PENDIENTE DE APROBACIÓN",IF(OR(AND('02_PARAMETROS'!$H$11="&gt;=",F10&gt;='02_PARAMETROS'!$G$11),AND('02_PARAMETROS'!$H$11="&lt;=",F10&lt;='02_PARAMETROS'!$G$11),AND('02_PARAMETROS'!$H$11="&gt;",F10&gt;'02_PARAMETROS'!$G$11),AND('02_PARAMETROS'!$H$11="&lt;",F10&lt;'02_PARAMETROS'!$G$11),AND('02_PARAMETROS'!$H$11="=",F10='02_PARAMETROS'!$G$11)),"CUMPLE","NO CUMPLE")))</x:f>
        <x:v>SIN DATOS</x:v>
      </x:c>
    </x:row>
    <x:row r="11" ht="22" customHeight="1">
      <x:c r="A11" s="20"/>
      <x:c r="B11" s="20"/>
      <x:c r="C11" s="22" t="str">
        <x:f>IF(OR(A11="",B11=""),"",IF(COUNTIFS('14_TIEMPOS_CRUDOS'!$B$5:$B$304,$A11,'14_TIEMPOS_CRUDOS'!$C$5:$C$304,$B11)=0,"",COUNTIFS('14_TIEMPOS_CRUDOS'!$B$5:$B$304,$A11,'14_TIEMPOS_CRUDOS'!$C$5:$C$304,$B11)))</x:f>
      </x:c>
      <x:c r="D11" s="22" t="str">
        <x:f>IF(C11="","",COUNTIFS('14_TIEMPOS_CRUDOS'!$B$5:$B$304,$A11,'14_TIEMPOS_CRUDOS'!$C$5:$C$304,$B11,'14_TIEMPOS_CRUDOS'!$H$5:$H$304,"VÁLIDO"))</x:f>
      </x:c>
      <x:c r="E11" s="30" t="str">
        <x:f>IF(OR(D11="",D11=0),"",IFERROR(_xlfn.PERCENTILE.INC(_xlfn._xlws.FILTER('14_TIEMPOS_CRUDOS'!$D$5:$D$304,('14_TIEMPOS_CRUDOS'!$B$5:$B$304=$A11)*('14_TIEMPOS_CRUDOS'!$C$5:$C$304=$B11)*('14_TIEMPOS_CRUDOS'!$H$5:$H$304="VÁLIDO")),0.95),""))</x:f>
      </x:c>
      <x:c r="F11" s="30" t="str">
        <x:f>IF(OR(D11="",D11=0),"",IFERROR(_xlfn.PERCENTILE.INC(_xlfn._xlws.FILTER('14_TIEMPOS_CRUDOS'!$D$5:$D$304,('14_TIEMPOS_CRUDOS'!$B$5:$B$304=$A11)*('14_TIEMPOS_CRUDOS'!$C$5:$C$304=$B11)*('14_TIEMPOS_CRUDOS'!$H$5:$H$304="VÁLIDO")),0.99),""))</x:f>
      </x:c>
      <x:c r="G11" s="22" t="str">
        <x:f>IF(D11="","","ms")</x:f>
      </x:c>
      <x:c r="H11" s="20"/>
      <x:c r="I11" s="20"/>
      <x:c r="J11" s="22" t="str">
        <x:f>IF(OR(D11="",D11=0),"SIN DATOS","REVISAR SUFICIENCIA / PRECISIÓN DEL n; NO HAY MÍNIMO APROBADO")</x:f>
        <x:v>SIN DATOS</x:v>
      </x:c>
      <x:c r="K11" s="22" t="str">
        <x:f>IF(D11&gt;0,"Ver evidencia individual de 14_TIEMPOS_CRUDOS","")</x:f>
      </x:c>
      <x:c r="L11" s="22" t="str">
        <x:f>IF(OR(A11="",B11=""),"SIN DATOS",IF(C11="","SIN DATOS",IF(OR(D11=0,H11="",I11="",E11="",F11=""),"INCOMPLETO",IF(F11&lt;E11,"REVISAR","VÁLIDO"))))</x:f>
        <x:v>SIN DATOS</x:v>
      </x:c>
      <x:c r="M11" s="22" t="str">
        <x:f>IF(L11&lt;&gt;"VÁLIDO","SIN DATOS",IF(OR('02_PARAMETROS'!$I$10&lt;&gt;"APROBADO",NOT(ISNUMBER('02_PARAMETROS'!$G$10)),'02_PARAMETROS'!$H$10=""),"PENDIENTE DE APROBACIÓN",IF(OR(AND('02_PARAMETROS'!$H$10="&gt;=",E11&gt;='02_PARAMETROS'!$G$10),AND('02_PARAMETROS'!$H$10="&lt;=",E11&lt;='02_PARAMETROS'!$G$10),AND('02_PARAMETROS'!$H$10="&gt;",E11&gt;'02_PARAMETROS'!$G$10),AND('02_PARAMETROS'!$H$10="&lt;",E11&lt;'02_PARAMETROS'!$G$10),AND('02_PARAMETROS'!$H$10="=",E11='02_PARAMETROS'!$G$10)),"CUMPLE","NO CUMPLE")))</x:f>
        <x:v>SIN DATOS</x:v>
      </x:c>
      <x:c r="N11" s="22" t="str">
        <x:f>IF(L11&lt;&gt;"VÁLIDO","SIN DATOS",IF(OR('02_PARAMETROS'!$I$11&lt;&gt;"APROBADO",NOT(ISNUMBER('02_PARAMETROS'!$G$11)),'02_PARAMETROS'!$H$11=""),"PENDIENTE DE APROBACIÓN",IF(OR(AND('02_PARAMETROS'!$H$11="&gt;=",F11&gt;='02_PARAMETROS'!$G$11),AND('02_PARAMETROS'!$H$11="&lt;=",F11&lt;='02_PARAMETROS'!$G$11),AND('02_PARAMETROS'!$H$11="&gt;",F11&gt;'02_PARAMETROS'!$G$11),AND('02_PARAMETROS'!$H$11="&lt;",F11&lt;'02_PARAMETROS'!$G$11),AND('02_PARAMETROS'!$H$11="=",F11='02_PARAMETROS'!$G$11)),"CUMPLE","NO CUMPLE")))</x:f>
        <x:v>SIN DATOS</x:v>
      </x:c>
    </x:row>
    <x:row r="12" ht="22" customHeight="1">
      <x:c r="A12" s="20"/>
      <x:c r="B12" s="20"/>
      <x:c r="C12" s="22" t="str">
        <x:f>IF(OR(A12="",B12=""),"",IF(COUNTIFS('14_TIEMPOS_CRUDOS'!$B$5:$B$304,$A12,'14_TIEMPOS_CRUDOS'!$C$5:$C$304,$B12)=0,"",COUNTIFS('14_TIEMPOS_CRUDOS'!$B$5:$B$304,$A12,'14_TIEMPOS_CRUDOS'!$C$5:$C$304,$B12)))</x:f>
      </x:c>
      <x:c r="D12" s="22" t="str">
        <x:f>IF(C12="","",COUNTIFS('14_TIEMPOS_CRUDOS'!$B$5:$B$304,$A12,'14_TIEMPOS_CRUDOS'!$C$5:$C$304,$B12,'14_TIEMPOS_CRUDOS'!$H$5:$H$304,"VÁLIDO"))</x:f>
      </x:c>
      <x:c r="E12" s="30" t="str">
        <x:f>IF(OR(D12="",D12=0),"",IFERROR(_xlfn.PERCENTILE.INC(_xlfn._xlws.FILTER('14_TIEMPOS_CRUDOS'!$D$5:$D$304,('14_TIEMPOS_CRUDOS'!$B$5:$B$304=$A12)*('14_TIEMPOS_CRUDOS'!$C$5:$C$304=$B12)*('14_TIEMPOS_CRUDOS'!$H$5:$H$304="VÁLIDO")),0.95),""))</x:f>
      </x:c>
      <x:c r="F12" s="30" t="str">
        <x:f>IF(OR(D12="",D12=0),"",IFERROR(_xlfn.PERCENTILE.INC(_xlfn._xlws.FILTER('14_TIEMPOS_CRUDOS'!$D$5:$D$304,('14_TIEMPOS_CRUDOS'!$B$5:$B$304=$A12)*('14_TIEMPOS_CRUDOS'!$C$5:$C$304=$B12)*('14_TIEMPOS_CRUDOS'!$H$5:$H$304="VÁLIDO")),0.99),""))</x:f>
      </x:c>
      <x:c r="G12" s="22" t="str">
        <x:f>IF(D12="","","ms")</x:f>
      </x:c>
      <x:c r="H12" s="20"/>
      <x:c r="I12" s="20"/>
      <x:c r="J12" s="22" t="str">
        <x:f>IF(OR(D12="",D12=0),"SIN DATOS","REVISAR SUFICIENCIA / PRECISIÓN DEL n; NO HAY MÍNIMO APROBADO")</x:f>
        <x:v>SIN DATOS</x:v>
      </x:c>
      <x:c r="K12" s="22" t="str">
        <x:f>IF(D12&gt;0,"Ver evidencia individual de 14_TIEMPOS_CRUDOS","")</x:f>
      </x:c>
      <x:c r="L12" s="22" t="str">
        <x:f>IF(OR(A12="",B12=""),"SIN DATOS",IF(C12="","SIN DATOS",IF(OR(D12=0,H12="",I12="",E12="",F12=""),"INCOMPLETO",IF(F12&lt;E12,"REVISAR","VÁLIDO"))))</x:f>
        <x:v>SIN DATOS</x:v>
      </x:c>
      <x:c r="M12" s="22" t="str">
        <x:f>IF(L12&lt;&gt;"VÁLIDO","SIN DATOS",IF(OR('02_PARAMETROS'!$I$10&lt;&gt;"APROBADO",NOT(ISNUMBER('02_PARAMETROS'!$G$10)),'02_PARAMETROS'!$H$10=""),"PENDIENTE DE APROBACIÓN",IF(OR(AND('02_PARAMETROS'!$H$10="&gt;=",E12&gt;='02_PARAMETROS'!$G$10),AND('02_PARAMETROS'!$H$10="&lt;=",E12&lt;='02_PARAMETROS'!$G$10),AND('02_PARAMETROS'!$H$10="&gt;",E12&gt;'02_PARAMETROS'!$G$10),AND('02_PARAMETROS'!$H$10="&lt;",E12&lt;'02_PARAMETROS'!$G$10),AND('02_PARAMETROS'!$H$10="=",E12='02_PARAMETROS'!$G$10)),"CUMPLE","NO CUMPLE")))</x:f>
        <x:v>SIN DATOS</x:v>
      </x:c>
      <x:c r="N12" s="22" t="str">
        <x:f>IF(L12&lt;&gt;"VÁLIDO","SIN DATOS",IF(OR('02_PARAMETROS'!$I$11&lt;&gt;"APROBADO",NOT(ISNUMBER('02_PARAMETROS'!$G$11)),'02_PARAMETROS'!$H$11=""),"PENDIENTE DE APROBACIÓN",IF(OR(AND('02_PARAMETROS'!$H$11="&gt;=",F12&gt;='02_PARAMETROS'!$G$11),AND('02_PARAMETROS'!$H$11="&lt;=",F12&lt;='02_PARAMETROS'!$G$11),AND('02_PARAMETROS'!$H$11="&gt;",F12&gt;'02_PARAMETROS'!$G$11),AND('02_PARAMETROS'!$H$11="&lt;",F12&lt;'02_PARAMETROS'!$G$11),AND('02_PARAMETROS'!$H$11="=",F12='02_PARAMETROS'!$G$11)),"CUMPLE","NO CUMPLE")))</x:f>
        <x:v>SIN DATOS</x:v>
      </x:c>
    </x:row>
    <x:row r="13" ht="22" customHeight="1">
      <x:c r="A13" s="20"/>
      <x:c r="B13" s="20"/>
      <x:c r="C13" s="22" t="str">
        <x:f>IF(OR(A13="",B13=""),"",IF(COUNTIFS('14_TIEMPOS_CRUDOS'!$B$5:$B$304,$A13,'14_TIEMPOS_CRUDOS'!$C$5:$C$304,$B13)=0,"",COUNTIFS('14_TIEMPOS_CRUDOS'!$B$5:$B$304,$A13,'14_TIEMPOS_CRUDOS'!$C$5:$C$304,$B13)))</x:f>
      </x:c>
      <x:c r="D13" s="22" t="str">
        <x:f>IF(C13="","",COUNTIFS('14_TIEMPOS_CRUDOS'!$B$5:$B$304,$A13,'14_TIEMPOS_CRUDOS'!$C$5:$C$304,$B13,'14_TIEMPOS_CRUDOS'!$H$5:$H$304,"VÁLIDO"))</x:f>
      </x:c>
      <x:c r="E13" s="30" t="str">
        <x:f>IF(OR(D13="",D13=0),"",IFERROR(_xlfn.PERCENTILE.INC(_xlfn._xlws.FILTER('14_TIEMPOS_CRUDOS'!$D$5:$D$304,('14_TIEMPOS_CRUDOS'!$B$5:$B$304=$A13)*('14_TIEMPOS_CRUDOS'!$C$5:$C$304=$B13)*('14_TIEMPOS_CRUDOS'!$H$5:$H$304="VÁLIDO")),0.95),""))</x:f>
      </x:c>
      <x:c r="F13" s="30" t="str">
        <x:f>IF(OR(D13="",D13=0),"",IFERROR(_xlfn.PERCENTILE.INC(_xlfn._xlws.FILTER('14_TIEMPOS_CRUDOS'!$D$5:$D$304,('14_TIEMPOS_CRUDOS'!$B$5:$B$304=$A13)*('14_TIEMPOS_CRUDOS'!$C$5:$C$304=$B13)*('14_TIEMPOS_CRUDOS'!$H$5:$H$304="VÁLIDO")),0.99),""))</x:f>
      </x:c>
      <x:c r="G13" s="22" t="str">
        <x:f>IF(D13="","","ms")</x:f>
      </x:c>
      <x:c r="H13" s="20"/>
      <x:c r="I13" s="20"/>
      <x:c r="J13" s="22" t="str">
        <x:f>IF(OR(D13="",D13=0),"SIN DATOS","REVISAR SUFICIENCIA / PRECISIÓN DEL n; NO HAY MÍNIMO APROBADO")</x:f>
        <x:v>SIN DATOS</x:v>
      </x:c>
      <x:c r="K13" s="22" t="str">
        <x:f>IF(D13&gt;0,"Ver evidencia individual de 14_TIEMPOS_CRUDOS","")</x:f>
      </x:c>
      <x:c r="L13" s="22" t="str">
        <x:f>IF(OR(A13="",B13=""),"SIN DATOS",IF(C13="","SIN DATOS",IF(OR(D13=0,H13="",I13="",E13="",F13=""),"INCOMPLETO",IF(F13&lt;E13,"REVISAR","VÁLIDO"))))</x:f>
        <x:v>SIN DATOS</x:v>
      </x:c>
      <x:c r="M13" s="22" t="str">
        <x:f>IF(L13&lt;&gt;"VÁLIDO","SIN DATOS",IF(OR('02_PARAMETROS'!$I$10&lt;&gt;"APROBADO",NOT(ISNUMBER('02_PARAMETROS'!$G$10)),'02_PARAMETROS'!$H$10=""),"PENDIENTE DE APROBACIÓN",IF(OR(AND('02_PARAMETROS'!$H$10="&gt;=",E13&gt;='02_PARAMETROS'!$G$10),AND('02_PARAMETROS'!$H$10="&lt;=",E13&lt;='02_PARAMETROS'!$G$10),AND('02_PARAMETROS'!$H$10="&gt;",E13&gt;'02_PARAMETROS'!$G$10),AND('02_PARAMETROS'!$H$10="&lt;",E13&lt;'02_PARAMETROS'!$G$10),AND('02_PARAMETROS'!$H$10="=",E13='02_PARAMETROS'!$G$10)),"CUMPLE","NO CUMPLE")))</x:f>
        <x:v>SIN DATOS</x:v>
      </x:c>
      <x:c r="N13" s="22" t="str">
        <x:f>IF(L13&lt;&gt;"VÁLIDO","SIN DATOS",IF(OR('02_PARAMETROS'!$I$11&lt;&gt;"APROBADO",NOT(ISNUMBER('02_PARAMETROS'!$G$11)),'02_PARAMETROS'!$H$11=""),"PENDIENTE DE APROBACIÓN",IF(OR(AND('02_PARAMETROS'!$H$11="&gt;=",F13&gt;='02_PARAMETROS'!$G$11),AND('02_PARAMETROS'!$H$11="&lt;=",F13&lt;='02_PARAMETROS'!$G$11),AND('02_PARAMETROS'!$H$11="&gt;",F13&gt;'02_PARAMETROS'!$G$11),AND('02_PARAMETROS'!$H$11="&lt;",F13&lt;'02_PARAMETROS'!$G$11),AND('02_PARAMETROS'!$H$11="=",F13='02_PARAMETROS'!$G$11)),"CUMPLE","NO CUMPLE")))</x:f>
        <x:v>SIN DATOS</x:v>
      </x:c>
    </x:row>
    <x:row r="14" ht="22" customHeight="1">
      <x:c r="A14" s="20"/>
      <x:c r="B14" s="20"/>
      <x:c r="C14" s="22" t="str">
        <x:f>IF(OR(A14="",B14=""),"",IF(COUNTIFS('14_TIEMPOS_CRUDOS'!$B$5:$B$304,$A14,'14_TIEMPOS_CRUDOS'!$C$5:$C$304,$B14)=0,"",COUNTIFS('14_TIEMPOS_CRUDOS'!$B$5:$B$304,$A14,'14_TIEMPOS_CRUDOS'!$C$5:$C$304,$B14)))</x:f>
      </x:c>
      <x:c r="D14" s="22" t="str">
        <x:f>IF(C14="","",COUNTIFS('14_TIEMPOS_CRUDOS'!$B$5:$B$304,$A14,'14_TIEMPOS_CRUDOS'!$C$5:$C$304,$B14,'14_TIEMPOS_CRUDOS'!$H$5:$H$304,"VÁLIDO"))</x:f>
      </x:c>
      <x:c r="E14" s="30" t="str">
        <x:f>IF(OR(D14="",D14=0),"",IFERROR(_xlfn.PERCENTILE.INC(_xlfn._xlws.FILTER('14_TIEMPOS_CRUDOS'!$D$5:$D$304,('14_TIEMPOS_CRUDOS'!$B$5:$B$304=$A14)*('14_TIEMPOS_CRUDOS'!$C$5:$C$304=$B14)*('14_TIEMPOS_CRUDOS'!$H$5:$H$304="VÁLIDO")),0.95),""))</x:f>
      </x:c>
      <x:c r="F14" s="30" t="str">
        <x:f>IF(OR(D14="",D14=0),"",IFERROR(_xlfn.PERCENTILE.INC(_xlfn._xlws.FILTER('14_TIEMPOS_CRUDOS'!$D$5:$D$304,('14_TIEMPOS_CRUDOS'!$B$5:$B$304=$A14)*('14_TIEMPOS_CRUDOS'!$C$5:$C$304=$B14)*('14_TIEMPOS_CRUDOS'!$H$5:$H$304="VÁLIDO")),0.99),""))</x:f>
      </x:c>
      <x:c r="G14" s="22" t="str">
        <x:f>IF(D14="","","ms")</x:f>
      </x:c>
      <x:c r="H14" s="20"/>
      <x:c r="I14" s="20"/>
      <x:c r="J14" s="22" t="str">
        <x:f>IF(OR(D14="",D14=0),"SIN DATOS","REVISAR SUFICIENCIA / PRECISIÓN DEL n; NO HAY MÍNIMO APROBADO")</x:f>
        <x:v>SIN DATOS</x:v>
      </x:c>
      <x:c r="K14" s="22" t="str">
        <x:f>IF(D14&gt;0,"Ver evidencia individual de 14_TIEMPOS_CRUDOS","")</x:f>
      </x:c>
      <x:c r="L14" s="22" t="str">
        <x:f>IF(OR(A14="",B14=""),"SIN DATOS",IF(C14="","SIN DATOS",IF(OR(D14=0,H14="",I14="",E14="",F14=""),"INCOMPLETO",IF(F14&lt;E14,"REVISAR","VÁLIDO"))))</x:f>
        <x:v>SIN DATOS</x:v>
      </x:c>
      <x:c r="M14" s="22" t="str">
        <x:f>IF(L14&lt;&gt;"VÁLIDO","SIN DATOS",IF(OR('02_PARAMETROS'!$I$10&lt;&gt;"APROBADO",NOT(ISNUMBER('02_PARAMETROS'!$G$10)),'02_PARAMETROS'!$H$10=""),"PENDIENTE DE APROBACIÓN",IF(OR(AND('02_PARAMETROS'!$H$10="&gt;=",E14&gt;='02_PARAMETROS'!$G$10),AND('02_PARAMETROS'!$H$10="&lt;=",E14&lt;='02_PARAMETROS'!$G$10),AND('02_PARAMETROS'!$H$10="&gt;",E14&gt;'02_PARAMETROS'!$G$10),AND('02_PARAMETROS'!$H$10="&lt;",E14&lt;'02_PARAMETROS'!$G$10),AND('02_PARAMETROS'!$H$10="=",E14='02_PARAMETROS'!$G$10)),"CUMPLE","NO CUMPLE")))</x:f>
        <x:v>SIN DATOS</x:v>
      </x:c>
      <x:c r="N14" s="22" t="str">
        <x:f>IF(L14&lt;&gt;"VÁLIDO","SIN DATOS",IF(OR('02_PARAMETROS'!$I$11&lt;&gt;"APROBADO",NOT(ISNUMBER('02_PARAMETROS'!$G$11)),'02_PARAMETROS'!$H$11=""),"PENDIENTE DE APROBACIÓN",IF(OR(AND('02_PARAMETROS'!$H$11="&gt;=",F14&gt;='02_PARAMETROS'!$G$11),AND('02_PARAMETROS'!$H$11="&lt;=",F14&lt;='02_PARAMETROS'!$G$11),AND('02_PARAMETROS'!$H$11="&gt;",F14&gt;'02_PARAMETROS'!$G$11),AND('02_PARAMETROS'!$H$11="&lt;",F14&lt;'02_PARAMETROS'!$G$11),AND('02_PARAMETROS'!$H$11="=",F14='02_PARAMETROS'!$G$11)),"CUMPLE","NO CUMPLE")))</x:f>
        <x:v>SIN DATOS</x:v>
      </x:c>
    </x:row>
    <x:row r="15" ht="22" customHeight="1">
      <x:c r="A15" s="20"/>
      <x:c r="B15" s="20"/>
      <x:c r="C15" s="22" t="str">
        <x:f>IF(OR(A15="",B15=""),"",IF(COUNTIFS('14_TIEMPOS_CRUDOS'!$B$5:$B$304,$A15,'14_TIEMPOS_CRUDOS'!$C$5:$C$304,$B15)=0,"",COUNTIFS('14_TIEMPOS_CRUDOS'!$B$5:$B$304,$A15,'14_TIEMPOS_CRUDOS'!$C$5:$C$304,$B15)))</x:f>
      </x:c>
      <x:c r="D15" s="22" t="str">
        <x:f>IF(C15="","",COUNTIFS('14_TIEMPOS_CRUDOS'!$B$5:$B$304,$A15,'14_TIEMPOS_CRUDOS'!$C$5:$C$304,$B15,'14_TIEMPOS_CRUDOS'!$H$5:$H$304,"VÁLIDO"))</x:f>
      </x:c>
      <x:c r="E15" s="30" t="str">
        <x:f>IF(OR(D15="",D15=0),"",IFERROR(_xlfn.PERCENTILE.INC(_xlfn._xlws.FILTER('14_TIEMPOS_CRUDOS'!$D$5:$D$304,('14_TIEMPOS_CRUDOS'!$B$5:$B$304=$A15)*('14_TIEMPOS_CRUDOS'!$C$5:$C$304=$B15)*('14_TIEMPOS_CRUDOS'!$H$5:$H$304="VÁLIDO")),0.95),""))</x:f>
      </x:c>
      <x:c r="F15" s="30" t="str">
        <x:f>IF(OR(D15="",D15=0),"",IFERROR(_xlfn.PERCENTILE.INC(_xlfn._xlws.FILTER('14_TIEMPOS_CRUDOS'!$D$5:$D$304,('14_TIEMPOS_CRUDOS'!$B$5:$B$304=$A15)*('14_TIEMPOS_CRUDOS'!$C$5:$C$304=$B15)*('14_TIEMPOS_CRUDOS'!$H$5:$H$304="VÁLIDO")),0.99),""))</x:f>
      </x:c>
      <x:c r="G15" s="22" t="str">
        <x:f>IF(D15="","","ms")</x:f>
      </x:c>
      <x:c r="H15" s="20"/>
      <x:c r="I15" s="20"/>
      <x:c r="J15" s="22" t="str">
        <x:f>IF(OR(D15="",D15=0),"SIN DATOS","REVISAR SUFICIENCIA / PRECISIÓN DEL n; NO HAY MÍNIMO APROBADO")</x:f>
        <x:v>SIN DATOS</x:v>
      </x:c>
      <x:c r="K15" s="22" t="str">
        <x:f>IF(D15&gt;0,"Ver evidencia individual de 14_TIEMPOS_CRUDOS","")</x:f>
      </x:c>
      <x:c r="L15" s="22" t="str">
        <x:f>IF(OR(A15="",B15=""),"SIN DATOS",IF(C15="","SIN DATOS",IF(OR(D15=0,H15="",I15="",E15="",F15=""),"INCOMPLETO",IF(F15&lt;E15,"REVISAR","VÁLIDO"))))</x:f>
        <x:v>SIN DATOS</x:v>
      </x:c>
      <x:c r="M15" s="22" t="str">
        <x:f>IF(L15&lt;&gt;"VÁLIDO","SIN DATOS",IF(OR('02_PARAMETROS'!$I$10&lt;&gt;"APROBADO",NOT(ISNUMBER('02_PARAMETROS'!$G$10)),'02_PARAMETROS'!$H$10=""),"PENDIENTE DE APROBACIÓN",IF(OR(AND('02_PARAMETROS'!$H$10="&gt;=",E15&gt;='02_PARAMETROS'!$G$10),AND('02_PARAMETROS'!$H$10="&lt;=",E15&lt;='02_PARAMETROS'!$G$10),AND('02_PARAMETROS'!$H$10="&gt;",E15&gt;'02_PARAMETROS'!$G$10),AND('02_PARAMETROS'!$H$10="&lt;",E15&lt;'02_PARAMETROS'!$G$10),AND('02_PARAMETROS'!$H$10="=",E15='02_PARAMETROS'!$G$10)),"CUMPLE","NO CUMPLE")))</x:f>
        <x:v>SIN DATOS</x:v>
      </x:c>
      <x:c r="N15" s="22" t="str">
        <x:f>IF(L15&lt;&gt;"VÁLIDO","SIN DATOS",IF(OR('02_PARAMETROS'!$I$11&lt;&gt;"APROBADO",NOT(ISNUMBER('02_PARAMETROS'!$G$11)),'02_PARAMETROS'!$H$11=""),"PENDIENTE DE APROBACIÓN",IF(OR(AND('02_PARAMETROS'!$H$11="&gt;=",F15&gt;='02_PARAMETROS'!$G$11),AND('02_PARAMETROS'!$H$11="&lt;=",F15&lt;='02_PARAMETROS'!$G$11),AND('02_PARAMETROS'!$H$11="&gt;",F15&gt;'02_PARAMETROS'!$G$11),AND('02_PARAMETROS'!$H$11="&lt;",F15&lt;'02_PARAMETROS'!$G$11),AND('02_PARAMETROS'!$H$11="=",F15='02_PARAMETROS'!$G$11)),"CUMPLE","NO CUMPLE")))</x:f>
        <x:v>SIN DATOS</x:v>
      </x:c>
    </x:row>
    <x:row r="16" ht="22" customHeight="1">
      <x:c r="A16" s="20"/>
      <x:c r="B16" s="20"/>
      <x:c r="C16" s="22" t="str">
        <x:f>IF(OR(A16="",B16=""),"",IF(COUNTIFS('14_TIEMPOS_CRUDOS'!$B$5:$B$304,$A16,'14_TIEMPOS_CRUDOS'!$C$5:$C$304,$B16)=0,"",COUNTIFS('14_TIEMPOS_CRUDOS'!$B$5:$B$304,$A16,'14_TIEMPOS_CRUDOS'!$C$5:$C$304,$B16)))</x:f>
      </x:c>
      <x:c r="D16" s="22" t="str">
        <x:f>IF(C16="","",COUNTIFS('14_TIEMPOS_CRUDOS'!$B$5:$B$304,$A16,'14_TIEMPOS_CRUDOS'!$C$5:$C$304,$B16,'14_TIEMPOS_CRUDOS'!$H$5:$H$304,"VÁLIDO"))</x:f>
      </x:c>
      <x:c r="E16" s="30" t="str">
        <x:f>IF(OR(D16="",D16=0),"",IFERROR(_xlfn.PERCENTILE.INC(_xlfn._xlws.FILTER('14_TIEMPOS_CRUDOS'!$D$5:$D$304,('14_TIEMPOS_CRUDOS'!$B$5:$B$304=$A16)*('14_TIEMPOS_CRUDOS'!$C$5:$C$304=$B16)*('14_TIEMPOS_CRUDOS'!$H$5:$H$304="VÁLIDO")),0.95),""))</x:f>
      </x:c>
      <x:c r="F16" s="30" t="str">
        <x:f>IF(OR(D16="",D16=0),"",IFERROR(_xlfn.PERCENTILE.INC(_xlfn._xlws.FILTER('14_TIEMPOS_CRUDOS'!$D$5:$D$304,('14_TIEMPOS_CRUDOS'!$B$5:$B$304=$A16)*('14_TIEMPOS_CRUDOS'!$C$5:$C$304=$B16)*('14_TIEMPOS_CRUDOS'!$H$5:$H$304="VÁLIDO")),0.99),""))</x:f>
      </x:c>
      <x:c r="G16" s="22" t="str">
        <x:f>IF(D16="","","ms")</x:f>
      </x:c>
      <x:c r="H16" s="20"/>
      <x:c r="I16" s="20"/>
      <x:c r="J16" s="22" t="str">
        <x:f>IF(OR(D16="",D16=0),"SIN DATOS","REVISAR SUFICIENCIA / PRECISIÓN DEL n; NO HAY MÍNIMO APROBADO")</x:f>
        <x:v>SIN DATOS</x:v>
      </x:c>
      <x:c r="K16" s="22" t="str">
        <x:f>IF(D16&gt;0,"Ver evidencia individual de 14_TIEMPOS_CRUDOS","")</x:f>
      </x:c>
      <x:c r="L16" s="22" t="str">
        <x:f>IF(OR(A16="",B16=""),"SIN DATOS",IF(C16="","SIN DATOS",IF(OR(D16=0,H16="",I16="",E16="",F16=""),"INCOMPLETO",IF(F16&lt;E16,"REVISAR","VÁLIDO"))))</x:f>
        <x:v>SIN DATOS</x:v>
      </x:c>
      <x:c r="M16" s="22" t="str">
        <x:f>IF(L16&lt;&gt;"VÁLIDO","SIN DATOS",IF(OR('02_PARAMETROS'!$I$10&lt;&gt;"APROBADO",NOT(ISNUMBER('02_PARAMETROS'!$G$10)),'02_PARAMETROS'!$H$10=""),"PENDIENTE DE APROBACIÓN",IF(OR(AND('02_PARAMETROS'!$H$10="&gt;=",E16&gt;='02_PARAMETROS'!$G$10),AND('02_PARAMETROS'!$H$10="&lt;=",E16&lt;='02_PARAMETROS'!$G$10),AND('02_PARAMETROS'!$H$10="&gt;",E16&gt;'02_PARAMETROS'!$G$10),AND('02_PARAMETROS'!$H$10="&lt;",E16&lt;'02_PARAMETROS'!$G$10),AND('02_PARAMETROS'!$H$10="=",E16='02_PARAMETROS'!$G$10)),"CUMPLE","NO CUMPLE")))</x:f>
        <x:v>SIN DATOS</x:v>
      </x:c>
      <x:c r="N16" s="22" t="str">
        <x:f>IF(L16&lt;&gt;"VÁLIDO","SIN DATOS",IF(OR('02_PARAMETROS'!$I$11&lt;&gt;"APROBADO",NOT(ISNUMBER('02_PARAMETROS'!$G$11)),'02_PARAMETROS'!$H$11=""),"PENDIENTE DE APROBACIÓN",IF(OR(AND('02_PARAMETROS'!$H$11="&gt;=",F16&gt;='02_PARAMETROS'!$G$11),AND('02_PARAMETROS'!$H$11="&lt;=",F16&lt;='02_PARAMETROS'!$G$11),AND('02_PARAMETROS'!$H$11="&gt;",F16&gt;'02_PARAMETROS'!$G$11),AND('02_PARAMETROS'!$H$11="&lt;",F16&lt;'02_PARAMETROS'!$G$11),AND('02_PARAMETROS'!$H$11="=",F16='02_PARAMETROS'!$G$11)),"CUMPLE","NO CUMPLE")))</x:f>
        <x:v>SIN DATOS</x:v>
      </x:c>
    </x:row>
    <x:row r="17" ht="22" customHeight="1">
      <x:c r="A17" s="20"/>
      <x:c r="B17" s="20"/>
      <x:c r="C17" s="22" t="str">
        <x:f>IF(OR(A17="",B17=""),"",IF(COUNTIFS('14_TIEMPOS_CRUDOS'!$B$5:$B$304,$A17,'14_TIEMPOS_CRUDOS'!$C$5:$C$304,$B17)=0,"",COUNTIFS('14_TIEMPOS_CRUDOS'!$B$5:$B$304,$A17,'14_TIEMPOS_CRUDOS'!$C$5:$C$304,$B17)))</x:f>
      </x:c>
      <x:c r="D17" s="22" t="str">
        <x:f>IF(C17="","",COUNTIFS('14_TIEMPOS_CRUDOS'!$B$5:$B$304,$A17,'14_TIEMPOS_CRUDOS'!$C$5:$C$304,$B17,'14_TIEMPOS_CRUDOS'!$H$5:$H$304,"VÁLIDO"))</x:f>
      </x:c>
      <x:c r="E17" s="30" t="str">
        <x:f>IF(OR(D17="",D17=0),"",IFERROR(_xlfn.PERCENTILE.INC(_xlfn._xlws.FILTER('14_TIEMPOS_CRUDOS'!$D$5:$D$304,('14_TIEMPOS_CRUDOS'!$B$5:$B$304=$A17)*('14_TIEMPOS_CRUDOS'!$C$5:$C$304=$B17)*('14_TIEMPOS_CRUDOS'!$H$5:$H$304="VÁLIDO")),0.95),""))</x:f>
      </x:c>
      <x:c r="F17" s="30" t="str">
        <x:f>IF(OR(D17="",D17=0),"",IFERROR(_xlfn.PERCENTILE.INC(_xlfn._xlws.FILTER('14_TIEMPOS_CRUDOS'!$D$5:$D$304,('14_TIEMPOS_CRUDOS'!$B$5:$B$304=$A17)*('14_TIEMPOS_CRUDOS'!$C$5:$C$304=$B17)*('14_TIEMPOS_CRUDOS'!$H$5:$H$304="VÁLIDO")),0.99),""))</x:f>
      </x:c>
      <x:c r="G17" s="22" t="str">
        <x:f>IF(D17="","","ms")</x:f>
      </x:c>
      <x:c r="H17" s="20"/>
      <x:c r="I17" s="20"/>
      <x:c r="J17" s="22" t="str">
        <x:f>IF(OR(D17="",D17=0),"SIN DATOS","REVISAR SUFICIENCIA / PRECISIÓN DEL n; NO HAY MÍNIMO APROBADO")</x:f>
        <x:v>SIN DATOS</x:v>
      </x:c>
      <x:c r="K17" s="22" t="str">
        <x:f>IF(D17&gt;0,"Ver evidencia individual de 14_TIEMPOS_CRUDOS","")</x:f>
      </x:c>
      <x:c r="L17" s="22" t="str">
        <x:f>IF(OR(A17="",B17=""),"SIN DATOS",IF(C17="","SIN DATOS",IF(OR(D17=0,H17="",I17="",E17="",F17=""),"INCOMPLETO",IF(F17&lt;E17,"REVISAR","VÁLIDO"))))</x:f>
        <x:v>SIN DATOS</x:v>
      </x:c>
      <x:c r="M17" s="22" t="str">
        <x:f>IF(L17&lt;&gt;"VÁLIDO","SIN DATOS",IF(OR('02_PARAMETROS'!$I$10&lt;&gt;"APROBADO",NOT(ISNUMBER('02_PARAMETROS'!$G$10)),'02_PARAMETROS'!$H$10=""),"PENDIENTE DE APROBACIÓN",IF(OR(AND('02_PARAMETROS'!$H$10="&gt;=",E17&gt;='02_PARAMETROS'!$G$10),AND('02_PARAMETROS'!$H$10="&lt;=",E17&lt;='02_PARAMETROS'!$G$10),AND('02_PARAMETROS'!$H$10="&gt;",E17&gt;'02_PARAMETROS'!$G$10),AND('02_PARAMETROS'!$H$10="&lt;",E17&lt;'02_PARAMETROS'!$G$10),AND('02_PARAMETROS'!$H$10="=",E17='02_PARAMETROS'!$G$10)),"CUMPLE","NO CUMPLE")))</x:f>
        <x:v>SIN DATOS</x:v>
      </x:c>
      <x:c r="N17" s="22" t="str">
        <x:f>IF(L17&lt;&gt;"VÁLIDO","SIN DATOS",IF(OR('02_PARAMETROS'!$I$11&lt;&gt;"APROBADO",NOT(ISNUMBER('02_PARAMETROS'!$G$11)),'02_PARAMETROS'!$H$11=""),"PENDIENTE DE APROBACIÓN",IF(OR(AND('02_PARAMETROS'!$H$11="&gt;=",F17&gt;='02_PARAMETROS'!$G$11),AND('02_PARAMETROS'!$H$11="&lt;=",F17&lt;='02_PARAMETROS'!$G$11),AND('02_PARAMETROS'!$H$11="&gt;",F17&gt;'02_PARAMETROS'!$G$11),AND('02_PARAMETROS'!$H$11="&lt;",F17&lt;'02_PARAMETROS'!$G$11),AND('02_PARAMETROS'!$H$11="=",F17='02_PARAMETROS'!$G$11)),"CUMPLE","NO CUMPLE")))</x:f>
        <x:v>SIN DATOS</x:v>
      </x:c>
    </x:row>
    <x:row r="18" ht="22" customHeight="1">
      <x:c r="A18" s="20"/>
      <x:c r="B18" s="20"/>
      <x:c r="C18" s="22" t="str">
        <x:f>IF(OR(A18="",B18=""),"",IF(COUNTIFS('14_TIEMPOS_CRUDOS'!$B$5:$B$304,$A18,'14_TIEMPOS_CRUDOS'!$C$5:$C$304,$B18)=0,"",COUNTIFS('14_TIEMPOS_CRUDOS'!$B$5:$B$304,$A18,'14_TIEMPOS_CRUDOS'!$C$5:$C$304,$B18)))</x:f>
      </x:c>
      <x:c r="D18" s="22" t="str">
        <x:f>IF(C18="","",COUNTIFS('14_TIEMPOS_CRUDOS'!$B$5:$B$304,$A18,'14_TIEMPOS_CRUDOS'!$C$5:$C$304,$B18,'14_TIEMPOS_CRUDOS'!$H$5:$H$304,"VÁLIDO"))</x:f>
      </x:c>
      <x:c r="E18" s="30" t="str">
        <x:f>IF(OR(D18="",D18=0),"",IFERROR(_xlfn.PERCENTILE.INC(_xlfn._xlws.FILTER('14_TIEMPOS_CRUDOS'!$D$5:$D$304,('14_TIEMPOS_CRUDOS'!$B$5:$B$304=$A18)*('14_TIEMPOS_CRUDOS'!$C$5:$C$304=$B18)*('14_TIEMPOS_CRUDOS'!$H$5:$H$304="VÁLIDO")),0.95),""))</x:f>
      </x:c>
      <x:c r="F18" s="30" t="str">
        <x:f>IF(OR(D18="",D18=0),"",IFERROR(_xlfn.PERCENTILE.INC(_xlfn._xlws.FILTER('14_TIEMPOS_CRUDOS'!$D$5:$D$304,('14_TIEMPOS_CRUDOS'!$B$5:$B$304=$A18)*('14_TIEMPOS_CRUDOS'!$C$5:$C$304=$B18)*('14_TIEMPOS_CRUDOS'!$H$5:$H$304="VÁLIDO")),0.99),""))</x:f>
      </x:c>
      <x:c r="G18" s="22" t="str">
        <x:f>IF(D18="","","ms")</x:f>
      </x:c>
      <x:c r="H18" s="20"/>
      <x:c r="I18" s="20"/>
      <x:c r="J18" s="22" t="str">
        <x:f>IF(OR(D18="",D18=0),"SIN DATOS","REVISAR SUFICIENCIA / PRECISIÓN DEL n; NO HAY MÍNIMO APROBADO")</x:f>
        <x:v>SIN DATOS</x:v>
      </x:c>
      <x:c r="K18" s="22" t="str">
        <x:f>IF(D18&gt;0,"Ver evidencia individual de 14_TIEMPOS_CRUDOS","")</x:f>
      </x:c>
      <x:c r="L18" s="22" t="str">
        <x:f>IF(OR(A18="",B18=""),"SIN DATOS",IF(C18="","SIN DATOS",IF(OR(D18=0,H18="",I18="",E18="",F18=""),"INCOMPLETO",IF(F18&lt;E18,"REVISAR","VÁLIDO"))))</x:f>
        <x:v>SIN DATOS</x:v>
      </x:c>
      <x:c r="M18" s="22" t="str">
        <x:f>IF(L18&lt;&gt;"VÁLIDO","SIN DATOS",IF(OR('02_PARAMETROS'!$I$10&lt;&gt;"APROBADO",NOT(ISNUMBER('02_PARAMETROS'!$G$10)),'02_PARAMETROS'!$H$10=""),"PENDIENTE DE APROBACIÓN",IF(OR(AND('02_PARAMETROS'!$H$10="&gt;=",E18&gt;='02_PARAMETROS'!$G$10),AND('02_PARAMETROS'!$H$10="&lt;=",E18&lt;='02_PARAMETROS'!$G$10),AND('02_PARAMETROS'!$H$10="&gt;",E18&gt;'02_PARAMETROS'!$G$10),AND('02_PARAMETROS'!$H$10="&lt;",E18&lt;'02_PARAMETROS'!$G$10),AND('02_PARAMETROS'!$H$10="=",E18='02_PARAMETROS'!$G$10)),"CUMPLE","NO CUMPLE")))</x:f>
        <x:v>SIN DATOS</x:v>
      </x:c>
      <x:c r="N18" s="22" t="str">
        <x:f>IF(L18&lt;&gt;"VÁLIDO","SIN DATOS",IF(OR('02_PARAMETROS'!$I$11&lt;&gt;"APROBADO",NOT(ISNUMBER('02_PARAMETROS'!$G$11)),'02_PARAMETROS'!$H$11=""),"PENDIENTE DE APROBACIÓN",IF(OR(AND('02_PARAMETROS'!$H$11="&gt;=",F18&gt;='02_PARAMETROS'!$G$11),AND('02_PARAMETROS'!$H$11="&lt;=",F18&lt;='02_PARAMETROS'!$G$11),AND('02_PARAMETROS'!$H$11="&gt;",F18&gt;'02_PARAMETROS'!$G$11),AND('02_PARAMETROS'!$H$11="&lt;",F18&lt;'02_PARAMETROS'!$G$11),AND('02_PARAMETROS'!$H$11="=",F18='02_PARAMETROS'!$G$11)),"CUMPLE","NO CUMPLE")))</x:f>
        <x:v>SIN DATOS</x:v>
      </x:c>
    </x:row>
    <x:row r="19" ht="22" customHeight="1">
      <x:c r="A19" s="20"/>
      <x:c r="B19" s="20"/>
      <x:c r="C19" s="22" t="str">
        <x:f>IF(OR(A19="",B19=""),"",IF(COUNTIFS('14_TIEMPOS_CRUDOS'!$B$5:$B$304,$A19,'14_TIEMPOS_CRUDOS'!$C$5:$C$304,$B19)=0,"",COUNTIFS('14_TIEMPOS_CRUDOS'!$B$5:$B$304,$A19,'14_TIEMPOS_CRUDOS'!$C$5:$C$304,$B19)))</x:f>
      </x:c>
      <x:c r="D19" s="22" t="str">
        <x:f>IF(C19="","",COUNTIFS('14_TIEMPOS_CRUDOS'!$B$5:$B$304,$A19,'14_TIEMPOS_CRUDOS'!$C$5:$C$304,$B19,'14_TIEMPOS_CRUDOS'!$H$5:$H$304,"VÁLIDO"))</x:f>
      </x:c>
      <x:c r="E19" s="30" t="str">
        <x:f>IF(OR(D19="",D19=0),"",IFERROR(_xlfn.PERCENTILE.INC(_xlfn._xlws.FILTER('14_TIEMPOS_CRUDOS'!$D$5:$D$304,('14_TIEMPOS_CRUDOS'!$B$5:$B$304=$A19)*('14_TIEMPOS_CRUDOS'!$C$5:$C$304=$B19)*('14_TIEMPOS_CRUDOS'!$H$5:$H$304="VÁLIDO")),0.95),""))</x:f>
      </x:c>
      <x:c r="F19" s="30" t="str">
        <x:f>IF(OR(D19="",D19=0),"",IFERROR(_xlfn.PERCENTILE.INC(_xlfn._xlws.FILTER('14_TIEMPOS_CRUDOS'!$D$5:$D$304,('14_TIEMPOS_CRUDOS'!$B$5:$B$304=$A19)*('14_TIEMPOS_CRUDOS'!$C$5:$C$304=$B19)*('14_TIEMPOS_CRUDOS'!$H$5:$H$304="VÁLIDO")),0.99),""))</x:f>
      </x:c>
      <x:c r="G19" s="22" t="str">
        <x:f>IF(D19="","","ms")</x:f>
      </x:c>
      <x:c r="H19" s="20"/>
      <x:c r="I19" s="20"/>
      <x:c r="J19" s="22" t="str">
        <x:f>IF(OR(D19="",D19=0),"SIN DATOS","REVISAR SUFICIENCIA / PRECISIÓN DEL n; NO HAY MÍNIMO APROBADO")</x:f>
        <x:v>SIN DATOS</x:v>
      </x:c>
      <x:c r="K19" s="22" t="str">
        <x:f>IF(D19&gt;0,"Ver evidencia individual de 14_TIEMPOS_CRUDOS","")</x:f>
      </x:c>
      <x:c r="L19" s="22" t="str">
        <x:f>IF(OR(A19="",B19=""),"SIN DATOS",IF(C19="","SIN DATOS",IF(OR(D19=0,H19="",I19="",E19="",F19=""),"INCOMPLETO",IF(F19&lt;E19,"REVISAR","VÁLIDO"))))</x:f>
        <x:v>SIN DATOS</x:v>
      </x:c>
      <x:c r="M19" s="22" t="str">
        <x:f>IF(L19&lt;&gt;"VÁLIDO","SIN DATOS",IF(OR('02_PARAMETROS'!$I$10&lt;&gt;"APROBADO",NOT(ISNUMBER('02_PARAMETROS'!$G$10)),'02_PARAMETROS'!$H$10=""),"PENDIENTE DE APROBACIÓN",IF(OR(AND('02_PARAMETROS'!$H$10="&gt;=",E19&gt;='02_PARAMETROS'!$G$10),AND('02_PARAMETROS'!$H$10="&lt;=",E19&lt;='02_PARAMETROS'!$G$10),AND('02_PARAMETROS'!$H$10="&gt;",E19&gt;'02_PARAMETROS'!$G$10),AND('02_PARAMETROS'!$H$10="&lt;",E19&lt;'02_PARAMETROS'!$G$10),AND('02_PARAMETROS'!$H$10="=",E19='02_PARAMETROS'!$G$10)),"CUMPLE","NO CUMPLE")))</x:f>
        <x:v>SIN DATOS</x:v>
      </x:c>
      <x:c r="N19" s="22" t="str">
        <x:f>IF(L19&lt;&gt;"VÁLIDO","SIN DATOS",IF(OR('02_PARAMETROS'!$I$11&lt;&gt;"APROBADO",NOT(ISNUMBER('02_PARAMETROS'!$G$11)),'02_PARAMETROS'!$H$11=""),"PENDIENTE DE APROBACIÓN",IF(OR(AND('02_PARAMETROS'!$H$11="&gt;=",F19&gt;='02_PARAMETROS'!$G$11),AND('02_PARAMETROS'!$H$11="&lt;=",F19&lt;='02_PARAMETROS'!$G$11),AND('02_PARAMETROS'!$H$11="&gt;",F19&gt;'02_PARAMETROS'!$G$11),AND('02_PARAMETROS'!$H$11="&lt;",F19&lt;'02_PARAMETROS'!$G$11),AND('02_PARAMETROS'!$H$11="=",F19='02_PARAMETROS'!$G$11)),"CUMPLE","NO CUMPLE")))</x:f>
        <x:v>SIN DATOS</x:v>
      </x:c>
    </x:row>
    <x:row r="20" ht="22" customHeight="1">
      <x:c r="A20" s="20"/>
      <x:c r="B20" s="20"/>
      <x:c r="C20" s="22" t="str">
        <x:f>IF(OR(A20="",B20=""),"",IF(COUNTIFS('14_TIEMPOS_CRUDOS'!$B$5:$B$304,$A20,'14_TIEMPOS_CRUDOS'!$C$5:$C$304,$B20)=0,"",COUNTIFS('14_TIEMPOS_CRUDOS'!$B$5:$B$304,$A20,'14_TIEMPOS_CRUDOS'!$C$5:$C$304,$B20)))</x:f>
      </x:c>
      <x:c r="D20" s="22" t="str">
        <x:f>IF(C20="","",COUNTIFS('14_TIEMPOS_CRUDOS'!$B$5:$B$304,$A20,'14_TIEMPOS_CRUDOS'!$C$5:$C$304,$B20,'14_TIEMPOS_CRUDOS'!$H$5:$H$304,"VÁLIDO"))</x:f>
      </x:c>
      <x:c r="E20" s="30" t="str">
        <x:f>IF(OR(D20="",D20=0),"",IFERROR(_xlfn.PERCENTILE.INC(_xlfn._xlws.FILTER('14_TIEMPOS_CRUDOS'!$D$5:$D$304,('14_TIEMPOS_CRUDOS'!$B$5:$B$304=$A20)*('14_TIEMPOS_CRUDOS'!$C$5:$C$304=$B20)*('14_TIEMPOS_CRUDOS'!$H$5:$H$304="VÁLIDO")),0.95),""))</x:f>
      </x:c>
      <x:c r="F20" s="30" t="str">
        <x:f>IF(OR(D20="",D20=0),"",IFERROR(_xlfn.PERCENTILE.INC(_xlfn._xlws.FILTER('14_TIEMPOS_CRUDOS'!$D$5:$D$304,('14_TIEMPOS_CRUDOS'!$B$5:$B$304=$A20)*('14_TIEMPOS_CRUDOS'!$C$5:$C$304=$B20)*('14_TIEMPOS_CRUDOS'!$H$5:$H$304="VÁLIDO")),0.99),""))</x:f>
      </x:c>
      <x:c r="G20" s="22" t="str">
        <x:f>IF(D20="","","ms")</x:f>
      </x:c>
      <x:c r="H20" s="20"/>
      <x:c r="I20" s="20"/>
      <x:c r="J20" s="22" t="str">
        <x:f>IF(OR(D20="",D20=0),"SIN DATOS","REVISAR SUFICIENCIA / PRECISIÓN DEL n; NO HAY MÍNIMO APROBADO")</x:f>
        <x:v>SIN DATOS</x:v>
      </x:c>
      <x:c r="K20" s="22" t="str">
        <x:f>IF(D20&gt;0,"Ver evidencia individual de 14_TIEMPOS_CRUDOS","")</x:f>
      </x:c>
      <x:c r="L20" s="22" t="str">
        <x:f>IF(OR(A20="",B20=""),"SIN DATOS",IF(C20="","SIN DATOS",IF(OR(D20=0,H20="",I20="",E20="",F20=""),"INCOMPLETO",IF(F20&lt;E20,"REVISAR","VÁLIDO"))))</x:f>
        <x:v>SIN DATOS</x:v>
      </x:c>
      <x:c r="M20" s="22" t="str">
        <x:f>IF(L20&lt;&gt;"VÁLIDO","SIN DATOS",IF(OR('02_PARAMETROS'!$I$10&lt;&gt;"APROBADO",NOT(ISNUMBER('02_PARAMETROS'!$G$10)),'02_PARAMETROS'!$H$10=""),"PENDIENTE DE APROBACIÓN",IF(OR(AND('02_PARAMETROS'!$H$10="&gt;=",E20&gt;='02_PARAMETROS'!$G$10),AND('02_PARAMETROS'!$H$10="&lt;=",E20&lt;='02_PARAMETROS'!$G$10),AND('02_PARAMETROS'!$H$10="&gt;",E20&gt;'02_PARAMETROS'!$G$10),AND('02_PARAMETROS'!$H$10="&lt;",E20&lt;'02_PARAMETROS'!$G$10),AND('02_PARAMETROS'!$H$10="=",E20='02_PARAMETROS'!$G$10)),"CUMPLE","NO CUMPLE")))</x:f>
        <x:v>SIN DATOS</x:v>
      </x:c>
      <x:c r="N20" s="22" t="str">
        <x:f>IF(L20&lt;&gt;"VÁLIDO","SIN DATOS",IF(OR('02_PARAMETROS'!$I$11&lt;&gt;"APROBADO",NOT(ISNUMBER('02_PARAMETROS'!$G$11)),'02_PARAMETROS'!$H$11=""),"PENDIENTE DE APROBACIÓN",IF(OR(AND('02_PARAMETROS'!$H$11="&gt;=",F20&gt;='02_PARAMETROS'!$G$11),AND('02_PARAMETROS'!$H$11="&lt;=",F20&lt;='02_PARAMETROS'!$G$11),AND('02_PARAMETROS'!$H$11="&gt;",F20&gt;'02_PARAMETROS'!$G$11),AND('02_PARAMETROS'!$H$11="&lt;",F20&lt;'02_PARAMETROS'!$G$11),AND('02_PARAMETROS'!$H$11="=",F20='02_PARAMETROS'!$G$11)),"CUMPLE","NO CUMPLE")))</x:f>
        <x:v>SIN DATOS</x:v>
      </x:c>
    </x:row>
    <x:row r="21" ht="22" customHeight="1">
      <x:c r="A21" s="20"/>
      <x:c r="B21" s="20"/>
      <x:c r="C21" s="22" t="str">
        <x:f>IF(OR(A21="",B21=""),"",IF(COUNTIFS('14_TIEMPOS_CRUDOS'!$B$5:$B$304,$A21,'14_TIEMPOS_CRUDOS'!$C$5:$C$304,$B21)=0,"",COUNTIFS('14_TIEMPOS_CRUDOS'!$B$5:$B$304,$A21,'14_TIEMPOS_CRUDOS'!$C$5:$C$304,$B21)))</x:f>
      </x:c>
      <x:c r="D21" s="22" t="str">
        <x:f>IF(C21="","",COUNTIFS('14_TIEMPOS_CRUDOS'!$B$5:$B$304,$A21,'14_TIEMPOS_CRUDOS'!$C$5:$C$304,$B21,'14_TIEMPOS_CRUDOS'!$H$5:$H$304,"VÁLIDO"))</x:f>
      </x:c>
      <x:c r="E21" s="30" t="str">
        <x:f>IF(OR(D21="",D21=0),"",IFERROR(_xlfn.PERCENTILE.INC(_xlfn._xlws.FILTER('14_TIEMPOS_CRUDOS'!$D$5:$D$304,('14_TIEMPOS_CRUDOS'!$B$5:$B$304=$A21)*('14_TIEMPOS_CRUDOS'!$C$5:$C$304=$B21)*('14_TIEMPOS_CRUDOS'!$H$5:$H$304="VÁLIDO")),0.95),""))</x:f>
      </x:c>
      <x:c r="F21" s="30" t="str">
        <x:f>IF(OR(D21="",D21=0),"",IFERROR(_xlfn.PERCENTILE.INC(_xlfn._xlws.FILTER('14_TIEMPOS_CRUDOS'!$D$5:$D$304,('14_TIEMPOS_CRUDOS'!$B$5:$B$304=$A21)*('14_TIEMPOS_CRUDOS'!$C$5:$C$304=$B21)*('14_TIEMPOS_CRUDOS'!$H$5:$H$304="VÁLIDO")),0.99),""))</x:f>
      </x:c>
      <x:c r="G21" s="22" t="str">
        <x:f>IF(D21="","","ms")</x:f>
      </x:c>
      <x:c r="H21" s="20"/>
      <x:c r="I21" s="20"/>
      <x:c r="J21" s="22" t="str">
        <x:f>IF(OR(D21="",D21=0),"SIN DATOS","REVISAR SUFICIENCIA / PRECISIÓN DEL n; NO HAY MÍNIMO APROBADO")</x:f>
        <x:v>SIN DATOS</x:v>
      </x:c>
      <x:c r="K21" s="22" t="str">
        <x:f>IF(D21&gt;0,"Ver evidencia individual de 14_TIEMPOS_CRUDOS","")</x:f>
      </x:c>
      <x:c r="L21" s="22" t="str">
        <x:f>IF(OR(A21="",B21=""),"SIN DATOS",IF(C21="","SIN DATOS",IF(OR(D21=0,H21="",I21="",E21="",F21=""),"INCOMPLETO",IF(F21&lt;E21,"REVISAR","VÁLIDO"))))</x:f>
        <x:v>SIN DATOS</x:v>
      </x:c>
      <x:c r="M21" s="22" t="str">
        <x:f>IF(L21&lt;&gt;"VÁLIDO","SIN DATOS",IF(OR('02_PARAMETROS'!$I$10&lt;&gt;"APROBADO",NOT(ISNUMBER('02_PARAMETROS'!$G$10)),'02_PARAMETROS'!$H$10=""),"PENDIENTE DE APROBACIÓN",IF(OR(AND('02_PARAMETROS'!$H$10="&gt;=",E21&gt;='02_PARAMETROS'!$G$10),AND('02_PARAMETROS'!$H$10="&lt;=",E21&lt;='02_PARAMETROS'!$G$10),AND('02_PARAMETROS'!$H$10="&gt;",E21&gt;'02_PARAMETROS'!$G$10),AND('02_PARAMETROS'!$H$10="&lt;",E21&lt;'02_PARAMETROS'!$G$10),AND('02_PARAMETROS'!$H$10="=",E21='02_PARAMETROS'!$G$10)),"CUMPLE","NO CUMPLE")))</x:f>
        <x:v>SIN DATOS</x:v>
      </x:c>
      <x:c r="N21" s="22" t="str">
        <x:f>IF(L21&lt;&gt;"VÁLIDO","SIN DATOS",IF(OR('02_PARAMETROS'!$I$11&lt;&gt;"APROBADO",NOT(ISNUMBER('02_PARAMETROS'!$G$11)),'02_PARAMETROS'!$H$11=""),"PENDIENTE DE APROBACIÓN",IF(OR(AND('02_PARAMETROS'!$H$11="&gt;=",F21&gt;='02_PARAMETROS'!$G$11),AND('02_PARAMETROS'!$H$11="&lt;=",F21&lt;='02_PARAMETROS'!$G$11),AND('02_PARAMETROS'!$H$11="&gt;",F21&gt;'02_PARAMETROS'!$G$11),AND('02_PARAMETROS'!$H$11="&lt;",F21&lt;'02_PARAMETROS'!$G$11),AND('02_PARAMETROS'!$H$11="=",F21='02_PARAMETROS'!$G$11)),"CUMPLE","NO CUMPLE")))</x:f>
        <x:v>SIN DATOS</x:v>
      </x:c>
    </x:row>
    <x:row r="22" ht="22" customHeight="1">
      <x:c r="A22" s="20"/>
      <x:c r="B22" s="20"/>
      <x:c r="C22" s="22" t="str">
        <x:f>IF(OR(A22="",B22=""),"",IF(COUNTIFS('14_TIEMPOS_CRUDOS'!$B$5:$B$304,$A22,'14_TIEMPOS_CRUDOS'!$C$5:$C$304,$B22)=0,"",COUNTIFS('14_TIEMPOS_CRUDOS'!$B$5:$B$304,$A22,'14_TIEMPOS_CRUDOS'!$C$5:$C$304,$B22)))</x:f>
      </x:c>
      <x:c r="D22" s="22" t="str">
        <x:f>IF(C22="","",COUNTIFS('14_TIEMPOS_CRUDOS'!$B$5:$B$304,$A22,'14_TIEMPOS_CRUDOS'!$C$5:$C$304,$B22,'14_TIEMPOS_CRUDOS'!$H$5:$H$304,"VÁLIDO"))</x:f>
      </x:c>
      <x:c r="E22" s="30" t="str">
        <x:f>IF(OR(D22="",D22=0),"",IFERROR(_xlfn.PERCENTILE.INC(_xlfn._xlws.FILTER('14_TIEMPOS_CRUDOS'!$D$5:$D$304,('14_TIEMPOS_CRUDOS'!$B$5:$B$304=$A22)*('14_TIEMPOS_CRUDOS'!$C$5:$C$304=$B22)*('14_TIEMPOS_CRUDOS'!$H$5:$H$304="VÁLIDO")),0.95),""))</x:f>
      </x:c>
      <x:c r="F22" s="30" t="str">
        <x:f>IF(OR(D22="",D22=0),"",IFERROR(_xlfn.PERCENTILE.INC(_xlfn._xlws.FILTER('14_TIEMPOS_CRUDOS'!$D$5:$D$304,('14_TIEMPOS_CRUDOS'!$B$5:$B$304=$A22)*('14_TIEMPOS_CRUDOS'!$C$5:$C$304=$B22)*('14_TIEMPOS_CRUDOS'!$H$5:$H$304="VÁLIDO")),0.99),""))</x:f>
      </x:c>
      <x:c r="G22" s="22" t="str">
        <x:f>IF(D22="","","ms")</x:f>
      </x:c>
      <x:c r="H22" s="20"/>
      <x:c r="I22" s="20"/>
      <x:c r="J22" s="22" t="str">
        <x:f>IF(OR(D22="",D22=0),"SIN DATOS","REVISAR SUFICIENCIA / PRECISIÓN DEL n; NO HAY MÍNIMO APROBADO")</x:f>
        <x:v>SIN DATOS</x:v>
      </x:c>
      <x:c r="K22" s="22" t="str">
        <x:f>IF(D22&gt;0,"Ver evidencia individual de 14_TIEMPOS_CRUDOS","")</x:f>
      </x:c>
      <x:c r="L22" s="22" t="str">
        <x:f>IF(OR(A22="",B22=""),"SIN DATOS",IF(C22="","SIN DATOS",IF(OR(D22=0,H22="",I22="",E22="",F22=""),"INCOMPLETO",IF(F22&lt;E22,"REVISAR","VÁLIDO"))))</x:f>
        <x:v>SIN DATOS</x:v>
      </x:c>
      <x:c r="M22" s="22" t="str">
        <x:f>IF(L22&lt;&gt;"VÁLIDO","SIN DATOS",IF(OR('02_PARAMETROS'!$I$10&lt;&gt;"APROBADO",NOT(ISNUMBER('02_PARAMETROS'!$G$10)),'02_PARAMETROS'!$H$10=""),"PENDIENTE DE APROBACIÓN",IF(OR(AND('02_PARAMETROS'!$H$10="&gt;=",E22&gt;='02_PARAMETROS'!$G$10),AND('02_PARAMETROS'!$H$10="&lt;=",E22&lt;='02_PARAMETROS'!$G$10),AND('02_PARAMETROS'!$H$10="&gt;",E22&gt;'02_PARAMETROS'!$G$10),AND('02_PARAMETROS'!$H$10="&lt;",E22&lt;'02_PARAMETROS'!$G$10),AND('02_PARAMETROS'!$H$10="=",E22='02_PARAMETROS'!$G$10)),"CUMPLE","NO CUMPLE")))</x:f>
        <x:v>SIN DATOS</x:v>
      </x:c>
      <x:c r="N22" s="22" t="str">
        <x:f>IF(L22&lt;&gt;"VÁLIDO","SIN DATOS",IF(OR('02_PARAMETROS'!$I$11&lt;&gt;"APROBADO",NOT(ISNUMBER('02_PARAMETROS'!$G$11)),'02_PARAMETROS'!$H$11=""),"PENDIENTE DE APROBACIÓN",IF(OR(AND('02_PARAMETROS'!$H$11="&gt;=",F22&gt;='02_PARAMETROS'!$G$11),AND('02_PARAMETROS'!$H$11="&lt;=",F22&lt;='02_PARAMETROS'!$G$11),AND('02_PARAMETROS'!$H$11="&gt;",F22&gt;'02_PARAMETROS'!$G$11),AND('02_PARAMETROS'!$H$11="&lt;",F22&lt;'02_PARAMETROS'!$G$11),AND('02_PARAMETROS'!$H$11="=",F22='02_PARAMETROS'!$G$11)),"CUMPLE","NO CUMPLE")))</x:f>
        <x:v>SIN DATOS</x:v>
      </x:c>
    </x:row>
    <x:row r="23" ht="22" customHeight="1">
      <x:c r="A23" s="20"/>
      <x:c r="B23" s="20"/>
      <x:c r="C23" s="22" t="str">
        <x:f>IF(OR(A23="",B23=""),"",IF(COUNTIFS('14_TIEMPOS_CRUDOS'!$B$5:$B$304,$A23,'14_TIEMPOS_CRUDOS'!$C$5:$C$304,$B23)=0,"",COUNTIFS('14_TIEMPOS_CRUDOS'!$B$5:$B$304,$A23,'14_TIEMPOS_CRUDOS'!$C$5:$C$304,$B23)))</x:f>
      </x:c>
      <x:c r="D23" s="22" t="str">
        <x:f>IF(C23="","",COUNTIFS('14_TIEMPOS_CRUDOS'!$B$5:$B$304,$A23,'14_TIEMPOS_CRUDOS'!$C$5:$C$304,$B23,'14_TIEMPOS_CRUDOS'!$H$5:$H$304,"VÁLIDO"))</x:f>
      </x:c>
      <x:c r="E23" s="30" t="str">
        <x:f>IF(OR(D23="",D23=0),"",IFERROR(_xlfn.PERCENTILE.INC(_xlfn._xlws.FILTER('14_TIEMPOS_CRUDOS'!$D$5:$D$304,('14_TIEMPOS_CRUDOS'!$B$5:$B$304=$A23)*('14_TIEMPOS_CRUDOS'!$C$5:$C$304=$B23)*('14_TIEMPOS_CRUDOS'!$H$5:$H$304="VÁLIDO")),0.95),""))</x:f>
      </x:c>
      <x:c r="F23" s="30" t="str">
        <x:f>IF(OR(D23="",D23=0),"",IFERROR(_xlfn.PERCENTILE.INC(_xlfn._xlws.FILTER('14_TIEMPOS_CRUDOS'!$D$5:$D$304,('14_TIEMPOS_CRUDOS'!$B$5:$B$304=$A23)*('14_TIEMPOS_CRUDOS'!$C$5:$C$304=$B23)*('14_TIEMPOS_CRUDOS'!$H$5:$H$304="VÁLIDO")),0.99),""))</x:f>
      </x:c>
      <x:c r="G23" s="22" t="str">
        <x:f>IF(D23="","","ms")</x:f>
      </x:c>
      <x:c r="H23" s="20"/>
      <x:c r="I23" s="20"/>
      <x:c r="J23" s="22" t="str">
        <x:f>IF(OR(D23="",D23=0),"SIN DATOS","REVISAR SUFICIENCIA / PRECISIÓN DEL n; NO HAY MÍNIMO APROBADO")</x:f>
        <x:v>SIN DATOS</x:v>
      </x:c>
      <x:c r="K23" s="22" t="str">
        <x:f>IF(D23&gt;0,"Ver evidencia individual de 14_TIEMPOS_CRUDOS","")</x:f>
      </x:c>
      <x:c r="L23" s="22" t="str">
        <x:f>IF(OR(A23="",B23=""),"SIN DATOS",IF(C23="","SIN DATOS",IF(OR(D23=0,H23="",I23="",E23="",F23=""),"INCOMPLETO",IF(F23&lt;E23,"REVISAR","VÁLIDO"))))</x:f>
        <x:v>SIN DATOS</x:v>
      </x:c>
      <x:c r="M23" s="22" t="str">
        <x:f>IF(L23&lt;&gt;"VÁLIDO","SIN DATOS",IF(OR('02_PARAMETROS'!$I$10&lt;&gt;"APROBADO",NOT(ISNUMBER('02_PARAMETROS'!$G$10)),'02_PARAMETROS'!$H$10=""),"PENDIENTE DE APROBACIÓN",IF(OR(AND('02_PARAMETROS'!$H$10="&gt;=",E23&gt;='02_PARAMETROS'!$G$10),AND('02_PARAMETROS'!$H$10="&lt;=",E23&lt;='02_PARAMETROS'!$G$10),AND('02_PARAMETROS'!$H$10="&gt;",E23&gt;'02_PARAMETROS'!$G$10),AND('02_PARAMETROS'!$H$10="&lt;",E23&lt;'02_PARAMETROS'!$G$10),AND('02_PARAMETROS'!$H$10="=",E23='02_PARAMETROS'!$G$10)),"CUMPLE","NO CUMPLE")))</x:f>
        <x:v>SIN DATOS</x:v>
      </x:c>
      <x:c r="N23" s="22" t="str">
        <x:f>IF(L23&lt;&gt;"VÁLIDO","SIN DATOS",IF(OR('02_PARAMETROS'!$I$11&lt;&gt;"APROBADO",NOT(ISNUMBER('02_PARAMETROS'!$G$11)),'02_PARAMETROS'!$H$11=""),"PENDIENTE DE APROBACIÓN",IF(OR(AND('02_PARAMETROS'!$H$11="&gt;=",F23&gt;='02_PARAMETROS'!$G$11),AND('02_PARAMETROS'!$H$11="&lt;=",F23&lt;='02_PARAMETROS'!$G$11),AND('02_PARAMETROS'!$H$11="&gt;",F23&gt;'02_PARAMETROS'!$G$11),AND('02_PARAMETROS'!$H$11="&lt;",F23&lt;'02_PARAMETROS'!$G$11),AND('02_PARAMETROS'!$H$11="=",F23='02_PARAMETROS'!$G$11)),"CUMPLE","NO CUMPLE")))</x:f>
        <x:v>SIN DATOS</x:v>
      </x:c>
    </x:row>
    <x:row r="24" ht="22" customHeight="1">
      <x:c r="A24" s="20"/>
      <x:c r="B24" s="20"/>
      <x:c r="C24" s="22" t="str">
        <x:f>IF(OR(A24="",B24=""),"",IF(COUNTIFS('14_TIEMPOS_CRUDOS'!$B$5:$B$304,$A24,'14_TIEMPOS_CRUDOS'!$C$5:$C$304,$B24)=0,"",COUNTIFS('14_TIEMPOS_CRUDOS'!$B$5:$B$304,$A24,'14_TIEMPOS_CRUDOS'!$C$5:$C$304,$B24)))</x:f>
      </x:c>
      <x:c r="D24" s="22" t="str">
        <x:f>IF(C24="","",COUNTIFS('14_TIEMPOS_CRUDOS'!$B$5:$B$304,$A24,'14_TIEMPOS_CRUDOS'!$C$5:$C$304,$B24,'14_TIEMPOS_CRUDOS'!$H$5:$H$304,"VÁLIDO"))</x:f>
      </x:c>
      <x:c r="E24" s="30" t="str">
        <x:f>IF(OR(D24="",D24=0),"",IFERROR(_xlfn.PERCENTILE.INC(_xlfn._xlws.FILTER('14_TIEMPOS_CRUDOS'!$D$5:$D$304,('14_TIEMPOS_CRUDOS'!$B$5:$B$304=$A24)*('14_TIEMPOS_CRUDOS'!$C$5:$C$304=$B24)*('14_TIEMPOS_CRUDOS'!$H$5:$H$304="VÁLIDO")),0.95),""))</x:f>
      </x:c>
      <x:c r="F24" s="30" t="str">
        <x:f>IF(OR(D24="",D24=0),"",IFERROR(_xlfn.PERCENTILE.INC(_xlfn._xlws.FILTER('14_TIEMPOS_CRUDOS'!$D$5:$D$304,('14_TIEMPOS_CRUDOS'!$B$5:$B$304=$A24)*('14_TIEMPOS_CRUDOS'!$C$5:$C$304=$B24)*('14_TIEMPOS_CRUDOS'!$H$5:$H$304="VÁLIDO")),0.99),""))</x:f>
      </x:c>
      <x:c r="G24" s="22" t="str">
        <x:f>IF(D24="","","ms")</x:f>
      </x:c>
      <x:c r="H24" s="20"/>
      <x:c r="I24" s="20"/>
      <x:c r="J24" s="22" t="str">
        <x:f>IF(OR(D24="",D24=0),"SIN DATOS","REVISAR SUFICIENCIA / PRECISIÓN DEL n; NO HAY MÍNIMO APROBADO")</x:f>
        <x:v>SIN DATOS</x:v>
      </x:c>
      <x:c r="K24" s="22" t="str">
        <x:f>IF(D24&gt;0,"Ver evidencia individual de 14_TIEMPOS_CRUDOS","")</x:f>
      </x:c>
      <x:c r="L24" s="22" t="str">
        <x:f>IF(OR(A24="",B24=""),"SIN DATOS",IF(C24="","SIN DATOS",IF(OR(D24=0,H24="",I24="",E24="",F24=""),"INCOMPLETO",IF(F24&lt;E24,"REVISAR","VÁLIDO"))))</x:f>
        <x:v>SIN DATOS</x:v>
      </x:c>
      <x:c r="M24" s="22" t="str">
        <x:f>IF(L24&lt;&gt;"VÁLIDO","SIN DATOS",IF(OR('02_PARAMETROS'!$I$10&lt;&gt;"APROBADO",NOT(ISNUMBER('02_PARAMETROS'!$G$10)),'02_PARAMETROS'!$H$10=""),"PENDIENTE DE APROBACIÓN",IF(OR(AND('02_PARAMETROS'!$H$10="&gt;=",E24&gt;='02_PARAMETROS'!$G$10),AND('02_PARAMETROS'!$H$10="&lt;=",E24&lt;='02_PARAMETROS'!$G$10),AND('02_PARAMETROS'!$H$10="&gt;",E24&gt;'02_PARAMETROS'!$G$10),AND('02_PARAMETROS'!$H$10="&lt;",E24&lt;'02_PARAMETROS'!$G$10),AND('02_PARAMETROS'!$H$10="=",E24='02_PARAMETROS'!$G$10)),"CUMPLE","NO CUMPLE")))</x:f>
        <x:v>SIN DATOS</x:v>
      </x:c>
      <x:c r="N24" s="22" t="str">
        <x:f>IF(L24&lt;&gt;"VÁLIDO","SIN DATOS",IF(OR('02_PARAMETROS'!$I$11&lt;&gt;"APROBADO",NOT(ISNUMBER('02_PARAMETROS'!$G$11)),'02_PARAMETROS'!$H$11=""),"PENDIENTE DE APROBACIÓN",IF(OR(AND('02_PARAMETROS'!$H$11="&gt;=",F24&gt;='02_PARAMETROS'!$G$11),AND('02_PARAMETROS'!$H$11="&lt;=",F24&lt;='02_PARAMETROS'!$G$11),AND('02_PARAMETROS'!$H$11="&gt;",F24&gt;'02_PARAMETROS'!$G$11),AND('02_PARAMETROS'!$H$11="&lt;",F24&lt;'02_PARAMETROS'!$G$11),AND('02_PARAMETROS'!$H$11="=",F24='02_PARAMETROS'!$G$11)),"CUMPLE","NO CUMPLE")))</x:f>
        <x:v>SIN DATOS</x:v>
      </x:c>
    </x:row>
    <x:row r="25" ht="22" customHeight="1">
      <x:c r="A25" s="20"/>
      <x:c r="B25" s="20"/>
      <x:c r="C25" s="22" t="str">
        <x:f>IF(OR(A25="",B25=""),"",IF(COUNTIFS('14_TIEMPOS_CRUDOS'!$B$5:$B$304,$A25,'14_TIEMPOS_CRUDOS'!$C$5:$C$304,$B25)=0,"",COUNTIFS('14_TIEMPOS_CRUDOS'!$B$5:$B$304,$A25,'14_TIEMPOS_CRUDOS'!$C$5:$C$304,$B25)))</x:f>
      </x:c>
      <x:c r="D25" s="22" t="str">
        <x:f>IF(C25="","",COUNTIFS('14_TIEMPOS_CRUDOS'!$B$5:$B$304,$A25,'14_TIEMPOS_CRUDOS'!$C$5:$C$304,$B25,'14_TIEMPOS_CRUDOS'!$H$5:$H$304,"VÁLIDO"))</x:f>
      </x:c>
      <x:c r="E25" s="30" t="str">
        <x:f>IF(OR(D25="",D25=0),"",IFERROR(_xlfn.PERCENTILE.INC(_xlfn._xlws.FILTER('14_TIEMPOS_CRUDOS'!$D$5:$D$304,('14_TIEMPOS_CRUDOS'!$B$5:$B$304=$A25)*('14_TIEMPOS_CRUDOS'!$C$5:$C$304=$B25)*('14_TIEMPOS_CRUDOS'!$H$5:$H$304="VÁLIDO")),0.95),""))</x:f>
      </x:c>
      <x:c r="F25" s="30" t="str">
        <x:f>IF(OR(D25="",D25=0),"",IFERROR(_xlfn.PERCENTILE.INC(_xlfn._xlws.FILTER('14_TIEMPOS_CRUDOS'!$D$5:$D$304,('14_TIEMPOS_CRUDOS'!$B$5:$B$304=$A25)*('14_TIEMPOS_CRUDOS'!$C$5:$C$304=$B25)*('14_TIEMPOS_CRUDOS'!$H$5:$H$304="VÁLIDO")),0.99),""))</x:f>
      </x:c>
      <x:c r="G25" s="22" t="str">
        <x:f>IF(D25="","","ms")</x:f>
      </x:c>
      <x:c r="H25" s="20"/>
      <x:c r="I25" s="20"/>
      <x:c r="J25" s="22" t="str">
        <x:f>IF(OR(D25="",D25=0),"SIN DATOS","REVISAR SUFICIENCIA / PRECISIÓN DEL n; NO HAY MÍNIMO APROBADO")</x:f>
        <x:v>SIN DATOS</x:v>
      </x:c>
      <x:c r="K25" s="22" t="str">
        <x:f>IF(D25&gt;0,"Ver evidencia individual de 14_TIEMPOS_CRUDOS","")</x:f>
      </x:c>
      <x:c r="L25" s="22" t="str">
        <x:f>IF(OR(A25="",B25=""),"SIN DATOS",IF(C25="","SIN DATOS",IF(OR(D25=0,H25="",I25="",E25="",F25=""),"INCOMPLETO",IF(F25&lt;E25,"REVISAR","VÁLIDO"))))</x:f>
        <x:v>SIN DATOS</x:v>
      </x:c>
      <x:c r="M25" s="22" t="str">
        <x:f>IF(L25&lt;&gt;"VÁLIDO","SIN DATOS",IF(OR('02_PARAMETROS'!$I$10&lt;&gt;"APROBADO",NOT(ISNUMBER('02_PARAMETROS'!$G$10)),'02_PARAMETROS'!$H$10=""),"PENDIENTE DE APROBACIÓN",IF(OR(AND('02_PARAMETROS'!$H$10="&gt;=",E25&gt;='02_PARAMETROS'!$G$10),AND('02_PARAMETROS'!$H$10="&lt;=",E25&lt;='02_PARAMETROS'!$G$10),AND('02_PARAMETROS'!$H$10="&gt;",E25&gt;'02_PARAMETROS'!$G$10),AND('02_PARAMETROS'!$H$10="&lt;",E25&lt;'02_PARAMETROS'!$G$10),AND('02_PARAMETROS'!$H$10="=",E25='02_PARAMETROS'!$G$10)),"CUMPLE","NO CUMPLE")))</x:f>
        <x:v>SIN DATOS</x:v>
      </x:c>
      <x:c r="N25" s="22" t="str">
        <x:f>IF(L25&lt;&gt;"VÁLIDO","SIN DATOS",IF(OR('02_PARAMETROS'!$I$11&lt;&gt;"APROBADO",NOT(ISNUMBER('02_PARAMETROS'!$G$11)),'02_PARAMETROS'!$H$11=""),"PENDIENTE DE APROBACIÓN",IF(OR(AND('02_PARAMETROS'!$H$11="&gt;=",F25&gt;='02_PARAMETROS'!$G$11),AND('02_PARAMETROS'!$H$11="&lt;=",F25&lt;='02_PARAMETROS'!$G$11),AND('02_PARAMETROS'!$H$11="&gt;",F25&gt;'02_PARAMETROS'!$G$11),AND('02_PARAMETROS'!$H$11="&lt;",F25&lt;'02_PARAMETROS'!$G$11),AND('02_PARAMETROS'!$H$11="=",F25='02_PARAMETROS'!$G$11)),"CUMPLE","NO CUMPLE")))</x:f>
        <x:v>SIN DATOS</x:v>
      </x:c>
    </x:row>
    <x:row r="26" ht="22" customHeight="1">
      <x:c r="A26" s="20"/>
      <x:c r="B26" s="20"/>
      <x:c r="C26" s="22" t="str">
        <x:f>IF(OR(A26="",B26=""),"",IF(COUNTIFS('14_TIEMPOS_CRUDOS'!$B$5:$B$304,$A26,'14_TIEMPOS_CRUDOS'!$C$5:$C$304,$B26)=0,"",COUNTIFS('14_TIEMPOS_CRUDOS'!$B$5:$B$304,$A26,'14_TIEMPOS_CRUDOS'!$C$5:$C$304,$B26)))</x:f>
      </x:c>
      <x:c r="D26" s="22" t="str">
        <x:f>IF(C26="","",COUNTIFS('14_TIEMPOS_CRUDOS'!$B$5:$B$304,$A26,'14_TIEMPOS_CRUDOS'!$C$5:$C$304,$B26,'14_TIEMPOS_CRUDOS'!$H$5:$H$304,"VÁLIDO"))</x:f>
      </x:c>
      <x:c r="E26" s="30" t="str">
        <x:f>IF(OR(D26="",D26=0),"",IFERROR(_xlfn.PERCENTILE.INC(_xlfn._xlws.FILTER('14_TIEMPOS_CRUDOS'!$D$5:$D$304,('14_TIEMPOS_CRUDOS'!$B$5:$B$304=$A26)*('14_TIEMPOS_CRUDOS'!$C$5:$C$304=$B26)*('14_TIEMPOS_CRUDOS'!$H$5:$H$304="VÁLIDO")),0.95),""))</x:f>
      </x:c>
      <x:c r="F26" s="30" t="str">
        <x:f>IF(OR(D26="",D26=0),"",IFERROR(_xlfn.PERCENTILE.INC(_xlfn._xlws.FILTER('14_TIEMPOS_CRUDOS'!$D$5:$D$304,('14_TIEMPOS_CRUDOS'!$B$5:$B$304=$A26)*('14_TIEMPOS_CRUDOS'!$C$5:$C$304=$B26)*('14_TIEMPOS_CRUDOS'!$H$5:$H$304="VÁLIDO")),0.99),""))</x:f>
      </x:c>
      <x:c r="G26" s="22" t="str">
        <x:f>IF(D26="","","ms")</x:f>
      </x:c>
      <x:c r="H26" s="20"/>
      <x:c r="I26" s="20"/>
      <x:c r="J26" s="22" t="str">
        <x:f>IF(OR(D26="",D26=0),"SIN DATOS","REVISAR SUFICIENCIA / PRECISIÓN DEL n; NO HAY MÍNIMO APROBADO")</x:f>
        <x:v>SIN DATOS</x:v>
      </x:c>
      <x:c r="K26" s="22" t="str">
        <x:f>IF(D26&gt;0,"Ver evidencia individual de 14_TIEMPOS_CRUDOS","")</x:f>
      </x:c>
      <x:c r="L26" s="22" t="str">
        <x:f>IF(OR(A26="",B26=""),"SIN DATOS",IF(C26="","SIN DATOS",IF(OR(D26=0,H26="",I26="",E26="",F26=""),"INCOMPLETO",IF(F26&lt;E26,"REVISAR","VÁLIDO"))))</x:f>
        <x:v>SIN DATOS</x:v>
      </x:c>
      <x:c r="M26" s="22" t="str">
        <x:f>IF(L26&lt;&gt;"VÁLIDO","SIN DATOS",IF(OR('02_PARAMETROS'!$I$10&lt;&gt;"APROBADO",NOT(ISNUMBER('02_PARAMETROS'!$G$10)),'02_PARAMETROS'!$H$10=""),"PENDIENTE DE APROBACIÓN",IF(OR(AND('02_PARAMETROS'!$H$10="&gt;=",E26&gt;='02_PARAMETROS'!$G$10),AND('02_PARAMETROS'!$H$10="&lt;=",E26&lt;='02_PARAMETROS'!$G$10),AND('02_PARAMETROS'!$H$10="&gt;",E26&gt;'02_PARAMETROS'!$G$10),AND('02_PARAMETROS'!$H$10="&lt;",E26&lt;'02_PARAMETROS'!$G$10),AND('02_PARAMETROS'!$H$10="=",E26='02_PARAMETROS'!$G$10)),"CUMPLE","NO CUMPLE")))</x:f>
        <x:v>SIN DATOS</x:v>
      </x:c>
      <x:c r="N26" s="22" t="str">
        <x:f>IF(L26&lt;&gt;"VÁLIDO","SIN DATOS",IF(OR('02_PARAMETROS'!$I$11&lt;&gt;"APROBADO",NOT(ISNUMBER('02_PARAMETROS'!$G$11)),'02_PARAMETROS'!$H$11=""),"PENDIENTE DE APROBACIÓN",IF(OR(AND('02_PARAMETROS'!$H$11="&gt;=",F26&gt;='02_PARAMETROS'!$G$11),AND('02_PARAMETROS'!$H$11="&lt;=",F26&lt;='02_PARAMETROS'!$G$11),AND('02_PARAMETROS'!$H$11="&gt;",F26&gt;'02_PARAMETROS'!$G$11),AND('02_PARAMETROS'!$H$11="&lt;",F26&lt;'02_PARAMETROS'!$G$11),AND('02_PARAMETROS'!$H$11="=",F26='02_PARAMETROS'!$G$11)),"CUMPLE","NO CUMPLE")))</x:f>
        <x:v>SIN DATOS</x:v>
      </x:c>
    </x:row>
    <x:row r="27" ht="22" customHeight="1">
      <x:c r="A27" s="20"/>
      <x:c r="B27" s="20"/>
      <x:c r="C27" s="22" t="str">
        <x:f>IF(OR(A27="",B27=""),"",IF(COUNTIFS('14_TIEMPOS_CRUDOS'!$B$5:$B$304,$A27,'14_TIEMPOS_CRUDOS'!$C$5:$C$304,$B27)=0,"",COUNTIFS('14_TIEMPOS_CRUDOS'!$B$5:$B$304,$A27,'14_TIEMPOS_CRUDOS'!$C$5:$C$304,$B27)))</x:f>
      </x:c>
      <x:c r="D27" s="22" t="str">
        <x:f>IF(C27="","",COUNTIFS('14_TIEMPOS_CRUDOS'!$B$5:$B$304,$A27,'14_TIEMPOS_CRUDOS'!$C$5:$C$304,$B27,'14_TIEMPOS_CRUDOS'!$H$5:$H$304,"VÁLIDO"))</x:f>
      </x:c>
      <x:c r="E27" s="30" t="str">
        <x:f>IF(OR(D27="",D27=0),"",IFERROR(_xlfn.PERCENTILE.INC(_xlfn._xlws.FILTER('14_TIEMPOS_CRUDOS'!$D$5:$D$304,('14_TIEMPOS_CRUDOS'!$B$5:$B$304=$A27)*('14_TIEMPOS_CRUDOS'!$C$5:$C$304=$B27)*('14_TIEMPOS_CRUDOS'!$H$5:$H$304="VÁLIDO")),0.95),""))</x:f>
      </x:c>
      <x:c r="F27" s="30" t="str">
        <x:f>IF(OR(D27="",D27=0),"",IFERROR(_xlfn.PERCENTILE.INC(_xlfn._xlws.FILTER('14_TIEMPOS_CRUDOS'!$D$5:$D$304,('14_TIEMPOS_CRUDOS'!$B$5:$B$304=$A27)*('14_TIEMPOS_CRUDOS'!$C$5:$C$304=$B27)*('14_TIEMPOS_CRUDOS'!$H$5:$H$304="VÁLIDO")),0.99),""))</x:f>
      </x:c>
      <x:c r="G27" s="22" t="str">
        <x:f>IF(D27="","","ms")</x:f>
      </x:c>
      <x:c r="H27" s="20"/>
      <x:c r="I27" s="20"/>
      <x:c r="J27" s="22" t="str">
        <x:f>IF(OR(D27="",D27=0),"SIN DATOS","REVISAR SUFICIENCIA / PRECISIÓN DEL n; NO HAY MÍNIMO APROBADO")</x:f>
        <x:v>SIN DATOS</x:v>
      </x:c>
      <x:c r="K27" s="22" t="str">
        <x:f>IF(D27&gt;0,"Ver evidencia individual de 14_TIEMPOS_CRUDOS","")</x:f>
      </x:c>
      <x:c r="L27" s="22" t="str">
        <x:f>IF(OR(A27="",B27=""),"SIN DATOS",IF(C27="","SIN DATOS",IF(OR(D27=0,H27="",I27="",E27="",F27=""),"INCOMPLETO",IF(F27&lt;E27,"REVISAR","VÁLIDO"))))</x:f>
        <x:v>SIN DATOS</x:v>
      </x:c>
      <x:c r="M27" s="22" t="str">
        <x:f>IF(L27&lt;&gt;"VÁLIDO","SIN DATOS",IF(OR('02_PARAMETROS'!$I$10&lt;&gt;"APROBADO",NOT(ISNUMBER('02_PARAMETROS'!$G$10)),'02_PARAMETROS'!$H$10=""),"PENDIENTE DE APROBACIÓN",IF(OR(AND('02_PARAMETROS'!$H$10="&gt;=",E27&gt;='02_PARAMETROS'!$G$10),AND('02_PARAMETROS'!$H$10="&lt;=",E27&lt;='02_PARAMETROS'!$G$10),AND('02_PARAMETROS'!$H$10="&gt;",E27&gt;'02_PARAMETROS'!$G$10),AND('02_PARAMETROS'!$H$10="&lt;",E27&lt;'02_PARAMETROS'!$G$10),AND('02_PARAMETROS'!$H$10="=",E27='02_PARAMETROS'!$G$10)),"CUMPLE","NO CUMPLE")))</x:f>
        <x:v>SIN DATOS</x:v>
      </x:c>
      <x:c r="N27" s="22" t="str">
        <x:f>IF(L27&lt;&gt;"VÁLIDO","SIN DATOS",IF(OR('02_PARAMETROS'!$I$11&lt;&gt;"APROBADO",NOT(ISNUMBER('02_PARAMETROS'!$G$11)),'02_PARAMETROS'!$H$11=""),"PENDIENTE DE APROBACIÓN",IF(OR(AND('02_PARAMETROS'!$H$11="&gt;=",F27&gt;='02_PARAMETROS'!$G$11),AND('02_PARAMETROS'!$H$11="&lt;=",F27&lt;='02_PARAMETROS'!$G$11),AND('02_PARAMETROS'!$H$11="&gt;",F27&gt;'02_PARAMETROS'!$G$11),AND('02_PARAMETROS'!$H$11="&lt;",F27&lt;'02_PARAMETROS'!$G$11),AND('02_PARAMETROS'!$H$11="=",F27='02_PARAMETROS'!$G$11)),"CUMPLE","NO CUMPLE")))</x:f>
        <x:v>SIN DATOS</x:v>
      </x:c>
    </x:row>
    <x:row r="28" ht="22" customHeight="1">
      <x:c r="A28" s="20"/>
      <x:c r="B28" s="20"/>
      <x:c r="C28" s="22" t="str">
        <x:f>IF(OR(A28="",B28=""),"",IF(COUNTIFS('14_TIEMPOS_CRUDOS'!$B$5:$B$304,$A28,'14_TIEMPOS_CRUDOS'!$C$5:$C$304,$B28)=0,"",COUNTIFS('14_TIEMPOS_CRUDOS'!$B$5:$B$304,$A28,'14_TIEMPOS_CRUDOS'!$C$5:$C$304,$B28)))</x:f>
      </x:c>
      <x:c r="D28" s="22" t="str">
        <x:f>IF(C28="","",COUNTIFS('14_TIEMPOS_CRUDOS'!$B$5:$B$304,$A28,'14_TIEMPOS_CRUDOS'!$C$5:$C$304,$B28,'14_TIEMPOS_CRUDOS'!$H$5:$H$304,"VÁLIDO"))</x:f>
      </x:c>
      <x:c r="E28" s="30" t="str">
        <x:f>IF(OR(D28="",D28=0),"",IFERROR(_xlfn.PERCENTILE.INC(_xlfn._xlws.FILTER('14_TIEMPOS_CRUDOS'!$D$5:$D$304,('14_TIEMPOS_CRUDOS'!$B$5:$B$304=$A28)*('14_TIEMPOS_CRUDOS'!$C$5:$C$304=$B28)*('14_TIEMPOS_CRUDOS'!$H$5:$H$304="VÁLIDO")),0.95),""))</x:f>
      </x:c>
      <x:c r="F28" s="30" t="str">
        <x:f>IF(OR(D28="",D28=0),"",IFERROR(_xlfn.PERCENTILE.INC(_xlfn._xlws.FILTER('14_TIEMPOS_CRUDOS'!$D$5:$D$304,('14_TIEMPOS_CRUDOS'!$B$5:$B$304=$A28)*('14_TIEMPOS_CRUDOS'!$C$5:$C$304=$B28)*('14_TIEMPOS_CRUDOS'!$H$5:$H$304="VÁLIDO")),0.99),""))</x:f>
      </x:c>
      <x:c r="G28" s="22" t="str">
        <x:f>IF(D28="","","ms")</x:f>
      </x:c>
      <x:c r="H28" s="20"/>
      <x:c r="I28" s="20"/>
      <x:c r="J28" s="22" t="str">
        <x:f>IF(OR(D28="",D28=0),"SIN DATOS","REVISAR SUFICIENCIA / PRECISIÓN DEL n; NO HAY MÍNIMO APROBADO")</x:f>
        <x:v>SIN DATOS</x:v>
      </x:c>
      <x:c r="K28" s="22" t="str">
        <x:f>IF(D28&gt;0,"Ver evidencia individual de 14_TIEMPOS_CRUDOS","")</x:f>
      </x:c>
      <x:c r="L28" s="22" t="str">
        <x:f>IF(OR(A28="",B28=""),"SIN DATOS",IF(C28="","SIN DATOS",IF(OR(D28=0,H28="",I28="",E28="",F28=""),"INCOMPLETO",IF(F28&lt;E28,"REVISAR","VÁLIDO"))))</x:f>
        <x:v>SIN DATOS</x:v>
      </x:c>
      <x:c r="M28" s="22" t="str">
        <x:f>IF(L28&lt;&gt;"VÁLIDO","SIN DATOS",IF(OR('02_PARAMETROS'!$I$10&lt;&gt;"APROBADO",NOT(ISNUMBER('02_PARAMETROS'!$G$10)),'02_PARAMETROS'!$H$10=""),"PENDIENTE DE APROBACIÓN",IF(OR(AND('02_PARAMETROS'!$H$10="&gt;=",E28&gt;='02_PARAMETROS'!$G$10),AND('02_PARAMETROS'!$H$10="&lt;=",E28&lt;='02_PARAMETROS'!$G$10),AND('02_PARAMETROS'!$H$10="&gt;",E28&gt;'02_PARAMETROS'!$G$10),AND('02_PARAMETROS'!$H$10="&lt;",E28&lt;'02_PARAMETROS'!$G$10),AND('02_PARAMETROS'!$H$10="=",E28='02_PARAMETROS'!$G$10)),"CUMPLE","NO CUMPLE")))</x:f>
        <x:v>SIN DATOS</x:v>
      </x:c>
      <x:c r="N28" s="22" t="str">
        <x:f>IF(L28&lt;&gt;"VÁLIDO","SIN DATOS",IF(OR('02_PARAMETROS'!$I$11&lt;&gt;"APROBADO",NOT(ISNUMBER('02_PARAMETROS'!$G$11)),'02_PARAMETROS'!$H$11=""),"PENDIENTE DE APROBACIÓN",IF(OR(AND('02_PARAMETROS'!$H$11="&gt;=",F28&gt;='02_PARAMETROS'!$G$11),AND('02_PARAMETROS'!$H$11="&lt;=",F28&lt;='02_PARAMETROS'!$G$11),AND('02_PARAMETROS'!$H$11="&gt;",F28&gt;'02_PARAMETROS'!$G$11),AND('02_PARAMETROS'!$H$11="&lt;",F28&lt;'02_PARAMETROS'!$G$11),AND('02_PARAMETROS'!$H$11="=",F28='02_PARAMETROS'!$G$11)),"CUMPLE","NO CUMPLE")))</x:f>
        <x:v>SIN DATOS</x:v>
      </x:c>
    </x:row>
    <x:row r="29" ht="22" customHeight="1">
      <x:c r="A29" s="20"/>
      <x:c r="B29" s="20"/>
      <x:c r="C29" s="22" t="str">
        <x:f>IF(OR(A29="",B29=""),"",IF(COUNTIFS('14_TIEMPOS_CRUDOS'!$B$5:$B$304,$A29,'14_TIEMPOS_CRUDOS'!$C$5:$C$304,$B29)=0,"",COUNTIFS('14_TIEMPOS_CRUDOS'!$B$5:$B$304,$A29,'14_TIEMPOS_CRUDOS'!$C$5:$C$304,$B29)))</x:f>
      </x:c>
      <x:c r="D29" s="22" t="str">
        <x:f>IF(C29="","",COUNTIFS('14_TIEMPOS_CRUDOS'!$B$5:$B$304,$A29,'14_TIEMPOS_CRUDOS'!$C$5:$C$304,$B29,'14_TIEMPOS_CRUDOS'!$H$5:$H$304,"VÁLIDO"))</x:f>
      </x:c>
      <x:c r="E29" s="30" t="str">
        <x:f>IF(OR(D29="",D29=0),"",IFERROR(_xlfn.PERCENTILE.INC(_xlfn._xlws.FILTER('14_TIEMPOS_CRUDOS'!$D$5:$D$304,('14_TIEMPOS_CRUDOS'!$B$5:$B$304=$A29)*('14_TIEMPOS_CRUDOS'!$C$5:$C$304=$B29)*('14_TIEMPOS_CRUDOS'!$H$5:$H$304="VÁLIDO")),0.95),""))</x:f>
      </x:c>
      <x:c r="F29" s="30" t="str">
        <x:f>IF(OR(D29="",D29=0),"",IFERROR(_xlfn.PERCENTILE.INC(_xlfn._xlws.FILTER('14_TIEMPOS_CRUDOS'!$D$5:$D$304,('14_TIEMPOS_CRUDOS'!$B$5:$B$304=$A29)*('14_TIEMPOS_CRUDOS'!$C$5:$C$304=$B29)*('14_TIEMPOS_CRUDOS'!$H$5:$H$304="VÁLIDO")),0.99),""))</x:f>
      </x:c>
      <x:c r="G29" s="22" t="str">
        <x:f>IF(D29="","","ms")</x:f>
      </x:c>
      <x:c r="H29" s="20"/>
      <x:c r="I29" s="20"/>
      <x:c r="J29" s="22" t="str">
        <x:f>IF(OR(D29="",D29=0),"SIN DATOS","REVISAR SUFICIENCIA / PRECISIÓN DEL n; NO HAY MÍNIMO APROBADO")</x:f>
        <x:v>SIN DATOS</x:v>
      </x:c>
      <x:c r="K29" s="22" t="str">
        <x:f>IF(D29&gt;0,"Ver evidencia individual de 14_TIEMPOS_CRUDOS","")</x:f>
      </x:c>
      <x:c r="L29" s="22" t="str">
        <x:f>IF(OR(A29="",B29=""),"SIN DATOS",IF(C29="","SIN DATOS",IF(OR(D29=0,H29="",I29="",E29="",F29=""),"INCOMPLETO",IF(F29&lt;E29,"REVISAR","VÁLIDO"))))</x:f>
        <x:v>SIN DATOS</x:v>
      </x:c>
      <x:c r="M29" s="22" t="str">
        <x:f>IF(L29&lt;&gt;"VÁLIDO","SIN DATOS",IF(OR('02_PARAMETROS'!$I$10&lt;&gt;"APROBADO",NOT(ISNUMBER('02_PARAMETROS'!$G$10)),'02_PARAMETROS'!$H$10=""),"PENDIENTE DE APROBACIÓN",IF(OR(AND('02_PARAMETROS'!$H$10="&gt;=",E29&gt;='02_PARAMETROS'!$G$10),AND('02_PARAMETROS'!$H$10="&lt;=",E29&lt;='02_PARAMETROS'!$G$10),AND('02_PARAMETROS'!$H$10="&gt;",E29&gt;'02_PARAMETROS'!$G$10),AND('02_PARAMETROS'!$H$10="&lt;",E29&lt;'02_PARAMETROS'!$G$10),AND('02_PARAMETROS'!$H$10="=",E29='02_PARAMETROS'!$G$10)),"CUMPLE","NO CUMPLE")))</x:f>
        <x:v>SIN DATOS</x:v>
      </x:c>
      <x:c r="N29" s="22" t="str">
        <x:f>IF(L29&lt;&gt;"VÁLIDO","SIN DATOS",IF(OR('02_PARAMETROS'!$I$11&lt;&gt;"APROBADO",NOT(ISNUMBER('02_PARAMETROS'!$G$11)),'02_PARAMETROS'!$H$11=""),"PENDIENTE DE APROBACIÓN",IF(OR(AND('02_PARAMETROS'!$H$11="&gt;=",F29&gt;='02_PARAMETROS'!$G$11),AND('02_PARAMETROS'!$H$11="&lt;=",F29&lt;='02_PARAMETROS'!$G$11),AND('02_PARAMETROS'!$H$11="&gt;",F29&gt;'02_PARAMETROS'!$G$11),AND('02_PARAMETROS'!$H$11="&lt;",F29&lt;'02_PARAMETROS'!$G$11),AND('02_PARAMETROS'!$H$11="=",F29='02_PARAMETROS'!$G$11)),"CUMPLE","NO CUMPLE")))</x:f>
        <x:v>SIN DATOS</x:v>
      </x:c>
    </x:row>
    <x:row r="30" ht="22" customHeight="1">
      <x:c r="A30" s="20"/>
      <x:c r="B30" s="20"/>
      <x:c r="C30" s="22" t="str">
        <x:f>IF(OR(A30="",B30=""),"",IF(COUNTIFS('14_TIEMPOS_CRUDOS'!$B$5:$B$304,$A30,'14_TIEMPOS_CRUDOS'!$C$5:$C$304,$B30)=0,"",COUNTIFS('14_TIEMPOS_CRUDOS'!$B$5:$B$304,$A30,'14_TIEMPOS_CRUDOS'!$C$5:$C$304,$B30)))</x:f>
      </x:c>
      <x:c r="D30" s="22" t="str">
        <x:f>IF(C30="","",COUNTIFS('14_TIEMPOS_CRUDOS'!$B$5:$B$304,$A30,'14_TIEMPOS_CRUDOS'!$C$5:$C$304,$B30,'14_TIEMPOS_CRUDOS'!$H$5:$H$304,"VÁLIDO"))</x:f>
      </x:c>
      <x:c r="E30" s="30" t="str">
        <x:f>IF(OR(D30="",D30=0),"",IFERROR(_xlfn.PERCENTILE.INC(_xlfn._xlws.FILTER('14_TIEMPOS_CRUDOS'!$D$5:$D$304,('14_TIEMPOS_CRUDOS'!$B$5:$B$304=$A30)*('14_TIEMPOS_CRUDOS'!$C$5:$C$304=$B30)*('14_TIEMPOS_CRUDOS'!$H$5:$H$304="VÁLIDO")),0.95),""))</x:f>
      </x:c>
      <x:c r="F30" s="30" t="str">
        <x:f>IF(OR(D30="",D30=0),"",IFERROR(_xlfn.PERCENTILE.INC(_xlfn._xlws.FILTER('14_TIEMPOS_CRUDOS'!$D$5:$D$304,('14_TIEMPOS_CRUDOS'!$B$5:$B$304=$A30)*('14_TIEMPOS_CRUDOS'!$C$5:$C$304=$B30)*('14_TIEMPOS_CRUDOS'!$H$5:$H$304="VÁLIDO")),0.99),""))</x:f>
      </x:c>
      <x:c r="G30" s="22" t="str">
        <x:f>IF(D30="","","ms")</x:f>
      </x:c>
      <x:c r="H30" s="20"/>
      <x:c r="I30" s="20"/>
      <x:c r="J30" s="22" t="str">
        <x:f>IF(OR(D30="",D30=0),"SIN DATOS","REVISAR SUFICIENCIA / PRECISIÓN DEL n; NO HAY MÍNIMO APROBADO")</x:f>
        <x:v>SIN DATOS</x:v>
      </x:c>
      <x:c r="K30" s="22" t="str">
        <x:f>IF(D30&gt;0,"Ver evidencia individual de 14_TIEMPOS_CRUDOS","")</x:f>
      </x:c>
      <x:c r="L30" s="22" t="str">
        <x:f>IF(OR(A30="",B30=""),"SIN DATOS",IF(C30="","SIN DATOS",IF(OR(D30=0,H30="",I30="",E30="",F30=""),"INCOMPLETO",IF(F30&lt;E30,"REVISAR","VÁLIDO"))))</x:f>
        <x:v>SIN DATOS</x:v>
      </x:c>
      <x:c r="M30" s="22" t="str">
        <x:f>IF(L30&lt;&gt;"VÁLIDO","SIN DATOS",IF(OR('02_PARAMETROS'!$I$10&lt;&gt;"APROBADO",NOT(ISNUMBER('02_PARAMETROS'!$G$10)),'02_PARAMETROS'!$H$10=""),"PENDIENTE DE APROBACIÓN",IF(OR(AND('02_PARAMETROS'!$H$10="&gt;=",E30&gt;='02_PARAMETROS'!$G$10),AND('02_PARAMETROS'!$H$10="&lt;=",E30&lt;='02_PARAMETROS'!$G$10),AND('02_PARAMETROS'!$H$10="&gt;",E30&gt;'02_PARAMETROS'!$G$10),AND('02_PARAMETROS'!$H$10="&lt;",E30&lt;'02_PARAMETROS'!$G$10),AND('02_PARAMETROS'!$H$10="=",E30='02_PARAMETROS'!$G$10)),"CUMPLE","NO CUMPLE")))</x:f>
        <x:v>SIN DATOS</x:v>
      </x:c>
      <x:c r="N30" s="22" t="str">
        <x:f>IF(L30&lt;&gt;"VÁLIDO","SIN DATOS",IF(OR('02_PARAMETROS'!$I$11&lt;&gt;"APROBADO",NOT(ISNUMBER('02_PARAMETROS'!$G$11)),'02_PARAMETROS'!$H$11=""),"PENDIENTE DE APROBACIÓN",IF(OR(AND('02_PARAMETROS'!$H$11="&gt;=",F30&gt;='02_PARAMETROS'!$G$11),AND('02_PARAMETROS'!$H$11="&lt;=",F30&lt;='02_PARAMETROS'!$G$11),AND('02_PARAMETROS'!$H$11="&gt;",F30&gt;'02_PARAMETROS'!$G$11),AND('02_PARAMETROS'!$H$11="&lt;",F30&lt;'02_PARAMETROS'!$G$11),AND('02_PARAMETROS'!$H$11="=",F30='02_PARAMETROS'!$G$11)),"CUMPLE","NO CUMPLE")))</x:f>
        <x:v>SIN DATOS</x:v>
      </x:c>
    </x:row>
    <x:row r="31">
      <x:c r="A31" s="20"/>
      <x:c r="B31" s="20"/>
      <x:c r="C31" s="22" t="str">
        <x:f>IF(OR(A31="",B31=""),"",IF(COUNTIFS('14_TIEMPOS_CRUDOS'!$B$5:$B$304,$A31,'14_TIEMPOS_CRUDOS'!$C$5:$C$304,$B31)=0,"",COUNTIFS('14_TIEMPOS_CRUDOS'!$B$5:$B$304,$A31,'14_TIEMPOS_CRUDOS'!$C$5:$C$304,$B31)))</x:f>
      </x:c>
      <x:c r="D31" s="22" t="str">
        <x:f>IF(C31="","",COUNTIFS('14_TIEMPOS_CRUDOS'!$B$5:$B$304,$A31,'14_TIEMPOS_CRUDOS'!$C$5:$C$304,$B31,'14_TIEMPOS_CRUDOS'!$H$5:$H$304,"VÁLIDO"))</x:f>
      </x:c>
      <x:c r="E31" s="30" t="str">
        <x:f>IF(OR(D31="",D31=0),"",IFERROR(_xlfn.PERCENTILE.INC(_xlfn._xlws.FILTER('14_TIEMPOS_CRUDOS'!$D$5:$D$304,('14_TIEMPOS_CRUDOS'!$B$5:$B$304=$A31)*('14_TIEMPOS_CRUDOS'!$C$5:$C$304=$B31)*('14_TIEMPOS_CRUDOS'!$H$5:$H$304="VÁLIDO")),0.95),""))</x:f>
      </x:c>
      <x:c r="F31" s="30" t="str">
        <x:f>IF(OR(D31="",D31=0),"",IFERROR(_xlfn.PERCENTILE.INC(_xlfn._xlws.FILTER('14_TIEMPOS_CRUDOS'!$D$5:$D$304,('14_TIEMPOS_CRUDOS'!$B$5:$B$304=$A31)*('14_TIEMPOS_CRUDOS'!$C$5:$C$304=$B31)*('14_TIEMPOS_CRUDOS'!$H$5:$H$304="VÁLIDO")),0.99),""))</x:f>
      </x:c>
      <x:c r="G31" s="22" t="str">
        <x:f>IF(D31="","","ms")</x:f>
      </x:c>
      <x:c r="H31" s="20"/>
      <x:c r="I31" s="20"/>
      <x:c r="J31" s="22" t="str">
        <x:f>IF(OR(D31="",D31=0),"SIN DATOS","REVISAR SUFICIENCIA / PRECISIÓN DEL n; NO HAY MÍNIMO APROBADO")</x:f>
        <x:v>SIN DATOS</x:v>
      </x:c>
      <x:c r="K31" s="22" t="str">
        <x:f>IF(D31&gt;0,"Ver evidencia individual de 14_TIEMPOS_CRUDOS","")</x:f>
      </x:c>
      <x:c r="L31" s="22" t="str">
        <x:f>IF(OR(A31="",B31=""),"SIN DATOS",IF(C31="","SIN DATOS",IF(OR(D31=0,H31="",I31="",E31="",F31=""),"INCOMPLETO",IF(F31&lt;E31,"REVISAR","VÁLIDO"))))</x:f>
        <x:v>SIN DATOS</x:v>
      </x:c>
      <x:c r="M31" s="22" t="str">
        <x:f>IF(L31&lt;&gt;"VÁLIDO","SIN DATOS",IF(OR('02_PARAMETROS'!$I$10&lt;&gt;"APROBADO",NOT(ISNUMBER('02_PARAMETROS'!$G$10)),'02_PARAMETROS'!$H$10=""),"PENDIENTE DE APROBACIÓN",IF(OR(AND('02_PARAMETROS'!$H$10="&gt;=",E31&gt;='02_PARAMETROS'!$G$10),AND('02_PARAMETROS'!$H$10="&lt;=",E31&lt;='02_PARAMETROS'!$G$10),AND('02_PARAMETROS'!$H$10="&gt;",E31&gt;'02_PARAMETROS'!$G$10),AND('02_PARAMETROS'!$H$10="&lt;",E31&lt;'02_PARAMETROS'!$G$10),AND('02_PARAMETROS'!$H$10="=",E31='02_PARAMETROS'!$G$10)),"CUMPLE","NO CUMPLE")))</x:f>
        <x:v>SIN DATOS</x:v>
      </x:c>
      <x:c r="N31" s="22" t="str">
        <x:f>IF(L31&lt;&gt;"VÁLIDO","SIN DATOS",IF(OR('02_PARAMETROS'!$I$11&lt;&gt;"APROBADO",NOT(ISNUMBER('02_PARAMETROS'!$G$11)),'02_PARAMETROS'!$H$11=""),"PENDIENTE DE APROBACIÓN",IF(OR(AND('02_PARAMETROS'!$H$11="&gt;=",F31&gt;='02_PARAMETROS'!$G$11),AND('02_PARAMETROS'!$H$11="&lt;=",F31&lt;='02_PARAMETROS'!$G$11),AND('02_PARAMETROS'!$H$11="&gt;",F31&gt;'02_PARAMETROS'!$G$11),AND('02_PARAMETROS'!$H$11="&lt;",F31&lt;'02_PARAMETROS'!$G$11),AND('02_PARAMETROS'!$H$11="=",F31='02_PARAMETROS'!$G$11)),"CUMPLE","NO CUMPLE")))</x:f>
        <x:v>SIN DATOS</x:v>
      </x:c>
    </x:row>
    <x:row r="32">
      <x:c r="A32" s="20"/>
      <x:c r="B32" s="20"/>
      <x:c r="C32" s="22" t="str">
        <x:f>IF(OR(A32="",B32=""),"",IF(COUNTIFS('14_TIEMPOS_CRUDOS'!$B$5:$B$304,$A32,'14_TIEMPOS_CRUDOS'!$C$5:$C$304,$B32)=0,"",COUNTIFS('14_TIEMPOS_CRUDOS'!$B$5:$B$304,$A32,'14_TIEMPOS_CRUDOS'!$C$5:$C$304,$B32)))</x:f>
      </x:c>
      <x:c r="D32" s="22" t="str">
        <x:f>IF(C32="","",COUNTIFS('14_TIEMPOS_CRUDOS'!$B$5:$B$304,$A32,'14_TIEMPOS_CRUDOS'!$C$5:$C$304,$B32,'14_TIEMPOS_CRUDOS'!$H$5:$H$304,"VÁLIDO"))</x:f>
      </x:c>
      <x:c r="E32" s="30" t="str">
        <x:f>IF(OR(D32="",D32=0),"",IFERROR(_xlfn.PERCENTILE.INC(_xlfn._xlws.FILTER('14_TIEMPOS_CRUDOS'!$D$5:$D$304,('14_TIEMPOS_CRUDOS'!$B$5:$B$304=$A32)*('14_TIEMPOS_CRUDOS'!$C$5:$C$304=$B32)*('14_TIEMPOS_CRUDOS'!$H$5:$H$304="VÁLIDO")),0.95),""))</x:f>
      </x:c>
      <x:c r="F32" s="30" t="str">
        <x:f>IF(OR(D32="",D32=0),"",IFERROR(_xlfn.PERCENTILE.INC(_xlfn._xlws.FILTER('14_TIEMPOS_CRUDOS'!$D$5:$D$304,('14_TIEMPOS_CRUDOS'!$B$5:$B$304=$A32)*('14_TIEMPOS_CRUDOS'!$C$5:$C$304=$B32)*('14_TIEMPOS_CRUDOS'!$H$5:$H$304="VÁLIDO")),0.99),""))</x:f>
      </x:c>
      <x:c r="G32" s="22" t="str">
        <x:f>IF(D32="","","ms")</x:f>
      </x:c>
      <x:c r="H32" s="20"/>
      <x:c r="I32" s="20"/>
      <x:c r="J32" s="22" t="str">
        <x:f>IF(OR(D32="",D32=0),"SIN DATOS","REVISAR SUFICIENCIA / PRECISIÓN DEL n; NO HAY MÍNIMO APROBADO")</x:f>
        <x:v>SIN DATOS</x:v>
      </x:c>
      <x:c r="K32" s="22" t="str">
        <x:f>IF(D32&gt;0,"Ver evidencia individual de 14_TIEMPOS_CRUDOS","")</x:f>
      </x:c>
      <x:c r="L32" s="22" t="str">
        <x:f>IF(OR(A32="",B32=""),"SIN DATOS",IF(C32="","SIN DATOS",IF(OR(D32=0,H32="",I32="",E32="",F32=""),"INCOMPLETO",IF(F32&lt;E32,"REVISAR","VÁLIDO"))))</x:f>
        <x:v>SIN DATOS</x:v>
      </x:c>
      <x:c r="M32" s="22" t="str">
        <x:f>IF(L32&lt;&gt;"VÁLIDO","SIN DATOS",IF(OR('02_PARAMETROS'!$I$10&lt;&gt;"APROBADO",NOT(ISNUMBER('02_PARAMETROS'!$G$10)),'02_PARAMETROS'!$H$10=""),"PENDIENTE DE APROBACIÓN",IF(OR(AND('02_PARAMETROS'!$H$10="&gt;=",E32&gt;='02_PARAMETROS'!$G$10),AND('02_PARAMETROS'!$H$10="&lt;=",E32&lt;='02_PARAMETROS'!$G$10),AND('02_PARAMETROS'!$H$10="&gt;",E32&gt;'02_PARAMETROS'!$G$10),AND('02_PARAMETROS'!$H$10="&lt;",E32&lt;'02_PARAMETROS'!$G$10),AND('02_PARAMETROS'!$H$10="=",E32='02_PARAMETROS'!$G$10)),"CUMPLE","NO CUMPLE")))</x:f>
        <x:v>SIN DATOS</x:v>
      </x:c>
      <x:c r="N32" s="22" t="str">
        <x:f>IF(L32&lt;&gt;"VÁLIDO","SIN DATOS",IF(OR('02_PARAMETROS'!$I$11&lt;&gt;"APROBADO",NOT(ISNUMBER('02_PARAMETROS'!$G$11)),'02_PARAMETROS'!$H$11=""),"PENDIENTE DE APROBACIÓN",IF(OR(AND('02_PARAMETROS'!$H$11="&gt;=",F32&gt;='02_PARAMETROS'!$G$11),AND('02_PARAMETROS'!$H$11="&lt;=",F32&lt;='02_PARAMETROS'!$G$11),AND('02_PARAMETROS'!$H$11="&gt;",F32&gt;'02_PARAMETROS'!$G$11),AND('02_PARAMETROS'!$H$11="&lt;",F32&lt;'02_PARAMETROS'!$G$11),AND('02_PARAMETROS'!$H$11="=",F32='02_PARAMETROS'!$G$11)),"CUMPLE","NO CUMPLE")))</x:f>
        <x:v>SIN DATOS</x:v>
      </x:c>
    </x:row>
    <x:row r="33">
      <x:c r="A33" s="20"/>
      <x:c r="B33" s="20"/>
      <x:c r="C33" s="22" t="str">
        <x:f>IF(OR(A33="",B33=""),"",IF(COUNTIFS('14_TIEMPOS_CRUDOS'!$B$5:$B$304,$A33,'14_TIEMPOS_CRUDOS'!$C$5:$C$304,$B33)=0,"",COUNTIFS('14_TIEMPOS_CRUDOS'!$B$5:$B$304,$A33,'14_TIEMPOS_CRUDOS'!$C$5:$C$304,$B33)))</x:f>
      </x:c>
      <x:c r="D33" s="22" t="str">
        <x:f>IF(C33="","",COUNTIFS('14_TIEMPOS_CRUDOS'!$B$5:$B$304,$A33,'14_TIEMPOS_CRUDOS'!$C$5:$C$304,$B33,'14_TIEMPOS_CRUDOS'!$H$5:$H$304,"VÁLIDO"))</x:f>
      </x:c>
      <x:c r="E33" s="30" t="str">
        <x:f>IF(OR(D33="",D33=0),"",IFERROR(_xlfn.PERCENTILE.INC(_xlfn._xlws.FILTER('14_TIEMPOS_CRUDOS'!$D$5:$D$304,('14_TIEMPOS_CRUDOS'!$B$5:$B$304=$A33)*('14_TIEMPOS_CRUDOS'!$C$5:$C$304=$B33)*('14_TIEMPOS_CRUDOS'!$H$5:$H$304="VÁLIDO")),0.95),""))</x:f>
      </x:c>
      <x:c r="F33" s="30" t="str">
        <x:f>IF(OR(D33="",D33=0),"",IFERROR(_xlfn.PERCENTILE.INC(_xlfn._xlws.FILTER('14_TIEMPOS_CRUDOS'!$D$5:$D$304,('14_TIEMPOS_CRUDOS'!$B$5:$B$304=$A33)*('14_TIEMPOS_CRUDOS'!$C$5:$C$304=$B33)*('14_TIEMPOS_CRUDOS'!$H$5:$H$304="VÁLIDO")),0.99),""))</x:f>
      </x:c>
      <x:c r="G33" s="22" t="str">
        <x:f>IF(D33="","","ms")</x:f>
      </x:c>
      <x:c r="H33" s="20"/>
      <x:c r="I33" s="20"/>
      <x:c r="J33" s="22" t="str">
        <x:f>IF(OR(D33="",D33=0),"SIN DATOS","REVISAR SUFICIENCIA / PRECISIÓN DEL n; NO HAY MÍNIMO APROBADO")</x:f>
        <x:v>SIN DATOS</x:v>
      </x:c>
      <x:c r="K33" s="22" t="str">
        <x:f>IF(D33&gt;0,"Ver evidencia individual de 14_TIEMPOS_CRUDOS","")</x:f>
      </x:c>
      <x:c r="L33" s="22" t="str">
        <x:f>IF(OR(A33="",B33=""),"SIN DATOS",IF(C33="","SIN DATOS",IF(OR(D33=0,H33="",I33="",E33="",F33=""),"INCOMPLETO",IF(F33&lt;E33,"REVISAR","VÁLIDO"))))</x:f>
        <x:v>SIN DATOS</x:v>
      </x:c>
      <x:c r="M33" s="22" t="str">
        <x:f>IF(L33&lt;&gt;"VÁLIDO","SIN DATOS",IF(OR('02_PARAMETROS'!$I$10&lt;&gt;"APROBADO",NOT(ISNUMBER('02_PARAMETROS'!$G$10)),'02_PARAMETROS'!$H$10=""),"PENDIENTE DE APROBACIÓN",IF(OR(AND('02_PARAMETROS'!$H$10="&gt;=",E33&gt;='02_PARAMETROS'!$G$10),AND('02_PARAMETROS'!$H$10="&lt;=",E33&lt;='02_PARAMETROS'!$G$10),AND('02_PARAMETROS'!$H$10="&gt;",E33&gt;'02_PARAMETROS'!$G$10),AND('02_PARAMETROS'!$H$10="&lt;",E33&lt;'02_PARAMETROS'!$G$10),AND('02_PARAMETROS'!$H$10="=",E33='02_PARAMETROS'!$G$10)),"CUMPLE","NO CUMPLE")))</x:f>
        <x:v>SIN DATOS</x:v>
      </x:c>
      <x:c r="N33" s="22" t="str">
        <x:f>IF(L33&lt;&gt;"VÁLIDO","SIN DATOS",IF(OR('02_PARAMETROS'!$I$11&lt;&gt;"APROBADO",NOT(ISNUMBER('02_PARAMETROS'!$G$11)),'02_PARAMETROS'!$H$11=""),"PENDIENTE DE APROBACIÓN",IF(OR(AND('02_PARAMETROS'!$H$11="&gt;=",F33&gt;='02_PARAMETROS'!$G$11),AND('02_PARAMETROS'!$H$11="&lt;=",F33&lt;='02_PARAMETROS'!$G$11),AND('02_PARAMETROS'!$H$11="&gt;",F33&gt;'02_PARAMETROS'!$G$11),AND('02_PARAMETROS'!$H$11="&lt;",F33&lt;'02_PARAMETROS'!$G$11),AND('02_PARAMETROS'!$H$11="=",F33='02_PARAMETROS'!$G$11)),"CUMPLE","NO CUMPLE")))</x:f>
        <x:v>SIN DATOS</x:v>
      </x:c>
    </x:row>
    <x:row r="34">
      <x:c r="A34" s="20"/>
      <x:c r="B34" s="20"/>
      <x:c r="C34" s="22" t="str">
        <x:f>IF(OR(A34="",B34=""),"",IF(COUNTIFS('14_TIEMPOS_CRUDOS'!$B$5:$B$304,$A34,'14_TIEMPOS_CRUDOS'!$C$5:$C$304,$B34)=0,"",COUNTIFS('14_TIEMPOS_CRUDOS'!$B$5:$B$304,$A34,'14_TIEMPOS_CRUDOS'!$C$5:$C$304,$B34)))</x:f>
      </x:c>
      <x:c r="D34" s="22" t="str">
        <x:f>IF(C34="","",COUNTIFS('14_TIEMPOS_CRUDOS'!$B$5:$B$304,$A34,'14_TIEMPOS_CRUDOS'!$C$5:$C$304,$B34,'14_TIEMPOS_CRUDOS'!$H$5:$H$304,"VÁLIDO"))</x:f>
      </x:c>
      <x:c r="E34" s="30" t="str">
        <x:f>IF(OR(D34="",D34=0),"",IFERROR(_xlfn.PERCENTILE.INC(_xlfn._xlws.FILTER('14_TIEMPOS_CRUDOS'!$D$5:$D$304,('14_TIEMPOS_CRUDOS'!$B$5:$B$304=$A34)*('14_TIEMPOS_CRUDOS'!$C$5:$C$304=$B34)*('14_TIEMPOS_CRUDOS'!$H$5:$H$304="VÁLIDO")),0.95),""))</x:f>
      </x:c>
      <x:c r="F34" s="30" t="str">
        <x:f>IF(OR(D34="",D34=0),"",IFERROR(_xlfn.PERCENTILE.INC(_xlfn._xlws.FILTER('14_TIEMPOS_CRUDOS'!$D$5:$D$304,('14_TIEMPOS_CRUDOS'!$B$5:$B$304=$A34)*('14_TIEMPOS_CRUDOS'!$C$5:$C$304=$B34)*('14_TIEMPOS_CRUDOS'!$H$5:$H$304="VÁLIDO")),0.99),""))</x:f>
      </x:c>
      <x:c r="G34" s="22" t="str">
        <x:f>IF(D34="","","ms")</x:f>
      </x:c>
      <x:c r="H34" s="20"/>
      <x:c r="I34" s="20"/>
      <x:c r="J34" s="22" t="str">
        <x:f>IF(OR(D34="",D34=0),"SIN DATOS","REVISAR SUFICIENCIA / PRECISIÓN DEL n; NO HAY MÍNIMO APROBADO")</x:f>
        <x:v>SIN DATOS</x:v>
      </x:c>
      <x:c r="K34" s="22" t="str">
        <x:f>IF(D34&gt;0,"Ver evidencia individual de 14_TIEMPOS_CRUDOS","")</x:f>
      </x:c>
      <x:c r="L34" s="22" t="str">
        <x:f>IF(OR(A34="",B34=""),"SIN DATOS",IF(C34="","SIN DATOS",IF(OR(D34=0,H34="",I34="",E34="",F34=""),"INCOMPLETO",IF(F34&lt;E34,"REVISAR","VÁLIDO"))))</x:f>
        <x:v>SIN DATOS</x:v>
      </x:c>
      <x:c r="M34" s="22" t="str">
        <x:f>IF(L34&lt;&gt;"VÁLIDO","SIN DATOS",IF(OR('02_PARAMETROS'!$I$10&lt;&gt;"APROBADO",NOT(ISNUMBER('02_PARAMETROS'!$G$10)),'02_PARAMETROS'!$H$10=""),"PENDIENTE DE APROBACIÓN",IF(OR(AND('02_PARAMETROS'!$H$10="&gt;=",E34&gt;='02_PARAMETROS'!$G$10),AND('02_PARAMETROS'!$H$10="&lt;=",E34&lt;='02_PARAMETROS'!$G$10),AND('02_PARAMETROS'!$H$10="&gt;",E34&gt;'02_PARAMETROS'!$G$10),AND('02_PARAMETROS'!$H$10="&lt;",E34&lt;'02_PARAMETROS'!$G$10),AND('02_PARAMETROS'!$H$10="=",E34='02_PARAMETROS'!$G$10)),"CUMPLE","NO CUMPLE")))</x:f>
        <x:v>SIN DATOS</x:v>
      </x:c>
      <x:c r="N34" s="22" t="str">
        <x:f>IF(L34&lt;&gt;"VÁLIDO","SIN DATOS",IF(OR('02_PARAMETROS'!$I$11&lt;&gt;"APROBADO",NOT(ISNUMBER('02_PARAMETROS'!$G$11)),'02_PARAMETROS'!$H$11=""),"PENDIENTE DE APROBACIÓN",IF(OR(AND('02_PARAMETROS'!$H$11="&gt;=",F34&gt;='02_PARAMETROS'!$G$11),AND('02_PARAMETROS'!$H$11="&lt;=",F34&lt;='02_PARAMETROS'!$G$11),AND('02_PARAMETROS'!$H$11="&gt;",F34&gt;'02_PARAMETROS'!$G$11),AND('02_PARAMETROS'!$H$11="&lt;",F34&lt;'02_PARAMETROS'!$G$11),AND('02_PARAMETROS'!$H$11="=",F34='02_PARAMETROS'!$G$11)),"CUMPLE","NO CUMPLE")))</x:f>
        <x:v>SIN DATOS</x:v>
      </x:c>
    </x:row>
    <x:row r="35">
      <x:c r="A35" s="20"/>
      <x:c r="B35" s="20"/>
      <x:c r="C35" s="22" t="str">
        <x:f>IF(OR(A35="",B35=""),"",IF(COUNTIFS('14_TIEMPOS_CRUDOS'!$B$5:$B$304,$A35,'14_TIEMPOS_CRUDOS'!$C$5:$C$304,$B35)=0,"",COUNTIFS('14_TIEMPOS_CRUDOS'!$B$5:$B$304,$A35,'14_TIEMPOS_CRUDOS'!$C$5:$C$304,$B35)))</x:f>
      </x:c>
      <x:c r="D35" s="22" t="str">
        <x:f>IF(C35="","",COUNTIFS('14_TIEMPOS_CRUDOS'!$B$5:$B$304,$A35,'14_TIEMPOS_CRUDOS'!$C$5:$C$304,$B35,'14_TIEMPOS_CRUDOS'!$H$5:$H$304,"VÁLIDO"))</x:f>
      </x:c>
      <x:c r="E35" s="30" t="str">
        <x:f>IF(OR(D35="",D35=0),"",IFERROR(_xlfn.PERCENTILE.INC(_xlfn._xlws.FILTER('14_TIEMPOS_CRUDOS'!$D$5:$D$304,('14_TIEMPOS_CRUDOS'!$B$5:$B$304=$A35)*('14_TIEMPOS_CRUDOS'!$C$5:$C$304=$B35)*('14_TIEMPOS_CRUDOS'!$H$5:$H$304="VÁLIDO")),0.95),""))</x:f>
      </x:c>
      <x:c r="F35" s="30" t="str">
        <x:f>IF(OR(D35="",D35=0),"",IFERROR(_xlfn.PERCENTILE.INC(_xlfn._xlws.FILTER('14_TIEMPOS_CRUDOS'!$D$5:$D$304,('14_TIEMPOS_CRUDOS'!$B$5:$B$304=$A35)*('14_TIEMPOS_CRUDOS'!$C$5:$C$304=$B35)*('14_TIEMPOS_CRUDOS'!$H$5:$H$304="VÁLIDO")),0.99),""))</x:f>
      </x:c>
      <x:c r="G35" s="22" t="str">
        <x:f>IF(D35="","","ms")</x:f>
      </x:c>
      <x:c r="H35" s="20"/>
      <x:c r="I35" s="20"/>
      <x:c r="J35" s="22" t="str">
        <x:f>IF(OR(D35="",D35=0),"SIN DATOS","REVISAR SUFICIENCIA / PRECISIÓN DEL n; NO HAY MÍNIMO APROBADO")</x:f>
        <x:v>SIN DATOS</x:v>
      </x:c>
      <x:c r="K35" s="22" t="str">
        <x:f>IF(D35&gt;0,"Ver evidencia individual de 14_TIEMPOS_CRUDOS","")</x:f>
      </x:c>
      <x:c r="L35" s="22" t="str">
        <x:f>IF(OR(A35="",B35=""),"SIN DATOS",IF(C35="","SIN DATOS",IF(OR(D35=0,H35="",I35="",E35="",F35=""),"INCOMPLETO",IF(F35&lt;E35,"REVISAR","VÁLIDO"))))</x:f>
        <x:v>SIN DATOS</x:v>
      </x:c>
      <x:c r="M35" s="22" t="str">
        <x:f>IF(L35&lt;&gt;"VÁLIDO","SIN DATOS",IF(OR('02_PARAMETROS'!$I$10&lt;&gt;"APROBADO",NOT(ISNUMBER('02_PARAMETROS'!$G$10)),'02_PARAMETROS'!$H$10=""),"PENDIENTE DE APROBACIÓN",IF(OR(AND('02_PARAMETROS'!$H$10="&gt;=",E35&gt;='02_PARAMETROS'!$G$10),AND('02_PARAMETROS'!$H$10="&lt;=",E35&lt;='02_PARAMETROS'!$G$10),AND('02_PARAMETROS'!$H$10="&gt;",E35&gt;'02_PARAMETROS'!$G$10),AND('02_PARAMETROS'!$H$10="&lt;",E35&lt;'02_PARAMETROS'!$G$10),AND('02_PARAMETROS'!$H$10="=",E35='02_PARAMETROS'!$G$10)),"CUMPLE","NO CUMPLE")))</x:f>
        <x:v>SIN DATOS</x:v>
      </x:c>
      <x:c r="N35" s="22" t="str">
        <x:f>IF(L35&lt;&gt;"VÁLIDO","SIN DATOS",IF(OR('02_PARAMETROS'!$I$11&lt;&gt;"APROBADO",NOT(ISNUMBER('02_PARAMETROS'!$G$11)),'02_PARAMETROS'!$H$11=""),"PENDIENTE DE APROBACIÓN",IF(OR(AND('02_PARAMETROS'!$H$11="&gt;=",F35&gt;='02_PARAMETROS'!$G$11),AND('02_PARAMETROS'!$H$11="&lt;=",F35&lt;='02_PARAMETROS'!$G$11),AND('02_PARAMETROS'!$H$11="&gt;",F35&gt;'02_PARAMETROS'!$G$11),AND('02_PARAMETROS'!$H$11="&lt;",F35&lt;'02_PARAMETROS'!$G$11),AND('02_PARAMETROS'!$H$11="=",F35='02_PARAMETROS'!$G$11)),"CUMPLE","NO CUMPLE")))</x:f>
        <x:v>SIN DATOS</x:v>
      </x:c>
    </x:row>
    <x:row r="36">
      <x:c r="A36" s="20"/>
      <x:c r="B36" s="20"/>
      <x:c r="C36" s="22" t="str">
        <x:f>IF(OR(A36="",B36=""),"",IF(COUNTIFS('14_TIEMPOS_CRUDOS'!$B$5:$B$304,$A36,'14_TIEMPOS_CRUDOS'!$C$5:$C$304,$B36)=0,"",COUNTIFS('14_TIEMPOS_CRUDOS'!$B$5:$B$304,$A36,'14_TIEMPOS_CRUDOS'!$C$5:$C$304,$B36)))</x:f>
      </x:c>
      <x:c r="D36" s="22" t="str">
        <x:f>IF(C36="","",COUNTIFS('14_TIEMPOS_CRUDOS'!$B$5:$B$304,$A36,'14_TIEMPOS_CRUDOS'!$C$5:$C$304,$B36,'14_TIEMPOS_CRUDOS'!$H$5:$H$304,"VÁLIDO"))</x:f>
      </x:c>
      <x:c r="E36" s="30" t="str">
        <x:f>IF(OR(D36="",D36=0),"",IFERROR(_xlfn.PERCENTILE.INC(_xlfn._xlws.FILTER('14_TIEMPOS_CRUDOS'!$D$5:$D$304,('14_TIEMPOS_CRUDOS'!$B$5:$B$304=$A36)*('14_TIEMPOS_CRUDOS'!$C$5:$C$304=$B36)*('14_TIEMPOS_CRUDOS'!$H$5:$H$304="VÁLIDO")),0.95),""))</x:f>
      </x:c>
      <x:c r="F36" s="30" t="str">
        <x:f>IF(OR(D36="",D36=0),"",IFERROR(_xlfn.PERCENTILE.INC(_xlfn._xlws.FILTER('14_TIEMPOS_CRUDOS'!$D$5:$D$304,('14_TIEMPOS_CRUDOS'!$B$5:$B$304=$A36)*('14_TIEMPOS_CRUDOS'!$C$5:$C$304=$B36)*('14_TIEMPOS_CRUDOS'!$H$5:$H$304="VÁLIDO")),0.99),""))</x:f>
      </x:c>
      <x:c r="G36" s="22" t="str">
        <x:f>IF(D36="","","ms")</x:f>
      </x:c>
      <x:c r="H36" s="20"/>
      <x:c r="I36" s="20"/>
      <x:c r="J36" s="22" t="str">
        <x:f>IF(OR(D36="",D36=0),"SIN DATOS","REVISAR SUFICIENCIA / PRECISIÓN DEL n; NO HAY MÍNIMO APROBADO")</x:f>
        <x:v>SIN DATOS</x:v>
      </x:c>
      <x:c r="K36" s="22" t="str">
        <x:f>IF(D36&gt;0,"Ver evidencia individual de 14_TIEMPOS_CRUDOS","")</x:f>
      </x:c>
      <x:c r="L36" s="22" t="str">
        <x:f>IF(OR(A36="",B36=""),"SIN DATOS",IF(C36="","SIN DATOS",IF(OR(D36=0,H36="",I36="",E36="",F36=""),"INCOMPLETO",IF(F36&lt;E36,"REVISAR","VÁLIDO"))))</x:f>
        <x:v>SIN DATOS</x:v>
      </x:c>
      <x:c r="M36" s="22" t="str">
        <x:f>IF(L36&lt;&gt;"VÁLIDO","SIN DATOS",IF(OR('02_PARAMETROS'!$I$10&lt;&gt;"APROBADO",NOT(ISNUMBER('02_PARAMETROS'!$G$10)),'02_PARAMETROS'!$H$10=""),"PENDIENTE DE APROBACIÓN",IF(OR(AND('02_PARAMETROS'!$H$10="&gt;=",E36&gt;='02_PARAMETROS'!$G$10),AND('02_PARAMETROS'!$H$10="&lt;=",E36&lt;='02_PARAMETROS'!$G$10),AND('02_PARAMETROS'!$H$10="&gt;",E36&gt;'02_PARAMETROS'!$G$10),AND('02_PARAMETROS'!$H$10="&lt;",E36&lt;'02_PARAMETROS'!$G$10),AND('02_PARAMETROS'!$H$10="=",E36='02_PARAMETROS'!$G$10)),"CUMPLE","NO CUMPLE")))</x:f>
        <x:v>SIN DATOS</x:v>
      </x:c>
      <x:c r="N36" s="22" t="str">
        <x:f>IF(L36&lt;&gt;"VÁLIDO","SIN DATOS",IF(OR('02_PARAMETROS'!$I$11&lt;&gt;"APROBADO",NOT(ISNUMBER('02_PARAMETROS'!$G$11)),'02_PARAMETROS'!$H$11=""),"PENDIENTE DE APROBACIÓN",IF(OR(AND('02_PARAMETROS'!$H$11="&gt;=",F36&gt;='02_PARAMETROS'!$G$11),AND('02_PARAMETROS'!$H$11="&lt;=",F36&lt;='02_PARAMETROS'!$G$11),AND('02_PARAMETROS'!$H$11="&gt;",F36&gt;'02_PARAMETROS'!$G$11),AND('02_PARAMETROS'!$H$11="&lt;",F36&lt;'02_PARAMETROS'!$G$11),AND('02_PARAMETROS'!$H$11="=",F36='02_PARAMETROS'!$G$11)),"CUMPLE","NO CUMPLE")))</x:f>
        <x:v>SIN DATOS</x:v>
      </x:c>
    </x:row>
    <x:row r="37">
      <x:c r="A37" s="20"/>
      <x:c r="B37" s="20"/>
      <x:c r="C37" s="22" t="str">
        <x:f>IF(OR(A37="",B37=""),"",IF(COUNTIFS('14_TIEMPOS_CRUDOS'!$B$5:$B$304,$A37,'14_TIEMPOS_CRUDOS'!$C$5:$C$304,$B37)=0,"",COUNTIFS('14_TIEMPOS_CRUDOS'!$B$5:$B$304,$A37,'14_TIEMPOS_CRUDOS'!$C$5:$C$304,$B37)))</x:f>
      </x:c>
      <x:c r="D37" s="22" t="str">
        <x:f>IF(C37="","",COUNTIFS('14_TIEMPOS_CRUDOS'!$B$5:$B$304,$A37,'14_TIEMPOS_CRUDOS'!$C$5:$C$304,$B37,'14_TIEMPOS_CRUDOS'!$H$5:$H$304,"VÁLIDO"))</x:f>
      </x:c>
      <x:c r="E37" s="30" t="str">
        <x:f>IF(OR(D37="",D37=0),"",IFERROR(_xlfn.PERCENTILE.INC(_xlfn._xlws.FILTER('14_TIEMPOS_CRUDOS'!$D$5:$D$304,('14_TIEMPOS_CRUDOS'!$B$5:$B$304=$A37)*('14_TIEMPOS_CRUDOS'!$C$5:$C$304=$B37)*('14_TIEMPOS_CRUDOS'!$H$5:$H$304="VÁLIDO")),0.95),""))</x:f>
      </x:c>
      <x:c r="F37" s="30" t="str">
        <x:f>IF(OR(D37="",D37=0),"",IFERROR(_xlfn.PERCENTILE.INC(_xlfn._xlws.FILTER('14_TIEMPOS_CRUDOS'!$D$5:$D$304,('14_TIEMPOS_CRUDOS'!$B$5:$B$304=$A37)*('14_TIEMPOS_CRUDOS'!$C$5:$C$304=$B37)*('14_TIEMPOS_CRUDOS'!$H$5:$H$304="VÁLIDO")),0.99),""))</x:f>
      </x:c>
      <x:c r="G37" s="22" t="str">
        <x:f>IF(D37="","","ms")</x:f>
      </x:c>
      <x:c r="H37" s="20"/>
      <x:c r="I37" s="20"/>
      <x:c r="J37" s="22" t="str">
        <x:f>IF(OR(D37="",D37=0),"SIN DATOS","REVISAR SUFICIENCIA / PRECISIÓN DEL n; NO HAY MÍNIMO APROBADO")</x:f>
        <x:v>SIN DATOS</x:v>
      </x:c>
      <x:c r="K37" s="22" t="str">
        <x:f>IF(D37&gt;0,"Ver evidencia individual de 14_TIEMPOS_CRUDOS","")</x:f>
      </x:c>
      <x:c r="L37" s="22" t="str">
        <x:f>IF(OR(A37="",B37=""),"SIN DATOS",IF(C37="","SIN DATOS",IF(OR(D37=0,H37="",I37="",E37="",F37=""),"INCOMPLETO",IF(F37&lt;E37,"REVISAR","VÁLIDO"))))</x:f>
        <x:v>SIN DATOS</x:v>
      </x:c>
      <x:c r="M37" s="22" t="str">
        <x:f>IF(L37&lt;&gt;"VÁLIDO","SIN DATOS",IF(OR('02_PARAMETROS'!$I$10&lt;&gt;"APROBADO",NOT(ISNUMBER('02_PARAMETROS'!$G$10)),'02_PARAMETROS'!$H$10=""),"PENDIENTE DE APROBACIÓN",IF(OR(AND('02_PARAMETROS'!$H$10="&gt;=",E37&gt;='02_PARAMETROS'!$G$10),AND('02_PARAMETROS'!$H$10="&lt;=",E37&lt;='02_PARAMETROS'!$G$10),AND('02_PARAMETROS'!$H$10="&gt;",E37&gt;'02_PARAMETROS'!$G$10),AND('02_PARAMETROS'!$H$10="&lt;",E37&lt;'02_PARAMETROS'!$G$10),AND('02_PARAMETROS'!$H$10="=",E37='02_PARAMETROS'!$G$10)),"CUMPLE","NO CUMPLE")))</x:f>
        <x:v>SIN DATOS</x:v>
      </x:c>
      <x:c r="N37" s="22" t="str">
        <x:f>IF(L37&lt;&gt;"VÁLIDO","SIN DATOS",IF(OR('02_PARAMETROS'!$I$11&lt;&gt;"APROBADO",NOT(ISNUMBER('02_PARAMETROS'!$G$11)),'02_PARAMETROS'!$H$11=""),"PENDIENTE DE APROBACIÓN",IF(OR(AND('02_PARAMETROS'!$H$11="&gt;=",F37&gt;='02_PARAMETROS'!$G$11),AND('02_PARAMETROS'!$H$11="&lt;=",F37&lt;='02_PARAMETROS'!$G$11),AND('02_PARAMETROS'!$H$11="&gt;",F37&gt;'02_PARAMETROS'!$G$11),AND('02_PARAMETROS'!$H$11="&lt;",F37&lt;'02_PARAMETROS'!$G$11),AND('02_PARAMETROS'!$H$11="=",F37='02_PARAMETROS'!$G$11)),"CUMPLE","NO CUMPLE")))</x:f>
        <x:v>SIN DATOS</x:v>
      </x:c>
    </x:row>
    <x:row r="38">
      <x:c r="A38" s="20"/>
      <x:c r="B38" s="20"/>
      <x:c r="C38" s="22" t="str">
        <x:f>IF(OR(A38="",B38=""),"",IF(COUNTIFS('14_TIEMPOS_CRUDOS'!$B$5:$B$304,$A38,'14_TIEMPOS_CRUDOS'!$C$5:$C$304,$B38)=0,"",COUNTIFS('14_TIEMPOS_CRUDOS'!$B$5:$B$304,$A38,'14_TIEMPOS_CRUDOS'!$C$5:$C$304,$B38)))</x:f>
      </x:c>
      <x:c r="D38" s="22" t="str">
        <x:f>IF(C38="","",COUNTIFS('14_TIEMPOS_CRUDOS'!$B$5:$B$304,$A38,'14_TIEMPOS_CRUDOS'!$C$5:$C$304,$B38,'14_TIEMPOS_CRUDOS'!$H$5:$H$304,"VÁLIDO"))</x:f>
      </x:c>
      <x:c r="E38" s="30" t="str">
        <x:f>IF(OR(D38="",D38=0),"",IFERROR(_xlfn.PERCENTILE.INC(_xlfn._xlws.FILTER('14_TIEMPOS_CRUDOS'!$D$5:$D$304,('14_TIEMPOS_CRUDOS'!$B$5:$B$304=$A38)*('14_TIEMPOS_CRUDOS'!$C$5:$C$304=$B38)*('14_TIEMPOS_CRUDOS'!$H$5:$H$304="VÁLIDO")),0.95),""))</x:f>
      </x:c>
      <x:c r="F38" s="30" t="str">
        <x:f>IF(OR(D38="",D38=0),"",IFERROR(_xlfn.PERCENTILE.INC(_xlfn._xlws.FILTER('14_TIEMPOS_CRUDOS'!$D$5:$D$304,('14_TIEMPOS_CRUDOS'!$B$5:$B$304=$A38)*('14_TIEMPOS_CRUDOS'!$C$5:$C$304=$B38)*('14_TIEMPOS_CRUDOS'!$H$5:$H$304="VÁLIDO")),0.99),""))</x:f>
      </x:c>
      <x:c r="G38" s="22" t="str">
        <x:f>IF(D38="","","ms")</x:f>
      </x:c>
      <x:c r="H38" s="20"/>
      <x:c r="I38" s="20"/>
      <x:c r="J38" s="22" t="str">
        <x:f>IF(OR(D38="",D38=0),"SIN DATOS","REVISAR SUFICIENCIA / PRECISIÓN DEL n; NO HAY MÍNIMO APROBADO")</x:f>
        <x:v>SIN DATOS</x:v>
      </x:c>
      <x:c r="K38" s="22" t="str">
        <x:f>IF(D38&gt;0,"Ver evidencia individual de 14_TIEMPOS_CRUDOS","")</x:f>
      </x:c>
      <x:c r="L38" s="22" t="str">
        <x:f>IF(OR(A38="",B38=""),"SIN DATOS",IF(C38="","SIN DATOS",IF(OR(D38=0,H38="",I38="",E38="",F38=""),"INCOMPLETO",IF(F38&lt;E38,"REVISAR","VÁLIDO"))))</x:f>
        <x:v>SIN DATOS</x:v>
      </x:c>
      <x:c r="M38" s="22" t="str">
        <x:f>IF(L38&lt;&gt;"VÁLIDO","SIN DATOS",IF(OR('02_PARAMETROS'!$I$10&lt;&gt;"APROBADO",NOT(ISNUMBER('02_PARAMETROS'!$G$10)),'02_PARAMETROS'!$H$10=""),"PENDIENTE DE APROBACIÓN",IF(OR(AND('02_PARAMETROS'!$H$10="&gt;=",E38&gt;='02_PARAMETROS'!$G$10),AND('02_PARAMETROS'!$H$10="&lt;=",E38&lt;='02_PARAMETROS'!$G$10),AND('02_PARAMETROS'!$H$10="&gt;",E38&gt;'02_PARAMETROS'!$G$10),AND('02_PARAMETROS'!$H$10="&lt;",E38&lt;'02_PARAMETROS'!$G$10),AND('02_PARAMETROS'!$H$10="=",E38='02_PARAMETROS'!$G$10)),"CUMPLE","NO CUMPLE")))</x:f>
        <x:v>SIN DATOS</x:v>
      </x:c>
      <x:c r="N38" s="22" t="str">
        <x:f>IF(L38&lt;&gt;"VÁLIDO","SIN DATOS",IF(OR('02_PARAMETROS'!$I$11&lt;&gt;"APROBADO",NOT(ISNUMBER('02_PARAMETROS'!$G$11)),'02_PARAMETROS'!$H$11=""),"PENDIENTE DE APROBACIÓN",IF(OR(AND('02_PARAMETROS'!$H$11="&gt;=",F38&gt;='02_PARAMETROS'!$G$11),AND('02_PARAMETROS'!$H$11="&lt;=",F38&lt;='02_PARAMETROS'!$G$11),AND('02_PARAMETROS'!$H$11="&gt;",F38&gt;'02_PARAMETROS'!$G$11),AND('02_PARAMETROS'!$H$11="&lt;",F38&lt;'02_PARAMETROS'!$G$11),AND('02_PARAMETROS'!$H$11="=",F38='02_PARAMETROS'!$G$11)),"CUMPLE","NO CUMPLE")))</x:f>
        <x:v>SIN DATOS</x:v>
      </x:c>
    </x:row>
    <x:row r="39">
      <x:c r="A39" s="20"/>
      <x:c r="B39" s="20"/>
      <x:c r="C39" s="22" t="str">
        <x:f>IF(OR(A39="",B39=""),"",IF(COUNTIFS('14_TIEMPOS_CRUDOS'!$B$5:$B$304,$A39,'14_TIEMPOS_CRUDOS'!$C$5:$C$304,$B39)=0,"",COUNTIFS('14_TIEMPOS_CRUDOS'!$B$5:$B$304,$A39,'14_TIEMPOS_CRUDOS'!$C$5:$C$304,$B39)))</x:f>
      </x:c>
      <x:c r="D39" s="22" t="str">
        <x:f>IF(C39="","",COUNTIFS('14_TIEMPOS_CRUDOS'!$B$5:$B$304,$A39,'14_TIEMPOS_CRUDOS'!$C$5:$C$304,$B39,'14_TIEMPOS_CRUDOS'!$H$5:$H$304,"VÁLIDO"))</x:f>
      </x:c>
      <x:c r="E39" s="30" t="str">
        <x:f>IF(OR(D39="",D39=0),"",IFERROR(_xlfn.PERCENTILE.INC(_xlfn._xlws.FILTER('14_TIEMPOS_CRUDOS'!$D$5:$D$304,('14_TIEMPOS_CRUDOS'!$B$5:$B$304=$A39)*('14_TIEMPOS_CRUDOS'!$C$5:$C$304=$B39)*('14_TIEMPOS_CRUDOS'!$H$5:$H$304="VÁLIDO")),0.95),""))</x:f>
      </x:c>
      <x:c r="F39" s="30" t="str">
        <x:f>IF(OR(D39="",D39=0),"",IFERROR(_xlfn.PERCENTILE.INC(_xlfn._xlws.FILTER('14_TIEMPOS_CRUDOS'!$D$5:$D$304,('14_TIEMPOS_CRUDOS'!$B$5:$B$304=$A39)*('14_TIEMPOS_CRUDOS'!$C$5:$C$304=$B39)*('14_TIEMPOS_CRUDOS'!$H$5:$H$304="VÁLIDO")),0.99),""))</x:f>
      </x:c>
      <x:c r="G39" s="22" t="str">
        <x:f>IF(D39="","","ms")</x:f>
      </x:c>
      <x:c r="H39" s="20"/>
      <x:c r="I39" s="20"/>
      <x:c r="J39" s="22" t="str">
        <x:f>IF(OR(D39="",D39=0),"SIN DATOS","REVISAR SUFICIENCIA / PRECISIÓN DEL n; NO HAY MÍNIMO APROBADO")</x:f>
        <x:v>SIN DATOS</x:v>
      </x:c>
      <x:c r="K39" s="22" t="str">
        <x:f>IF(D39&gt;0,"Ver evidencia individual de 14_TIEMPOS_CRUDOS","")</x:f>
      </x:c>
      <x:c r="L39" s="22" t="str">
        <x:f>IF(OR(A39="",B39=""),"SIN DATOS",IF(C39="","SIN DATOS",IF(OR(D39=0,H39="",I39="",E39="",F39=""),"INCOMPLETO",IF(F39&lt;E39,"REVISAR","VÁLIDO"))))</x:f>
        <x:v>SIN DATOS</x:v>
      </x:c>
      <x:c r="M39" s="22" t="str">
        <x:f>IF(L39&lt;&gt;"VÁLIDO","SIN DATOS",IF(OR('02_PARAMETROS'!$I$10&lt;&gt;"APROBADO",NOT(ISNUMBER('02_PARAMETROS'!$G$10)),'02_PARAMETROS'!$H$10=""),"PENDIENTE DE APROBACIÓN",IF(OR(AND('02_PARAMETROS'!$H$10="&gt;=",E39&gt;='02_PARAMETROS'!$G$10),AND('02_PARAMETROS'!$H$10="&lt;=",E39&lt;='02_PARAMETROS'!$G$10),AND('02_PARAMETROS'!$H$10="&gt;",E39&gt;'02_PARAMETROS'!$G$10),AND('02_PARAMETROS'!$H$10="&lt;",E39&lt;'02_PARAMETROS'!$G$10),AND('02_PARAMETROS'!$H$10="=",E39='02_PARAMETROS'!$G$10)),"CUMPLE","NO CUMPLE")))</x:f>
        <x:v>SIN DATOS</x:v>
      </x:c>
      <x:c r="N39" s="22" t="str">
        <x:f>IF(L39&lt;&gt;"VÁLIDO","SIN DATOS",IF(OR('02_PARAMETROS'!$I$11&lt;&gt;"APROBADO",NOT(ISNUMBER('02_PARAMETROS'!$G$11)),'02_PARAMETROS'!$H$11=""),"PENDIENTE DE APROBACIÓN",IF(OR(AND('02_PARAMETROS'!$H$11="&gt;=",F39&gt;='02_PARAMETROS'!$G$11),AND('02_PARAMETROS'!$H$11="&lt;=",F39&lt;='02_PARAMETROS'!$G$11),AND('02_PARAMETROS'!$H$11="&gt;",F39&gt;'02_PARAMETROS'!$G$11),AND('02_PARAMETROS'!$H$11="&lt;",F39&lt;'02_PARAMETROS'!$G$11),AND('02_PARAMETROS'!$H$11="=",F39='02_PARAMETROS'!$G$11)),"CUMPLE","NO CUMPLE")))</x:f>
        <x:v>SIN DATOS</x:v>
      </x:c>
    </x:row>
    <x:row r="40">
      <x:c r="A40" s="20"/>
      <x:c r="B40" s="20"/>
      <x:c r="C40" s="22" t="str">
        <x:f>IF(OR(A40="",B40=""),"",IF(COUNTIFS('14_TIEMPOS_CRUDOS'!$B$5:$B$304,$A40,'14_TIEMPOS_CRUDOS'!$C$5:$C$304,$B40)=0,"",COUNTIFS('14_TIEMPOS_CRUDOS'!$B$5:$B$304,$A40,'14_TIEMPOS_CRUDOS'!$C$5:$C$304,$B40)))</x:f>
      </x:c>
      <x:c r="D40" s="22" t="str">
        <x:f>IF(C40="","",COUNTIFS('14_TIEMPOS_CRUDOS'!$B$5:$B$304,$A40,'14_TIEMPOS_CRUDOS'!$C$5:$C$304,$B40,'14_TIEMPOS_CRUDOS'!$H$5:$H$304,"VÁLIDO"))</x:f>
      </x:c>
      <x:c r="E40" s="30" t="str">
        <x:f>IF(OR(D40="",D40=0),"",IFERROR(_xlfn.PERCENTILE.INC(_xlfn._xlws.FILTER('14_TIEMPOS_CRUDOS'!$D$5:$D$304,('14_TIEMPOS_CRUDOS'!$B$5:$B$304=$A40)*('14_TIEMPOS_CRUDOS'!$C$5:$C$304=$B40)*('14_TIEMPOS_CRUDOS'!$H$5:$H$304="VÁLIDO")),0.95),""))</x:f>
      </x:c>
      <x:c r="F40" s="30" t="str">
        <x:f>IF(OR(D40="",D40=0),"",IFERROR(_xlfn.PERCENTILE.INC(_xlfn._xlws.FILTER('14_TIEMPOS_CRUDOS'!$D$5:$D$304,('14_TIEMPOS_CRUDOS'!$B$5:$B$304=$A40)*('14_TIEMPOS_CRUDOS'!$C$5:$C$304=$B40)*('14_TIEMPOS_CRUDOS'!$H$5:$H$304="VÁLIDO")),0.99),""))</x:f>
      </x:c>
      <x:c r="G40" s="22" t="str">
        <x:f>IF(D40="","","ms")</x:f>
      </x:c>
      <x:c r="H40" s="20"/>
      <x:c r="I40" s="20"/>
      <x:c r="J40" s="22" t="str">
        <x:f>IF(OR(D40="",D40=0),"SIN DATOS","REVISAR SUFICIENCIA / PRECISIÓN DEL n; NO HAY MÍNIMO APROBADO")</x:f>
        <x:v>SIN DATOS</x:v>
      </x:c>
      <x:c r="K40" s="22" t="str">
        <x:f>IF(D40&gt;0,"Ver evidencia individual de 14_TIEMPOS_CRUDOS","")</x:f>
      </x:c>
      <x:c r="L40" s="22" t="str">
        <x:f>IF(OR(A40="",B40=""),"SIN DATOS",IF(C40="","SIN DATOS",IF(OR(D40=0,H40="",I40="",E40="",F40=""),"INCOMPLETO",IF(F40&lt;E40,"REVISAR","VÁLIDO"))))</x:f>
        <x:v>SIN DATOS</x:v>
      </x:c>
      <x:c r="M40" s="22" t="str">
        <x:f>IF(L40&lt;&gt;"VÁLIDO","SIN DATOS",IF(OR('02_PARAMETROS'!$I$10&lt;&gt;"APROBADO",NOT(ISNUMBER('02_PARAMETROS'!$G$10)),'02_PARAMETROS'!$H$10=""),"PENDIENTE DE APROBACIÓN",IF(OR(AND('02_PARAMETROS'!$H$10="&gt;=",E40&gt;='02_PARAMETROS'!$G$10),AND('02_PARAMETROS'!$H$10="&lt;=",E40&lt;='02_PARAMETROS'!$G$10),AND('02_PARAMETROS'!$H$10="&gt;",E40&gt;'02_PARAMETROS'!$G$10),AND('02_PARAMETROS'!$H$10="&lt;",E40&lt;'02_PARAMETROS'!$G$10),AND('02_PARAMETROS'!$H$10="=",E40='02_PARAMETROS'!$G$10)),"CUMPLE","NO CUMPLE")))</x:f>
        <x:v>SIN DATOS</x:v>
      </x:c>
      <x:c r="N40" s="22" t="str">
        <x:f>IF(L40&lt;&gt;"VÁLIDO","SIN DATOS",IF(OR('02_PARAMETROS'!$I$11&lt;&gt;"APROBADO",NOT(ISNUMBER('02_PARAMETROS'!$G$11)),'02_PARAMETROS'!$H$11=""),"PENDIENTE DE APROBACIÓN",IF(OR(AND('02_PARAMETROS'!$H$11="&gt;=",F40&gt;='02_PARAMETROS'!$G$11),AND('02_PARAMETROS'!$H$11="&lt;=",F40&lt;='02_PARAMETROS'!$G$11),AND('02_PARAMETROS'!$H$11="&gt;",F40&gt;'02_PARAMETROS'!$G$11),AND('02_PARAMETROS'!$H$11="&lt;",F40&lt;'02_PARAMETROS'!$G$11),AND('02_PARAMETROS'!$H$11="=",F40='02_PARAMETROS'!$G$11)),"CUMPLE","NO CUMPLE")))</x:f>
        <x:v>SIN DATOS</x:v>
      </x:c>
    </x:row>
    <x:row r="41">
      <x:c r="A41" s="20"/>
      <x:c r="B41" s="20"/>
      <x:c r="C41" s="22" t="str">
        <x:f>IF(OR(A41="",B41=""),"",IF(COUNTIFS('14_TIEMPOS_CRUDOS'!$B$5:$B$304,$A41,'14_TIEMPOS_CRUDOS'!$C$5:$C$304,$B41)=0,"",COUNTIFS('14_TIEMPOS_CRUDOS'!$B$5:$B$304,$A41,'14_TIEMPOS_CRUDOS'!$C$5:$C$304,$B41)))</x:f>
      </x:c>
      <x:c r="D41" s="22" t="str">
        <x:f>IF(C41="","",COUNTIFS('14_TIEMPOS_CRUDOS'!$B$5:$B$304,$A41,'14_TIEMPOS_CRUDOS'!$C$5:$C$304,$B41,'14_TIEMPOS_CRUDOS'!$H$5:$H$304,"VÁLIDO"))</x:f>
      </x:c>
      <x:c r="E41" s="30" t="str">
        <x:f>IF(OR(D41="",D41=0),"",IFERROR(_xlfn.PERCENTILE.INC(_xlfn._xlws.FILTER('14_TIEMPOS_CRUDOS'!$D$5:$D$304,('14_TIEMPOS_CRUDOS'!$B$5:$B$304=$A41)*('14_TIEMPOS_CRUDOS'!$C$5:$C$304=$B41)*('14_TIEMPOS_CRUDOS'!$H$5:$H$304="VÁLIDO")),0.95),""))</x:f>
      </x:c>
      <x:c r="F41" s="30" t="str">
        <x:f>IF(OR(D41="",D41=0),"",IFERROR(_xlfn.PERCENTILE.INC(_xlfn._xlws.FILTER('14_TIEMPOS_CRUDOS'!$D$5:$D$304,('14_TIEMPOS_CRUDOS'!$B$5:$B$304=$A41)*('14_TIEMPOS_CRUDOS'!$C$5:$C$304=$B41)*('14_TIEMPOS_CRUDOS'!$H$5:$H$304="VÁLIDO")),0.99),""))</x:f>
      </x:c>
      <x:c r="G41" s="22" t="str">
        <x:f>IF(D41="","","ms")</x:f>
      </x:c>
      <x:c r="H41" s="20"/>
      <x:c r="I41" s="20"/>
      <x:c r="J41" s="22" t="str">
        <x:f>IF(OR(D41="",D41=0),"SIN DATOS","REVISAR SUFICIENCIA / PRECISIÓN DEL n; NO HAY MÍNIMO APROBADO")</x:f>
        <x:v>SIN DATOS</x:v>
      </x:c>
      <x:c r="K41" s="22" t="str">
        <x:f>IF(D41&gt;0,"Ver evidencia individual de 14_TIEMPOS_CRUDOS","")</x:f>
      </x:c>
      <x:c r="L41" s="22" t="str">
        <x:f>IF(OR(A41="",B41=""),"SIN DATOS",IF(C41="","SIN DATOS",IF(OR(D41=0,H41="",I41="",E41="",F41=""),"INCOMPLETO",IF(F41&lt;E41,"REVISAR","VÁLIDO"))))</x:f>
        <x:v>SIN DATOS</x:v>
      </x:c>
      <x:c r="M41" s="22" t="str">
        <x:f>IF(L41&lt;&gt;"VÁLIDO","SIN DATOS",IF(OR('02_PARAMETROS'!$I$10&lt;&gt;"APROBADO",NOT(ISNUMBER('02_PARAMETROS'!$G$10)),'02_PARAMETROS'!$H$10=""),"PENDIENTE DE APROBACIÓN",IF(OR(AND('02_PARAMETROS'!$H$10="&gt;=",E41&gt;='02_PARAMETROS'!$G$10),AND('02_PARAMETROS'!$H$10="&lt;=",E41&lt;='02_PARAMETROS'!$G$10),AND('02_PARAMETROS'!$H$10="&gt;",E41&gt;'02_PARAMETROS'!$G$10),AND('02_PARAMETROS'!$H$10="&lt;",E41&lt;'02_PARAMETROS'!$G$10),AND('02_PARAMETROS'!$H$10="=",E41='02_PARAMETROS'!$G$10)),"CUMPLE","NO CUMPLE")))</x:f>
        <x:v>SIN DATOS</x:v>
      </x:c>
      <x:c r="N41" s="22" t="str">
        <x:f>IF(L41&lt;&gt;"VÁLIDO","SIN DATOS",IF(OR('02_PARAMETROS'!$I$11&lt;&gt;"APROBADO",NOT(ISNUMBER('02_PARAMETROS'!$G$11)),'02_PARAMETROS'!$H$11=""),"PENDIENTE DE APROBACIÓN",IF(OR(AND('02_PARAMETROS'!$H$11="&gt;=",F41&gt;='02_PARAMETROS'!$G$11),AND('02_PARAMETROS'!$H$11="&lt;=",F41&lt;='02_PARAMETROS'!$G$11),AND('02_PARAMETROS'!$H$11="&gt;",F41&gt;'02_PARAMETROS'!$G$11),AND('02_PARAMETROS'!$H$11="&lt;",F41&lt;'02_PARAMETROS'!$G$11),AND('02_PARAMETROS'!$H$11="=",F41='02_PARAMETROS'!$G$11)),"CUMPLE","NO CUMPLE")))</x:f>
        <x:v>SIN DATOS</x:v>
      </x:c>
    </x:row>
    <x:row r="42">
      <x:c r="A42" s="20"/>
      <x:c r="B42" s="20"/>
      <x:c r="C42" s="22" t="str">
        <x:f>IF(OR(A42="",B42=""),"",IF(COUNTIFS('14_TIEMPOS_CRUDOS'!$B$5:$B$304,$A42,'14_TIEMPOS_CRUDOS'!$C$5:$C$304,$B42)=0,"",COUNTIFS('14_TIEMPOS_CRUDOS'!$B$5:$B$304,$A42,'14_TIEMPOS_CRUDOS'!$C$5:$C$304,$B42)))</x:f>
      </x:c>
      <x:c r="D42" s="22" t="str">
        <x:f>IF(C42="","",COUNTIFS('14_TIEMPOS_CRUDOS'!$B$5:$B$304,$A42,'14_TIEMPOS_CRUDOS'!$C$5:$C$304,$B42,'14_TIEMPOS_CRUDOS'!$H$5:$H$304,"VÁLIDO"))</x:f>
      </x:c>
      <x:c r="E42" s="30" t="str">
        <x:f>IF(OR(D42="",D42=0),"",IFERROR(_xlfn.PERCENTILE.INC(_xlfn._xlws.FILTER('14_TIEMPOS_CRUDOS'!$D$5:$D$304,('14_TIEMPOS_CRUDOS'!$B$5:$B$304=$A42)*('14_TIEMPOS_CRUDOS'!$C$5:$C$304=$B42)*('14_TIEMPOS_CRUDOS'!$H$5:$H$304="VÁLIDO")),0.95),""))</x:f>
      </x:c>
      <x:c r="F42" s="30" t="str">
        <x:f>IF(OR(D42="",D42=0),"",IFERROR(_xlfn.PERCENTILE.INC(_xlfn._xlws.FILTER('14_TIEMPOS_CRUDOS'!$D$5:$D$304,('14_TIEMPOS_CRUDOS'!$B$5:$B$304=$A42)*('14_TIEMPOS_CRUDOS'!$C$5:$C$304=$B42)*('14_TIEMPOS_CRUDOS'!$H$5:$H$304="VÁLIDO")),0.99),""))</x:f>
      </x:c>
      <x:c r="G42" s="22" t="str">
        <x:f>IF(D42="","","ms")</x:f>
      </x:c>
      <x:c r="H42" s="20"/>
      <x:c r="I42" s="20"/>
      <x:c r="J42" s="22" t="str">
        <x:f>IF(OR(D42="",D42=0),"SIN DATOS","REVISAR SUFICIENCIA / PRECISIÓN DEL n; NO HAY MÍNIMO APROBADO")</x:f>
        <x:v>SIN DATOS</x:v>
      </x:c>
      <x:c r="K42" s="22" t="str">
        <x:f>IF(D42&gt;0,"Ver evidencia individual de 14_TIEMPOS_CRUDOS","")</x:f>
      </x:c>
      <x:c r="L42" s="22" t="str">
        <x:f>IF(OR(A42="",B42=""),"SIN DATOS",IF(C42="","SIN DATOS",IF(OR(D42=0,H42="",I42="",E42="",F42=""),"INCOMPLETO",IF(F42&lt;E42,"REVISAR","VÁLIDO"))))</x:f>
        <x:v>SIN DATOS</x:v>
      </x:c>
      <x:c r="M42" s="22" t="str">
        <x:f>IF(L42&lt;&gt;"VÁLIDO","SIN DATOS",IF(OR('02_PARAMETROS'!$I$10&lt;&gt;"APROBADO",NOT(ISNUMBER('02_PARAMETROS'!$G$10)),'02_PARAMETROS'!$H$10=""),"PENDIENTE DE APROBACIÓN",IF(OR(AND('02_PARAMETROS'!$H$10="&gt;=",E42&gt;='02_PARAMETROS'!$G$10),AND('02_PARAMETROS'!$H$10="&lt;=",E42&lt;='02_PARAMETROS'!$G$10),AND('02_PARAMETROS'!$H$10="&gt;",E42&gt;'02_PARAMETROS'!$G$10),AND('02_PARAMETROS'!$H$10="&lt;",E42&lt;'02_PARAMETROS'!$G$10),AND('02_PARAMETROS'!$H$10="=",E42='02_PARAMETROS'!$G$10)),"CUMPLE","NO CUMPLE")))</x:f>
        <x:v>SIN DATOS</x:v>
      </x:c>
      <x:c r="N42" s="22" t="str">
        <x:f>IF(L42&lt;&gt;"VÁLIDO","SIN DATOS",IF(OR('02_PARAMETROS'!$I$11&lt;&gt;"APROBADO",NOT(ISNUMBER('02_PARAMETROS'!$G$11)),'02_PARAMETROS'!$H$11=""),"PENDIENTE DE APROBACIÓN",IF(OR(AND('02_PARAMETROS'!$H$11="&gt;=",F42&gt;='02_PARAMETROS'!$G$11),AND('02_PARAMETROS'!$H$11="&lt;=",F42&lt;='02_PARAMETROS'!$G$11),AND('02_PARAMETROS'!$H$11="&gt;",F42&gt;'02_PARAMETROS'!$G$11),AND('02_PARAMETROS'!$H$11="&lt;",F42&lt;'02_PARAMETROS'!$G$11),AND('02_PARAMETROS'!$H$11="=",F42='02_PARAMETROS'!$G$11)),"CUMPLE","NO CUMPLE")))</x:f>
        <x:v>SIN DATOS</x:v>
      </x:c>
    </x:row>
    <x:row r="43">
      <x:c r="A43" s="20"/>
      <x:c r="B43" s="20"/>
      <x:c r="C43" s="22" t="str">
        <x:f>IF(OR(A43="",B43=""),"",IF(COUNTIFS('14_TIEMPOS_CRUDOS'!$B$5:$B$304,$A43,'14_TIEMPOS_CRUDOS'!$C$5:$C$304,$B43)=0,"",COUNTIFS('14_TIEMPOS_CRUDOS'!$B$5:$B$304,$A43,'14_TIEMPOS_CRUDOS'!$C$5:$C$304,$B43)))</x:f>
      </x:c>
      <x:c r="D43" s="22" t="str">
        <x:f>IF(C43="","",COUNTIFS('14_TIEMPOS_CRUDOS'!$B$5:$B$304,$A43,'14_TIEMPOS_CRUDOS'!$C$5:$C$304,$B43,'14_TIEMPOS_CRUDOS'!$H$5:$H$304,"VÁLIDO"))</x:f>
      </x:c>
      <x:c r="E43" s="30" t="str">
        <x:f>IF(OR(D43="",D43=0),"",IFERROR(_xlfn.PERCENTILE.INC(_xlfn._xlws.FILTER('14_TIEMPOS_CRUDOS'!$D$5:$D$304,('14_TIEMPOS_CRUDOS'!$B$5:$B$304=$A43)*('14_TIEMPOS_CRUDOS'!$C$5:$C$304=$B43)*('14_TIEMPOS_CRUDOS'!$H$5:$H$304="VÁLIDO")),0.95),""))</x:f>
      </x:c>
      <x:c r="F43" s="30" t="str">
        <x:f>IF(OR(D43="",D43=0),"",IFERROR(_xlfn.PERCENTILE.INC(_xlfn._xlws.FILTER('14_TIEMPOS_CRUDOS'!$D$5:$D$304,('14_TIEMPOS_CRUDOS'!$B$5:$B$304=$A43)*('14_TIEMPOS_CRUDOS'!$C$5:$C$304=$B43)*('14_TIEMPOS_CRUDOS'!$H$5:$H$304="VÁLIDO")),0.99),""))</x:f>
      </x:c>
      <x:c r="G43" s="22" t="str">
        <x:f>IF(D43="","","ms")</x:f>
      </x:c>
      <x:c r="H43" s="20"/>
      <x:c r="I43" s="20"/>
      <x:c r="J43" s="22" t="str">
        <x:f>IF(OR(D43="",D43=0),"SIN DATOS","REVISAR SUFICIENCIA / PRECISIÓN DEL n; NO HAY MÍNIMO APROBADO")</x:f>
        <x:v>SIN DATOS</x:v>
      </x:c>
      <x:c r="K43" s="22" t="str">
        <x:f>IF(D43&gt;0,"Ver evidencia individual de 14_TIEMPOS_CRUDOS","")</x:f>
      </x:c>
      <x:c r="L43" s="22" t="str">
        <x:f>IF(OR(A43="",B43=""),"SIN DATOS",IF(C43="","SIN DATOS",IF(OR(D43=0,H43="",I43="",E43="",F43=""),"INCOMPLETO",IF(F43&lt;E43,"REVISAR","VÁLIDO"))))</x:f>
        <x:v>SIN DATOS</x:v>
      </x:c>
      <x:c r="M43" s="22" t="str">
        <x:f>IF(L43&lt;&gt;"VÁLIDO","SIN DATOS",IF(OR('02_PARAMETROS'!$I$10&lt;&gt;"APROBADO",NOT(ISNUMBER('02_PARAMETROS'!$G$10)),'02_PARAMETROS'!$H$10=""),"PENDIENTE DE APROBACIÓN",IF(OR(AND('02_PARAMETROS'!$H$10="&gt;=",E43&gt;='02_PARAMETROS'!$G$10),AND('02_PARAMETROS'!$H$10="&lt;=",E43&lt;='02_PARAMETROS'!$G$10),AND('02_PARAMETROS'!$H$10="&gt;",E43&gt;'02_PARAMETROS'!$G$10),AND('02_PARAMETROS'!$H$10="&lt;",E43&lt;'02_PARAMETROS'!$G$10),AND('02_PARAMETROS'!$H$10="=",E43='02_PARAMETROS'!$G$10)),"CUMPLE","NO CUMPLE")))</x:f>
        <x:v>SIN DATOS</x:v>
      </x:c>
      <x:c r="N43" s="22" t="str">
        <x:f>IF(L43&lt;&gt;"VÁLIDO","SIN DATOS",IF(OR('02_PARAMETROS'!$I$11&lt;&gt;"APROBADO",NOT(ISNUMBER('02_PARAMETROS'!$G$11)),'02_PARAMETROS'!$H$11=""),"PENDIENTE DE APROBACIÓN",IF(OR(AND('02_PARAMETROS'!$H$11="&gt;=",F43&gt;='02_PARAMETROS'!$G$11),AND('02_PARAMETROS'!$H$11="&lt;=",F43&lt;='02_PARAMETROS'!$G$11),AND('02_PARAMETROS'!$H$11="&gt;",F43&gt;'02_PARAMETROS'!$G$11),AND('02_PARAMETROS'!$H$11="&lt;",F43&lt;'02_PARAMETROS'!$G$11),AND('02_PARAMETROS'!$H$11="=",F43='02_PARAMETROS'!$G$11)),"CUMPLE","NO CUMPLE")))</x:f>
        <x:v>SIN DATOS</x:v>
      </x:c>
    </x:row>
    <x:row r="44">
      <x:c r="A44" s="20"/>
      <x:c r="B44" s="20"/>
      <x:c r="C44" s="22" t="str">
        <x:f>IF(OR(A44="",B44=""),"",IF(COUNTIFS('14_TIEMPOS_CRUDOS'!$B$5:$B$304,$A44,'14_TIEMPOS_CRUDOS'!$C$5:$C$304,$B44)=0,"",COUNTIFS('14_TIEMPOS_CRUDOS'!$B$5:$B$304,$A44,'14_TIEMPOS_CRUDOS'!$C$5:$C$304,$B44)))</x:f>
      </x:c>
      <x:c r="D44" s="22" t="str">
        <x:f>IF(C44="","",COUNTIFS('14_TIEMPOS_CRUDOS'!$B$5:$B$304,$A44,'14_TIEMPOS_CRUDOS'!$C$5:$C$304,$B44,'14_TIEMPOS_CRUDOS'!$H$5:$H$304,"VÁLIDO"))</x:f>
      </x:c>
      <x:c r="E44" s="30" t="str">
        <x:f>IF(OR(D44="",D44=0),"",IFERROR(_xlfn.PERCENTILE.INC(_xlfn._xlws.FILTER('14_TIEMPOS_CRUDOS'!$D$5:$D$304,('14_TIEMPOS_CRUDOS'!$B$5:$B$304=$A44)*('14_TIEMPOS_CRUDOS'!$C$5:$C$304=$B44)*('14_TIEMPOS_CRUDOS'!$H$5:$H$304="VÁLIDO")),0.95),""))</x:f>
      </x:c>
      <x:c r="F44" s="30" t="str">
        <x:f>IF(OR(D44="",D44=0),"",IFERROR(_xlfn.PERCENTILE.INC(_xlfn._xlws.FILTER('14_TIEMPOS_CRUDOS'!$D$5:$D$304,('14_TIEMPOS_CRUDOS'!$B$5:$B$304=$A44)*('14_TIEMPOS_CRUDOS'!$C$5:$C$304=$B44)*('14_TIEMPOS_CRUDOS'!$H$5:$H$304="VÁLIDO")),0.99),""))</x:f>
      </x:c>
      <x:c r="G44" s="22" t="str">
        <x:f>IF(D44="","","ms")</x:f>
      </x:c>
      <x:c r="H44" s="20"/>
      <x:c r="I44" s="20"/>
      <x:c r="J44" s="22" t="str">
        <x:f>IF(OR(D44="",D44=0),"SIN DATOS","REVISAR SUFICIENCIA / PRECISIÓN DEL n; NO HAY MÍNIMO APROBADO")</x:f>
        <x:v>SIN DATOS</x:v>
      </x:c>
      <x:c r="K44" s="22" t="str">
        <x:f>IF(D44&gt;0,"Ver evidencia individual de 14_TIEMPOS_CRUDOS","")</x:f>
      </x:c>
      <x:c r="L44" s="22" t="str">
        <x:f>IF(OR(A44="",B44=""),"SIN DATOS",IF(C44="","SIN DATOS",IF(OR(D44=0,H44="",I44="",E44="",F44=""),"INCOMPLETO",IF(F44&lt;E44,"REVISAR","VÁLIDO"))))</x:f>
        <x:v>SIN DATOS</x:v>
      </x:c>
      <x:c r="M44" s="22" t="str">
        <x:f>IF(L44&lt;&gt;"VÁLIDO","SIN DATOS",IF(OR('02_PARAMETROS'!$I$10&lt;&gt;"APROBADO",NOT(ISNUMBER('02_PARAMETROS'!$G$10)),'02_PARAMETROS'!$H$10=""),"PENDIENTE DE APROBACIÓN",IF(OR(AND('02_PARAMETROS'!$H$10="&gt;=",E44&gt;='02_PARAMETROS'!$G$10),AND('02_PARAMETROS'!$H$10="&lt;=",E44&lt;='02_PARAMETROS'!$G$10),AND('02_PARAMETROS'!$H$10="&gt;",E44&gt;'02_PARAMETROS'!$G$10),AND('02_PARAMETROS'!$H$10="&lt;",E44&lt;'02_PARAMETROS'!$G$10),AND('02_PARAMETROS'!$H$10="=",E44='02_PARAMETROS'!$G$10)),"CUMPLE","NO CUMPLE")))</x:f>
        <x:v>SIN DATOS</x:v>
      </x:c>
      <x:c r="N44" s="22" t="str">
        <x:f>IF(L44&lt;&gt;"VÁLIDO","SIN DATOS",IF(OR('02_PARAMETROS'!$I$11&lt;&gt;"APROBADO",NOT(ISNUMBER('02_PARAMETROS'!$G$11)),'02_PARAMETROS'!$H$11=""),"PENDIENTE DE APROBACIÓN",IF(OR(AND('02_PARAMETROS'!$H$11="&gt;=",F44&gt;='02_PARAMETROS'!$G$11),AND('02_PARAMETROS'!$H$11="&lt;=",F44&lt;='02_PARAMETROS'!$G$11),AND('02_PARAMETROS'!$H$11="&gt;",F44&gt;'02_PARAMETROS'!$G$11),AND('02_PARAMETROS'!$H$11="&lt;",F44&lt;'02_PARAMETROS'!$G$11),AND('02_PARAMETROS'!$H$11="=",F44='02_PARAMETROS'!$G$11)),"CUMPLE","NO CUMPLE")))</x:f>
        <x:v>SIN DATOS</x:v>
      </x:c>
    </x:row>
    <x:row r="45">
      <x:c r="A45" s="20"/>
      <x:c r="B45" s="20"/>
      <x:c r="C45" s="22" t="str">
        <x:f>IF(OR(A45="",B45=""),"",IF(COUNTIFS('14_TIEMPOS_CRUDOS'!$B$5:$B$304,$A45,'14_TIEMPOS_CRUDOS'!$C$5:$C$304,$B45)=0,"",COUNTIFS('14_TIEMPOS_CRUDOS'!$B$5:$B$304,$A45,'14_TIEMPOS_CRUDOS'!$C$5:$C$304,$B45)))</x:f>
      </x:c>
      <x:c r="D45" s="22" t="str">
        <x:f>IF(C45="","",COUNTIFS('14_TIEMPOS_CRUDOS'!$B$5:$B$304,$A45,'14_TIEMPOS_CRUDOS'!$C$5:$C$304,$B45,'14_TIEMPOS_CRUDOS'!$H$5:$H$304,"VÁLIDO"))</x:f>
      </x:c>
      <x:c r="E45" s="30" t="str">
        <x:f>IF(OR(D45="",D45=0),"",IFERROR(_xlfn.PERCENTILE.INC(_xlfn._xlws.FILTER('14_TIEMPOS_CRUDOS'!$D$5:$D$304,('14_TIEMPOS_CRUDOS'!$B$5:$B$304=$A45)*('14_TIEMPOS_CRUDOS'!$C$5:$C$304=$B45)*('14_TIEMPOS_CRUDOS'!$H$5:$H$304="VÁLIDO")),0.95),""))</x:f>
      </x:c>
      <x:c r="F45" s="30" t="str">
        <x:f>IF(OR(D45="",D45=0),"",IFERROR(_xlfn.PERCENTILE.INC(_xlfn._xlws.FILTER('14_TIEMPOS_CRUDOS'!$D$5:$D$304,('14_TIEMPOS_CRUDOS'!$B$5:$B$304=$A45)*('14_TIEMPOS_CRUDOS'!$C$5:$C$304=$B45)*('14_TIEMPOS_CRUDOS'!$H$5:$H$304="VÁLIDO")),0.99),""))</x:f>
      </x:c>
      <x:c r="G45" s="22" t="str">
        <x:f>IF(D45="","","ms")</x:f>
      </x:c>
      <x:c r="H45" s="20"/>
      <x:c r="I45" s="20"/>
      <x:c r="J45" s="22" t="str">
        <x:f>IF(OR(D45="",D45=0),"SIN DATOS","REVISAR SUFICIENCIA / PRECISIÓN DEL n; NO HAY MÍNIMO APROBADO")</x:f>
        <x:v>SIN DATOS</x:v>
      </x:c>
      <x:c r="K45" s="22" t="str">
        <x:f>IF(D45&gt;0,"Ver evidencia individual de 14_TIEMPOS_CRUDOS","")</x:f>
      </x:c>
      <x:c r="L45" s="22" t="str">
        <x:f>IF(OR(A45="",B45=""),"SIN DATOS",IF(C45="","SIN DATOS",IF(OR(D45=0,H45="",I45="",E45="",F45=""),"INCOMPLETO",IF(F45&lt;E45,"REVISAR","VÁLIDO"))))</x:f>
        <x:v>SIN DATOS</x:v>
      </x:c>
      <x:c r="M45" s="22" t="str">
        <x:f>IF(L45&lt;&gt;"VÁLIDO","SIN DATOS",IF(OR('02_PARAMETROS'!$I$10&lt;&gt;"APROBADO",NOT(ISNUMBER('02_PARAMETROS'!$G$10)),'02_PARAMETROS'!$H$10=""),"PENDIENTE DE APROBACIÓN",IF(OR(AND('02_PARAMETROS'!$H$10="&gt;=",E45&gt;='02_PARAMETROS'!$G$10),AND('02_PARAMETROS'!$H$10="&lt;=",E45&lt;='02_PARAMETROS'!$G$10),AND('02_PARAMETROS'!$H$10="&gt;",E45&gt;'02_PARAMETROS'!$G$10),AND('02_PARAMETROS'!$H$10="&lt;",E45&lt;'02_PARAMETROS'!$G$10),AND('02_PARAMETROS'!$H$10="=",E45='02_PARAMETROS'!$G$10)),"CUMPLE","NO CUMPLE")))</x:f>
        <x:v>SIN DATOS</x:v>
      </x:c>
      <x:c r="N45" s="22" t="str">
        <x:f>IF(L45&lt;&gt;"VÁLIDO","SIN DATOS",IF(OR('02_PARAMETROS'!$I$11&lt;&gt;"APROBADO",NOT(ISNUMBER('02_PARAMETROS'!$G$11)),'02_PARAMETROS'!$H$11=""),"PENDIENTE DE APROBACIÓN",IF(OR(AND('02_PARAMETROS'!$H$11="&gt;=",F45&gt;='02_PARAMETROS'!$G$11),AND('02_PARAMETROS'!$H$11="&lt;=",F45&lt;='02_PARAMETROS'!$G$11),AND('02_PARAMETROS'!$H$11="&gt;",F45&gt;'02_PARAMETROS'!$G$11),AND('02_PARAMETROS'!$H$11="&lt;",F45&lt;'02_PARAMETROS'!$G$11),AND('02_PARAMETROS'!$H$11="=",F45='02_PARAMETROS'!$G$11)),"CUMPLE","NO CUMPLE")))</x:f>
        <x:v>SIN DATOS</x:v>
      </x:c>
    </x:row>
    <x:row r="46">
      <x:c r="A46" s="20"/>
      <x:c r="B46" s="20"/>
      <x:c r="C46" s="22" t="str">
        <x:f>IF(OR(A46="",B46=""),"",IF(COUNTIFS('14_TIEMPOS_CRUDOS'!$B$5:$B$304,$A46,'14_TIEMPOS_CRUDOS'!$C$5:$C$304,$B46)=0,"",COUNTIFS('14_TIEMPOS_CRUDOS'!$B$5:$B$304,$A46,'14_TIEMPOS_CRUDOS'!$C$5:$C$304,$B46)))</x:f>
      </x:c>
      <x:c r="D46" s="22" t="str">
        <x:f>IF(C46="","",COUNTIFS('14_TIEMPOS_CRUDOS'!$B$5:$B$304,$A46,'14_TIEMPOS_CRUDOS'!$C$5:$C$304,$B46,'14_TIEMPOS_CRUDOS'!$H$5:$H$304,"VÁLIDO"))</x:f>
      </x:c>
      <x:c r="E46" s="30" t="str">
        <x:f>IF(OR(D46="",D46=0),"",IFERROR(_xlfn.PERCENTILE.INC(_xlfn._xlws.FILTER('14_TIEMPOS_CRUDOS'!$D$5:$D$304,('14_TIEMPOS_CRUDOS'!$B$5:$B$304=$A46)*('14_TIEMPOS_CRUDOS'!$C$5:$C$304=$B46)*('14_TIEMPOS_CRUDOS'!$H$5:$H$304="VÁLIDO")),0.95),""))</x:f>
      </x:c>
      <x:c r="F46" s="30" t="str">
        <x:f>IF(OR(D46="",D46=0),"",IFERROR(_xlfn.PERCENTILE.INC(_xlfn._xlws.FILTER('14_TIEMPOS_CRUDOS'!$D$5:$D$304,('14_TIEMPOS_CRUDOS'!$B$5:$B$304=$A46)*('14_TIEMPOS_CRUDOS'!$C$5:$C$304=$B46)*('14_TIEMPOS_CRUDOS'!$H$5:$H$304="VÁLIDO")),0.99),""))</x:f>
      </x:c>
      <x:c r="G46" s="22" t="str">
        <x:f>IF(D46="","","ms")</x:f>
      </x:c>
      <x:c r="H46" s="20"/>
      <x:c r="I46" s="20"/>
      <x:c r="J46" s="22" t="str">
        <x:f>IF(OR(D46="",D46=0),"SIN DATOS","REVISAR SUFICIENCIA / PRECISIÓN DEL n; NO HAY MÍNIMO APROBADO")</x:f>
        <x:v>SIN DATOS</x:v>
      </x:c>
      <x:c r="K46" s="22" t="str">
        <x:f>IF(D46&gt;0,"Ver evidencia individual de 14_TIEMPOS_CRUDOS","")</x:f>
      </x:c>
      <x:c r="L46" s="22" t="str">
        <x:f>IF(OR(A46="",B46=""),"SIN DATOS",IF(C46="","SIN DATOS",IF(OR(D46=0,H46="",I46="",E46="",F46=""),"INCOMPLETO",IF(F46&lt;E46,"REVISAR","VÁLIDO"))))</x:f>
        <x:v>SIN DATOS</x:v>
      </x:c>
      <x:c r="M46" s="22" t="str">
        <x:f>IF(L46&lt;&gt;"VÁLIDO","SIN DATOS",IF(OR('02_PARAMETROS'!$I$10&lt;&gt;"APROBADO",NOT(ISNUMBER('02_PARAMETROS'!$G$10)),'02_PARAMETROS'!$H$10=""),"PENDIENTE DE APROBACIÓN",IF(OR(AND('02_PARAMETROS'!$H$10="&gt;=",E46&gt;='02_PARAMETROS'!$G$10),AND('02_PARAMETROS'!$H$10="&lt;=",E46&lt;='02_PARAMETROS'!$G$10),AND('02_PARAMETROS'!$H$10="&gt;",E46&gt;'02_PARAMETROS'!$G$10),AND('02_PARAMETROS'!$H$10="&lt;",E46&lt;'02_PARAMETROS'!$G$10),AND('02_PARAMETROS'!$H$10="=",E46='02_PARAMETROS'!$G$10)),"CUMPLE","NO CUMPLE")))</x:f>
        <x:v>SIN DATOS</x:v>
      </x:c>
      <x:c r="N46" s="22" t="str">
        <x:f>IF(L46&lt;&gt;"VÁLIDO","SIN DATOS",IF(OR('02_PARAMETROS'!$I$11&lt;&gt;"APROBADO",NOT(ISNUMBER('02_PARAMETROS'!$G$11)),'02_PARAMETROS'!$H$11=""),"PENDIENTE DE APROBACIÓN",IF(OR(AND('02_PARAMETROS'!$H$11="&gt;=",F46&gt;='02_PARAMETROS'!$G$11),AND('02_PARAMETROS'!$H$11="&lt;=",F46&lt;='02_PARAMETROS'!$G$11),AND('02_PARAMETROS'!$H$11="&gt;",F46&gt;'02_PARAMETROS'!$G$11),AND('02_PARAMETROS'!$H$11="&lt;",F46&lt;'02_PARAMETROS'!$G$11),AND('02_PARAMETROS'!$H$11="=",F46='02_PARAMETROS'!$G$11)),"CUMPLE","NO CUMPLE")))</x:f>
        <x:v>SIN DATOS</x:v>
      </x:c>
    </x:row>
    <x:row r="47">
      <x:c r="A47" s="20"/>
      <x:c r="B47" s="20"/>
      <x:c r="C47" s="22" t="str">
        <x:f>IF(OR(A47="",B47=""),"",IF(COUNTIFS('14_TIEMPOS_CRUDOS'!$B$5:$B$304,$A47,'14_TIEMPOS_CRUDOS'!$C$5:$C$304,$B47)=0,"",COUNTIFS('14_TIEMPOS_CRUDOS'!$B$5:$B$304,$A47,'14_TIEMPOS_CRUDOS'!$C$5:$C$304,$B47)))</x:f>
      </x:c>
      <x:c r="D47" s="22" t="str">
        <x:f>IF(C47="","",COUNTIFS('14_TIEMPOS_CRUDOS'!$B$5:$B$304,$A47,'14_TIEMPOS_CRUDOS'!$C$5:$C$304,$B47,'14_TIEMPOS_CRUDOS'!$H$5:$H$304,"VÁLIDO"))</x:f>
      </x:c>
      <x:c r="E47" s="30" t="str">
        <x:f>IF(OR(D47="",D47=0),"",IFERROR(_xlfn.PERCENTILE.INC(_xlfn._xlws.FILTER('14_TIEMPOS_CRUDOS'!$D$5:$D$304,('14_TIEMPOS_CRUDOS'!$B$5:$B$304=$A47)*('14_TIEMPOS_CRUDOS'!$C$5:$C$304=$B47)*('14_TIEMPOS_CRUDOS'!$H$5:$H$304="VÁLIDO")),0.95),""))</x:f>
      </x:c>
      <x:c r="F47" s="30" t="str">
        <x:f>IF(OR(D47="",D47=0),"",IFERROR(_xlfn.PERCENTILE.INC(_xlfn._xlws.FILTER('14_TIEMPOS_CRUDOS'!$D$5:$D$304,('14_TIEMPOS_CRUDOS'!$B$5:$B$304=$A47)*('14_TIEMPOS_CRUDOS'!$C$5:$C$304=$B47)*('14_TIEMPOS_CRUDOS'!$H$5:$H$304="VÁLIDO")),0.99),""))</x:f>
      </x:c>
      <x:c r="G47" s="22" t="str">
        <x:f>IF(D47="","","ms")</x:f>
      </x:c>
      <x:c r="H47" s="20"/>
      <x:c r="I47" s="20"/>
      <x:c r="J47" s="22" t="str">
        <x:f>IF(OR(D47="",D47=0),"SIN DATOS","REVISAR SUFICIENCIA / PRECISIÓN DEL n; NO HAY MÍNIMO APROBADO")</x:f>
        <x:v>SIN DATOS</x:v>
      </x:c>
      <x:c r="K47" s="22" t="str">
        <x:f>IF(D47&gt;0,"Ver evidencia individual de 14_TIEMPOS_CRUDOS","")</x:f>
      </x:c>
      <x:c r="L47" s="22" t="str">
        <x:f>IF(OR(A47="",B47=""),"SIN DATOS",IF(C47="","SIN DATOS",IF(OR(D47=0,H47="",I47="",E47="",F47=""),"INCOMPLETO",IF(F47&lt;E47,"REVISAR","VÁLIDO"))))</x:f>
        <x:v>SIN DATOS</x:v>
      </x:c>
      <x:c r="M47" s="22" t="str">
        <x:f>IF(L47&lt;&gt;"VÁLIDO","SIN DATOS",IF(OR('02_PARAMETROS'!$I$10&lt;&gt;"APROBADO",NOT(ISNUMBER('02_PARAMETROS'!$G$10)),'02_PARAMETROS'!$H$10=""),"PENDIENTE DE APROBACIÓN",IF(OR(AND('02_PARAMETROS'!$H$10="&gt;=",E47&gt;='02_PARAMETROS'!$G$10),AND('02_PARAMETROS'!$H$10="&lt;=",E47&lt;='02_PARAMETROS'!$G$10),AND('02_PARAMETROS'!$H$10="&gt;",E47&gt;'02_PARAMETROS'!$G$10),AND('02_PARAMETROS'!$H$10="&lt;",E47&lt;'02_PARAMETROS'!$G$10),AND('02_PARAMETROS'!$H$10="=",E47='02_PARAMETROS'!$G$10)),"CUMPLE","NO CUMPLE")))</x:f>
        <x:v>SIN DATOS</x:v>
      </x:c>
      <x:c r="N47" s="22" t="str">
        <x:f>IF(L47&lt;&gt;"VÁLIDO","SIN DATOS",IF(OR('02_PARAMETROS'!$I$11&lt;&gt;"APROBADO",NOT(ISNUMBER('02_PARAMETROS'!$G$11)),'02_PARAMETROS'!$H$11=""),"PENDIENTE DE APROBACIÓN",IF(OR(AND('02_PARAMETROS'!$H$11="&gt;=",F47&gt;='02_PARAMETROS'!$G$11),AND('02_PARAMETROS'!$H$11="&lt;=",F47&lt;='02_PARAMETROS'!$G$11),AND('02_PARAMETROS'!$H$11="&gt;",F47&gt;'02_PARAMETROS'!$G$11),AND('02_PARAMETROS'!$H$11="&lt;",F47&lt;'02_PARAMETROS'!$G$11),AND('02_PARAMETROS'!$H$11="=",F47='02_PARAMETROS'!$G$11)),"CUMPLE","NO CUMPLE")))</x:f>
        <x:v>SIN DATOS</x:v>
      </x:c>
    </x:row>
    <x:row r="48">
      <x:c r="A48" s="20"/>
      <x:c r="B48" s="20"/>
      <x:c r="C48" s="22" t="str">
        <x:f>IF(OR(A48="",B48=""),"",IF(COUNTIFS('14_TIEMPOS_CRUDOS'!$B$5:$B$304,$A48,'14_TIEMPOS_CRUDOS'!$C$5:$C$304,$B48)=0,"",COUNTIFS('14_TIEMPOS_CRUDOS'!$B$5:$B$304,$A48,'14_TIEMPOS_CRUDOS'!$C$5:$C$304,$B48)))</x:f>
      </x:c>
      <x:c r="D48" s="22" t="str">
        <x:f>IF(C48="","",COUNTIFS('14_TIEMPOS_CRUDOS'!$B$5:$B$304,$A48,'14_TIEMPOS_CRUDOS'!$C$5:$C$304,$B48,'14_TIEMPOS_CRUDOS'!$H$5:$H$304,"VÁLIDO"))</x:f>
      </x:c>
      <x:c r="E48" s="30" t="str">
        <x:f>IF(OR(D48="",D48=0),"",IFERROR(_xlfn.PERCENTILE.INC(_xlfn._xlws.FILTER('14_TIEMPOS_CRUDOS'!$D$5:$D$304,('14_TIEMPOS_CRUDOS'!$B$5:$B$304=$A48)*('14_TIEMPOS_CRUDOS'!$C$5:$C$304=$B48)*('14_TIEMPOS_CRUDOS'!$H$5:$H$304="VÁLIDO")),0.95),""))</x:f>
      </x:c>
      <x:c r="F48" s="30" t="str">
        <x:f>IF(OR(D48="",D48=0),"",IFERROR(_xlfn.PERCENTILE.INC(_xlfn._xlws.FILTER('14_TIEMPOS_CRUDOS'!$D$5:$D$304,('14_TIEMPOS_CRUDOS'!$B$5:$B$304=$A48)*('14_TIEMPOS_CRUDOS'!$C$5:$C$304=$B48)*('14_TIEMPOS_CRUDOS'!$H$5:$H$304="VÁLIDO")),0.99),""))</x:f>
      </x:c>
      <x:c r="G48" s="22" t="str">
        <x:f>IF(D48="","","ms")</x:f>
      </x:c>
      <x:c r="H48" s="20"/>
      <x:c r="I48" s="20"/>
      <x:c r="J48" s="22" t="str">
        <x:f>IF(OR(D48="",D48=0),"SIN DATOS","REVISAR SUFICIENCIA / PRECISIÓN DEL n; NO HAY MÍNIMO APROBADO")</x:f>
        <x:v>SIN DATOS</x:v>
      </x:c>
      <x:c r="K48" s="22" t="str">
        <x:f>IF(D48&gt;0,"Ver evidencia individual de 14_TIEMPOS_CRUDOS","")</x:f>
      </x:c>
      <x:c r="L48" s="22" t="str">
        <x:f>IF(OR(A48="",B48=""),"SIN DATOS",IF(C48="","SIN DATOS",IF(OR(D48=0,H48="",I48="",E48="",F48=""),"INCOMPLETO",IF(F48&lt;E48,"REVISAR","VÁLIDO"))))</x:f>
        <x:v>SIN DATOS</x:v>
      </x:c>
      <x:c r="M48" s="22" t="str">
        <x:f>IF(L48&lt;&gt;"VÁLIDO","SIN DATOS",IF(OR('02_PARAMETROS'!$I$10&lt;&gt;"APROBADO",NOT(ISNUMBER('02_PARAMETROS'!$G$10)),'02_PARAMETROS'!$H$10=""),"PENDIENTE DE APROBACIÓN",IF(OR(AND('02_PARAMETROS'!$H$10="&gt;=",E48&gt;='02_PARAMETROS'!$G$10),AND('02_PARAMETROS'!$H$10="&lt;=",E48&lt;='02_PARAMETROS'!$G$10),AND('02_PARAMETROS'!$H$10="&gt;",E48&gt;'02_PARAMETROS'!$G$10),AND('02_PARAMETROS'!$H$10="&lt;",E48&lt;'02_PARAMETROS'!$G$10),AND('02_PARAMETROS'!$H$10="=",E48='02_PARAMETROS'!$G$10)),"CUMPLE","NO CUMPLE")))</x:f>
        <x:v>SIN DATOS</x:v>
      </x:c>
      <x:c r="N48" s="22" t="str">
        <x:f>IF(L48&lt;&gt;"VÁLIDO","SIN DATOS",IF(OR('02_PARAMETROS'!$I$11&lt;&gt;"APROBADO",NOT(ISNUMBER('02_PARAMETROS'!$G$11)),'02_PARAMETROS'!$H$11=""),"PENDIENTE DE APROBACIÓN",IF(OR(AND('02_PARAMETROS'!$H$11="&gt;=",F48&gt;='02_PARAMETROS'!$G$11),AND('02_PARAMETROS'!$H$11="&lt;=",F48&lt;='02_PARAMETROS'!$G$11),AND('02_PARAMETROS'!$H$11="&gt;",F48&gt;'02_PARAMETROS'!$G$11),AND('02_PARAMETROS'!$H$11="&lt;",F48&lt;'02_PARAMETROS'!$G$11),AND('02_PARAMETROS'!$H$11="=",F48='02_PARAMETROS'!$G$11)),"CUMPLE","NO CUMPLE")))</x:f>
        <x:v>SIN DATOS</x:v>
      </x:c>
    </x:row>
    <x:row r="49">
      <x:c r="A49" s="20"/>
      <x:c r="B49" s="20"/>
      <x:c r="C49" s="22" t="str">
        <x:f>IF(OR(A49="",B49=""),"",IF(COUNTIFS('14_TIEMPOS_CRUDOS'!$B$5:$B$304,$A49,'14_TIEMPOS_CRUDOS'!$C$5:$C$304,$B49)=0,"",COUNTIFS('14_TIEMPOS_CRUDOS'!$B$5:$B$304,$A49,'14_TIEMPOS_CRUDOS'!$C$5:$C$304,$B49)))</x:f>
      </x:c>
      <x:c r="D49" s="22" t="str">
        <x:f>IF(C49="","",COUNTIFS('14_TIEMPOS_CRUDOS'!$B$5:$B$304,$A49,'14_TIEMPOS_CRUDOS'!$C$5:$C$304,$B49,'14_TIEMPOS_CRUDOS'!$H$5:$H$304,"VÁLIDO"))</x:f>
      </x:c>
      <x:c r="E49" s="30" t="str">
        <x:f>IF(OR(D49="",D49=0),"",IFERROR(_xlfn.PERCENTILE.INC(_xlfn._xlws.FILTER('14_TIEMPOS_CRUDOS'!$D$5:$D$304,('14_TIEMPOS_CRUDOS'!$B$5:$B$304=$A49)*('14_TIEMPOS_CRUDOS'!$C$5:$C$304=$B49)*('14_TIEMPOS_CRUDOS'!$H$5:$H$304="VÁLIDO")),0.95),""))</x:f>
      </x:c>
      <x:c r="F49" s="30" t="str">
        <x:f>IF(OR(D49="",D49=0),"",IFERROR(_xlfn.PERCENTILE.INC(_xlfn._xlws.FILTER('14_TIEMPOS_CRUDOS'!$D$5:$D$304,('14_TIEMPOS_CRUDOS'!$B$5:$B$304=$A49)*('14_TIEMPOS_CRUDOS'!$C$5:$C$304=$B49)*('14_TIEMPOS_CRUDOS'!$H$5:$H$304="VÁLIDO")),0.99),""))</x:f>
      </x:c>
      <x:c r="G49" s="22" t="str">
        <x:f>IF(D49="","","ms")</x:f>
      </x:c>
      <x:c r="H49" s="20"/>
      <x:c r="I49" s="20"/>
      <x:c r="J49" s="22" t="str">
        <x:f>IF(OR(D49="",D49=0),"SIN DATOS","REVISAR SUFICIENCIA / PRECISIÓN DEL n; NO HAY MÍNIMO APROBADO")</x:f>
        <x:v>SIN DATOS</x:v>
      </x:c>
      <x:c r="K49" s="22" t="str">
        <x:f>IF(D49&gt;0,"Ver evidencia individual de 14_TIEMPOS_CRUDOS","")</x:f>
      </x:c>
      <x:c r="L49" s="22" t="str">
        <x:f>IF(OR(A49="",B49=""),"SIN DATOS",IF(C49="","SIN DATOS",IF(OR(D49=0,H49="",I49="",E49="",F49=""),"INCOMPLETO",IF(F49&lt;E49,"REVISAR","VÁLIDO"))))</x:f>
        <x:v>SIN DATOS</x:v>
      </x:c>
      <x:c r="M49" s="22" t="str">
        <x:f>IF(L49&lt;&gt;"VÁLIDO","SIN DATOS",IF(OR('02_PARAMETROS'!$I$10&lt;&gt;"APROBADO",NOT(ISNUMBER('02_PARAMETROS'!$G$10)),'02_PARAMETROS'!$H$10=""),"PENDIENTE DE APROBACIÓN",IF(OR(AND('02_PARAMETROS'!$H$10="&gt;=",E49&gt;='02_PARAMETROS'!$G$10),AND('02_PARAMETROS'!$H$10="&lt;=",E49&lt;='02_PARAMETROS'!$G$10),AND('02_PARAMETROS'!$H$10="&gt;",E49&gt;'02_PARAMETROS'!$G$10),AND('02_PARAMETROS'!$H$10="&lt;",E49&lt;'02_PARAMETROS'!$G$10),AND('02_PARAMETROS'!$H$10="=",E49='02_PARAMETROS'!$G$10)),"CUMPLE","NO CUMPLE")))</x:f>
        <x:v>SIN DATOS</x:v>
      </x:c>
      <x:c r="N49" s="22" t="str">
        <x:f>IF(L49&lt;&gt;"VÁLIDO","SIN DATOS",IF(OR('02_PARAMETROS'!$I$11&lt;&gt;"APROBADO",NOT(ISNUMBER('02_PARAMETROS'!$G$11)),'02_PARAMETROS'!$H$11=""),"PENDIENTE DE APROBACIÓN",IF(OR(AND('02_PARAMETROS'!$H$11="&gt;=",F49&gt;='02_PARAMETROS'!$G$11),AND('02_PARAMETROS'!$H$11="&lt;=",F49&lt;='02_PARAMETROS'!$G$11),AND('02_PARAMETROS'!$H$11="&gt;",F49&gt;'02_PARAMETROS'!$G$11),AND('02_PARAMETROS'!$H$11="&lt;",F49&lt;'02_PARAMETROS'!$G$11),AND('02_PARAMETROS'!$H$11="=",F49='02_PARAMETROS'!$G$11)),"CUMPLE","NO CUMPLE")))</x:f>
        <x:v>SIN DATOS</x:v>
      </x:c>
    </x:row>
    <x:row r="50">
      <x:c r="A50" s="20"/>
      <x:c r="B50" s="20"/>
      <x:c r="C50" s="22" t="str">
        <x:f>IF(OR(A50="",B50=""),"",IF(COUNTIFS('14_TIEMPOS_CRUDOS'!$B$5:$B$304,$A50,'14_TIEMPOS_CRUDOS'!$C$5:$C$304,$B50)=0,"",COUNTIFS('14_TIEMPOS_CRUDOS'!$B$5:$B$304,$A50,'14_TIEMPOS_CRUDOS'!$C$5:$C$304,$B50)))</x:f>
      </x:c>
      <x:c r="D50" s="22" t="str">
        <x:f>IF(C50="","",COUNTIFS('14_TIEMPOS_CRUDOS'!$B$5:$B$304,$A50,'14_TIEMPOS_CRUDOS'!$C$5:$C$304,$B50,'14_TIEMPOS_CRUDOS'!$H$5:$H$304,"VÁLIDO"))</x:f>
      </x:c>
      <x:c r="E50" s="30" t="str">
        <x:f>IF(OR(D50="",D50=0),"",IFERROR(_xlfn.PERCENTILE.INC(_xlfn._xlws.FILTER('14_TIEMPOS_CRUDOS'!$D$5:$D$304,('14_TIEMPOS_CRUDOS'!$B$5:$B$304=$A50)*('14_TIEMPOS_CRUDOS'!$C$5:$C$304=$B50)*('14_TIEMPOS_CRUDOS'!$H$5:$H$304="VÁLIDO")),0.95),""))</x:f>
      </x:c>
      <x:c r="F50" s="30" t="str">
        <x:f>IF(OR(D50="",D50=0),"",IFERROR(_xlfn.PERCENTILE.INC(_xlfn._xlws.FILTER('14_TIEMPOS_CRUDOS'!$D$5:$D$304,('14_TIEMPOS_CRUDOS'!$B$5:$B$304=$A50)*('14_TIEMPOS_CRUDOS'!$C$5:$C$304=$B50)*('14_TIEMPOS_CRUDOS'!$H$5:$H$304="VÁLIDO")),0.99),""))</x:f>
      </x:c>
      <x:c r="G50" s="22" t="str">
        <x:f>IF(D50="","","ms")</x:f>
      </x:c>
      <x:c r="H50" s="20"/>
      <x:c r="I50" s="20"/>
      <x:c r="J50" s="22" t="str">
        <x:f>IF(OR(D50="",D50=0),"SIN DATOS","REVISAR SUFICIENCIA / PRECISIÓN DEL n; NO HAY MÍNIMO APROBADO")</x:f>
        <x:v>SIN DATOS</x:v>
      </x:c>
      <x:c r="K50" s="22" t="str">
        <x:f>IF(D50&gt;0,"Ver evidencia individual de 14_TIEMPOS_CRUDOS","")</x:f>
      </x:c>
      <x:c r="L50" s="22" t="str">
        <x:f>IF(OR(A50="",B50=""),"SIN DATOS",IF(C50="","SIN DATOS",IF(OR(D50=0,H50="",I50="",E50="",F50=""),"INCOMPLETO",IF(F50&lt;E50,"REVISAR","VÁLIDO"))))</x:f>
        <x:v>SIN DATOS</x:v>
      </x:c>
      <x:c r="M50" s="22" t="str">
        <x:f>IF(L50&lt;&gt;"VÁLIDO","SIN DATOS",IF(OR('02_PARAMETROS'!$I$10&lt;&gt;"APROBADO",NOT(ISNUMBER('02_PARAMETROS'!$G$10)),'02_PARAMETROS'!$H$10=""),"PENDIENTE DE APROBACIÓN",IF(OR(AND('02_PARAMETROS'!$H$10="&gt;=",E50&gt;='02_PARAMETROS'!$G$10),AND('02_PARAMETROS'!$H$10="&lt;=",E50&lt;='02_PARAMETROS'!$G$10),AND('02_PARAMETROS'!$H$10="&gt;",E50&gt;'02_PARAMETROS'!$G$10),AND('02_PARAMETROS'!$H$10="&lt;",E50&lt;'02_PARAMETROS'!$G$10),AND('02_PARAMETROS'!$H$10="=",E50='02_PARAMETROS'!$G$10)),"CUMPLE","NO CUMPLE")))</x:f>
        <x:v>SIN DATOS</x:v>
      </x:c>
      <x:c r="N50" s="22" t="str">
        <x:f>IF(L50&lt;&gt;"VÁLIDO","SIN DATOS",IF(OR('02_PARAMETROS'!$I$11&lt;&gt;"APROBADO",NOT(ISNUMBER('02_PARAMETROS'!$G$11)),'02_PARAMETROS'!$H$11=""),"PENDIENTE DE APROBACIÓN",IF(OR(AND('02_PARAMETROS'!$H$11="&gt;=",F50&gt;='02_PARAMETROS'!$G$11),AND('02_PARAMETROS'!$H$11="&lt;=",F50&lt;='02_PARAMETROS'!$G$11),AND('02_PARAMETROS'!$H$11="&gt;",F50&gt;'02_PARAMETROS'!$G$11),AND('02_PARAMETROS'!$H$11="&lt;",F50&lt;'02_PARAMETROS'!$G$11),AND('02_PARAMETROS'!$H$11="=",F50='02_PARAMETROS'!$G$11)),"CUMPLE","NO CUMPLE")))</x:f>
        <x:v>SIN DATOS</x:v>
      </x:c>
    </x:row>
    <x:row r="51">
      <x:c r="A51" s="20"/>
      <x:c r="B51" s="20"/>
      <x:c r="C51" s="22" t="str">
        <x:f>IF(OR(A51="",B51=""),"",IF(COUNTIFS('14_TIEMPOS_CRUDOS'!$B$5:$B$304,$A51,'14_TIEMPOS_CRUDOS'!$C$5:$C$304,$B51)=0,"",COUNTIFS('14_TIEMPOS_CRUDOS'!$B$5:$B$304,$A51,'14_TIEMPOS_CRUDOS'!$C$5:$C$304,$B51)))</x:f>
      </x:c>
      <x:c r="D51" s="22" t="str">
        <x:f>IF(C51="","",COUNTIFS('14_TIEMPOS_CRUDOS'!$B$5:$B$304,$A51,'14_TIEMPOS_CRUDOS'!$C$5:$C$304,$B51,'14_TIEMPOS_CRUDOS'!$H$5:$H$304,"VÁLIDO"))</x:f>
      </x:c>
      <x:c r="E51" s="30" t="str">
        <x:f>IF(OR(D51="",D51=0),"",IFERROR(_xlfn.PERCENTILE.INC(_xlfn._xlws.FILTER('14_TIEMPOS_CRUDOS'!$D$5:$D$304,('14_TIEMPOS_CRUDOS'!$B$5:$B$304=$A51)*('14_TIEMPOS_CRUDOS'!$C$5:$C$304=$B51)*('14_TIEMPOS_CRUDOS'!$H$5:$H$304="VÁLIDO")),0.95),""))</x:f>
      </x:c>
      <x:c r="F51" s="30" t="str">
        <x:f>IF(OR(D51="",D51=0),"",IFERROR(_xlfn.PERCENTILE.INC(_xlfn._xlws.FILTER('14_TIEMPOS_CRUDOS'!$D$5:$D$304,('14_TIEMPOS_CRUDOS'!$B$5:$B$304=$A51)*('14_TIEMPOS_CRUDOS'!$C$5:$C$304=$B51)*('14_TIEMPOS_CRUDOS'!$H$5:$H$304="VÁLIDO")),0.99),""))</x:f>
      </x:c>
      <x:c r="G51" s="22" t="str">
        <x:f>IF(D51="","","ms")</x:f>
      </x:c>
      <x:c r="H51" s="20"/>
      <x:c r="I51" s="20"/>
      <x:c r="J51" s="22" t="str">
        <x:f>IF(OR(D51="",D51=0),"SIN DATOS","REVISAR SUFICIENCIA / PRECISIÓN DEL n; NO HAY MÍNIMO APROBADO")</x:f>
        <x:v>SIN DATOS</x:v>
      </x:c>
      <x:c r="K51" s="22" t="str">
        <x:f>IF(D51&gt;0,"Ver evidencia individual de 14_TIEMPOS_CRUDOS","")</x:f>
      </x:c>
      <x:c r="L51" s="22" t="str">
        <x:f>IF(OR(A51="",B51=""),"SIN DATOS",IF(C51="","SIN DATOS",IF(OR(D51=0,H51="",I51="",E51="",F51=""),"INCOMPLETO",IF(F51&lt;E51,"REVISAR","VÁLIDO"))))</x:f>
        <x:v>SIN DATOS</x:v>
      </x:c>
      <x:c r="M51" s="22" t="str">
        <x:f>IF(L51&lt;&gt;"VÁLIDO","SIN DATOS",IF(OR('02_PARAMETROS'!$I$10&lt;&gt;"APROBADO",NOT(ISNUMBER('02_PARAMETROS'!$G$10)),'02_PARAMETROS'!$H$10=""),"PENDIENTE DE APROBACIÓN",IF(OR(AND('02_PARAMETROS'!$H$10="&gt;=",E51&gt;='02_PARAMETROS'!$G$10),AND('02_PARAMETROS'!$H$10="&lt;=",E51&lt;='02_PARAMETROS'!$G$10),AND('02_PARAMETROS'!$H$10="&gt;",E51&gt;'02_PARAMETROS'!$G$10),AND('02_PARAMETROS'!$H$10="&lt;",E51&lt;'02_PARAMETROS'!$G$10),AND('02_PARAMETROS'!$H$10="=",E51='02_PARAMETROS'!$G$10)),"CUMPLE","NO CUMPLE")))</x:f>
        <x:v>SIN DATOS</x:v>
      </x:c>
      <x:c r="N51" s="22" t="str">
        <x:f>IF(L51&lt;&gt;"VÁLIDO","SIN DATOS",IF(OR('02_PARAMETROS'!$I$11&lt;&gt;"APROBADO",NOT(ISNUMBER('02_PARAMETROS'!$G$11)),'02_PARAMETROS'!$H$11=""),"PENDIENTE DE APROBACIÓN",IF(OR(AND('02_PARAMETROS'!$H$11="&gt;=",F51&gt;='02_PARAMETROS'!$G$11),AND('02_PARAMETROS'!$H$11="&lt;=",F51&lt;='02_PARAMETROS'!$G$11),AND('02_PARAMETROS'!$H$11="&gt;",F51&gt;'02_PARAMETROS'!$G$11),AND('02_PARAMETROS'!$H$11="&lt;",F51&lt;'02_PARAMETROS'!$G$11),AND('02_PARAMETROS'!$H$11="=",F51='02_PARAMETROS'!$G$11)),"CUMPLE","NO CUMPLE")))</x:f>
        <x:v>SIN DATOS</x:v>
      </x:c>
    </x:row>
    <x:row r="52">
      <x:c r="A52" s="20"/>
      <x:c r="B52" s="20"/>
      <x:c r="C52" s="22" t="str">
        <x:f>IF(OR(A52="",B52=""),"",IF(COUNTIFS('14_TIEMPOS_CRUDOS'!$B$5:$B$304,$A52,'14_TIEMPOS_CRUDOS'!$C$5:$C$304,$B52)=0,"",COUNTIFS('14_TIEMPOS_CRUDOS'!$B$5:$B$304,$A52,'14_TIEMPOS_CRUDOS'!$C$5:$C$304,$B52)))</x:f>
      </x:c>
      <x:c r="D52" s="22" t="str">
        <x:f>IF(C52="","",COUNTIFS('14_TIEMPOS_CRUDOS'!$B$5:$B$304,$A52,'14_TIEMPOS_CRUDOS'!$C$5:$C$304,$B52,'14_TIEMPOS_CRUDOS'!$H$5:$H$304,"VÁLIDO"))</x:f>
      </x:c>
      <x:c r="E52" s="30" t="str">
        <x:f>IF(OR(D52="",D52=0),"",IFERROR(_xlfn.PERCENTILE.INC(_xlfn._xlws.FILTER('14_TIEMPOS_CRUDOS'!$D$5:$D$304,('14_TIEMPOS_CRUDOS'!$B$5:$B$304=$A52)*('14_TIEMPOS_CRUDOS'!$C$5:$C$304=$B52)*('14_TIEMPOS_CRUDOS'!$H$5:$H$304="VÁLIDO")),0.95),""))</x:f>
      </x:c>
      <x:c r="F52" s="30" t="str">
        <x:f>IF(OR(D52="",D52=0),"",IFERROR(_xlfn.PERCENTILE.INC(_xlfn._xlws.FILTER('14_TIEMPOS_CRUDOS'!$D$5:$D$304,('14_TIEMPOS_CRUDOS'!$B$5:$B$304=$A52)*('14_TIEMPOS_CRUDOS'!$C$5:$C$304=$B52)*('14_TIEMPOS_CRUDOS'!$H$5:$H$304="VÁLIDO")),0.99),""))</x:f>
      </x:c>
      <x:c r="G52" s="22" t="str">
        <x:f>IF(D52="","","ms")</x:f>
      </x:c>
      <x:c r="H52" s="20"/>
      <x:c r="I52" s="20"/>
      <x:c r="J52" s="22" t="str">
        <x:f>IF(OR(D52="",D52=0),"SIN DATOS","REVISAR SUFICIENCIA / PRECISIÓN DEL n; NO HAY MÍNIMO APROBADO")</x:f>
        <x:v>SIN DATOS</x:v>
      </x:c>
      <x:c r="K52" s="22" t="str">
        <x:f>IF(D52&gt;0,"Ver evidencia individual de 14_TIEMPOS_CRUDOS","")</x:f>
      </x:c>
      <x:c r="L52" s="22" t="str">
        <x:f>IF(OR(A52="",B52=""),"SIN DATOS",IF(C52="","SIN DATOS",IF(OR(D52=0,H52="",I52="",E52="",F52=""),"INCOMPLETO",IF(F52&lt;E52,"REVISAR","VÁLIDO"))))</x:f>
        <x:v>SIN DATOS</x:v>
      </x:c>
      <x:c r="M52" s="22" t="str">
        <x:f>IF(L52&lt;&gt;"VÁLIDO","SIN DATOS",IF(OR('02_PARAMETROS'!$I$10&lt;&gt;"APROBADO",NOT(ISNUMBER('02_PARAMETROS'!$G$10)),'02_PARAMETROS'!$H$10=""),"PENDIENTE DE APROBACIÓN",IF(OR(AND('02_PARAMETROS'!$H$10="&gt;=",E52&gt;='02_PARAMETROS'!$G$10),AND('02_PARAMETROS'!$H$10="&lt;=",E52&lt;='02_PARAMETROS'!$G$10),AND('02_PARAMETROS'!$H$10="&gt;",E52&gt;'02_PARAMETROS'!$G$10),AND('02_PARAMETROS'!$H$10="&lt;",E52&lt;'02_PARAMETROS'!$G$10),AND('02_PARAMETROS'!$H$10="=",E52='02_PARAMETROS'!$G$10)),"CUMPLE","NO CUMPLE")))</x:f>
        <x:v>SIN DATOS</x:v>
      </x:c>
      <x:c r="N52" s="22" t="str">
        <x:f>IF(L52&lt;&gt;"VÁLIDO","SIN DATOS",IF(OR('02_PARAMETROS'!$I$11&lt;&gt;"APROBADO",NOT(ISNUMBER('02_PARAMETROS'!$G$11)),'02_PARAMETROS'!$H$11=""),"PENDIENTE DE APROBACIÓN",IF(OR(AND('02_PARAMETROS'!$H$11="&gt;=",F52&gt;='02_PARAMETROS'!$G$11),AND('02_PARAMETROS'!$H$11="&lt;=",F52&lt;='02_PARAMETROS'!$G$11),AND('02_PARAMETROS'!$H$11="&gt;",F52&gt;'02_PARAMETROS'!$G$11),AND('02_PARAMETROS'!$H$11="&lt;",F52&lt;'02_PARAMETROS'!$G$11),AND('02_PARAMETROS'!$H$11="=",F52='02_PARAMETROS'!$G$11)),"CUMPLE","NO CUMPLE")))</x:f>
        <x:v>SIN DATOS</x:v>
      </x:c>
    </x:row>
    <x:row r="53">
      <x:c r="A53" s="20"/>
      <x:c r="B53" s="20"/>
      <x:c r="C53" s="22" t="str">
        <x:f>IF(OR(A53="",B53=""),"",IF(COUNTIFS('14_TIEMPOS_CRUDOS'!$B$5:$B$304,$A53,'14_TIEMPOS_CRUDOS'!$C$5:$C$304,$B53)=0,"",COUNTIFS('14_TIEMPOS_CRUDOS'!$B$5:$B$304,$A53,'14_TIEMPOS_CRUDOS'!$C$5:$C$304,$B53)))</x:f>
      </x:c>
      <x:c r="D53" s="22" t="str">
        <x:f>IF(C53="","",COUNTIFS('14_TIEMPOS_CRUDOS'!$B$5:$B$304,$A53,'14_TIEMPOS_CRUDOS'!$C$5:$C$304,$B53,'14_TIEMPOS_CRUDOS'!$H$5:$H$304,"VÁLIDO"))</x:f>
      </x:c>
      <x:c r="E53" s="30" t="str">
        <x:f>IF(OR(D53="",D53=0),"",IFERROR(_xlfn.PERCENTILE.INC(_xlfn._xlws.FILTER('14_TIEMPOS_CRUDOS'!$D$5:$D$304,('14_TIEMPOS_CRUDOS'!$B$5:$B$304=$A53)*('14_TIEMPOS_CRUDOS'!$C$5:$C$304=$B53)*('14_TIEMPOS_CRUDOS'!$H$5:$H$304="VÁLIDO")),0.95),""))</x:f>
      </x:c>
      <x:c r="F53" s="30" t="str">
        <x:f>IF(OR(D53="",D53=0),"",IFERROR(_xlfn.PERCENTILE.INC(_xlfn._xlws.FILTER('14_TIEMPOS_CRUDOS'!$D$5:$D$304,('14_TIEMPOS_CRUDOS'!$B$5:$B$304=$A53)*('14_TIEMPOS_CRUDOS'!$C$5:$C$304=$B53)*('14_TIEMPOS_CRUDOS'!$H$5:$H$304="VÁLIDO")),0.99),""))</x:f>
      </x:c>
      <x:c r="G53" s="22" t="str">
        <x:f>IF(D53="","","ms")</x:f>
      </x:c>
      <x:c r="H53" s="20"/>
      <x:c r="I53" s="20"/>
      <x:c r="J53" s="22" t="str">
        <x:f>IF(OR(D53="",D53=0),"SIN DATOS","REVISAR SUFICIENCIA / PRECISIÓN DEL n; NO HAY MÍNIMO APROBADO")</x:f>
        <x:v>SIN DATOS</x:v>
      </x:c>
      <x:c r="K53" s="22" t="str">
        <x:f>IF(D53&gt;0,"Ver evidencia individual de 14_TIEMPOS_CRUDOS","")</x:f>
      </x:c>
      <x:c r="L53" s="22" t="str">
        <x:f>IF(OR(A53="",B53=""),"SIN DATOS",IF(C53="","SIN DATOS",IF(OR(D53=0,H53="",I53="",E53="",F53=""),"INCOMPLETO",IF(F53&lt;E53,"REVISAR","VÁLIDO"))))</x:f>
        <x:v>SIN DATOS</x:v>
      </x:c>
      <x:c r="M53" s="22" t="str">
        <x:f>IF(L53&lt;&gt;"VÁLIDO","SIN DATOS",IF(OR('02_PARAMETROS'!$I$10&lt;&gt;"APROBADO",NOT(ISNUMBER('02_PARAMETROS'!$G$10)),'02_PARAMETROS'!$H$10=""),"PENDIENTE DE APROBACIÓN",IF(OR(AND('02_PARAMETROS'!$H$10="&gt;=",E53&gt;='02_PARAMETROS'!$G$10),AND('02_PARAMETROS'!$H$10="&lt;=",E53&lt;='02_PARAMETROS'!$G$10),AND('02_PARAMETROS'!$H$10="&gt;",E53&gt;'02_PARAMETROS'!$G$10),AND('02_PARAMETROS'!$H$10="&lt;",E53&lt;'02_PARAMETROS'!$G$10),AND('02_PARAMETROS'!$H$10="=",E53='02_PARAMETROS'!$G$10)),"CUMPLE","NO CUMPLE")))</x:f>
        <x:v>SIN DATOS</x:v>
      </x:c>
      <x:c r="N53" s="22" t="str">
        <x:f>IF(L53&lt;&gt;"VÁLIDO","SIN DATOS",IF(OR('02_PARAMETROS'!$I$11&lt;&gt;"APROBADO",NOT(ISNUMBER('02_PARAMETROS'!$G$11)),'02_PARAMETROS'!$H$11=""),"PENDIENTE DE APROBACIÓN",IF(OR(AND('02_PARAMETROS'!$H$11="&gt;=",F53&gt;='02_PARAMETROS'!$G$11),AND('02_PARAMETROS'!$H$11="&lt;=",F53&lt;='02_PARAMETROS'!$G$11),AND('02_PARAMETROS'!$H$11="&gt;",F53&gt;'02_PARAMETROS'!$G$11),AND('02_PARAMETROS'!$H$11="&lt;",F53&lt;'02_PARAMETROS'!$G$11),AND('02_PARAMETROS'!$H$11="=",F53='02_PARAMETROS'!$G$11)),"CUMPLE","NO CUMPLE")))</x:f>
        <x:v>SIN DATOS</x:v>
      </x:c>
    </x:row>
    <x:row r="54">
      <x:c r="A54" s="20"/>
      <x:c r="B54" s="20"/>
      <x:c r="C54" s="22" t="str">
        <x:f>IF(OR(A54="",B54=""),"",IF(COUNTIFS('14_TIEMPOS_CRUDOS'!$B$5:$B$304,$A54,'14_TIEMPOS_CRUDOS'!$C$5:$C$304,$B54)=0,"",COUNTIFS('14_TIEMPOS_CRUDOS'!$B$5:$B$304,$A54,'14_TIEMPOS_CRUDOS'!$C$5:$C$304,$B54)))</x:f>
      </x:c>
      <x:c r="D54" s="22" t="str">
        <x:f>IF(C54="","",COUNTIFS('14_TIEMPOS_CRUDOS'!$B$5:$B$304,$A54,'14_TIEMPOS_CRUDOS'!$C$5:$C$304,$B54,'14_TIEMPOS_CRUDOS'!$H$5:$H$304,"VÁLIDO"))</x:f>
      </x:c>
      <x:c r="E54" s="30" t="str">
        <x:f>IF(OR(D54="",D54=0),"",IFERROR(_xlfn.PERCENTILE.INC(_xlfn._xlws.FILTER('14_TIEMPOS_CRUDOS'!$D$5:$D$304,('14_TIEMPOS_CRUDOS'!$B$5:$B$304=$A54)*('14_TIEMPOS_CRUDOS'!$C$5:$C$304=$B54)*('14_TIEMPOS_CRUDOS'!$H$5:$H$304="VÁLIDO")),0.95),""))</x:f>
      </x:c>
      <x:c r="F54" s="30" t="str">
        <x:f>IF(OR(D54="",D54=0),"",IFERROR(_xlfn.PERCENTILE.INC(_xlfn._xlws.FILTER('14_TIEMPOS_CRUDOS'!$D$5:$D$304,('14_TIEMPOS_CRUDOS'!$B$5:$B$304=$A54)*('14_TIEMPOS_CRUDOS'!$C$5:$C$304=$B54)*('14_TIEMPOS_CRUDOS'!$H$5:$H$304="VÁLIDO")),0.99),""))</x:f>
      </x:c>
      <x:c r="G54" s="22" t="str">
        <x:f>IF(D54="","","ms")</x:f>
      </x:c>
      <x:c r="H54" s="20"/>
      <x:c r="I54" s="20"/>
      <x:c r="J54" s="22" t="str">
        <x:f>IF(OR(D54="",D54=0),"SIN DATOS","REVISAR SUFICIENCIA / PRECISIÓN DEL n; NO HAY MÍNIMO APROBADO")</x:f>
        <x:v>SIN DATOS</x:v>
      </x:c>
      <x:c r="K54" s="22" t="str">
        <x:f>IF(D54&gt;0,"Ver evidencia individual de 14_TIEMPOS_CRUDOS","")</x:f>
      </x:c>
      <x:c r="L54" s="22" t="str">
        <x:f>IF(OR(A54="",B54=""),"SIN DATOS",IF(C54="","SIN DATOS",IF(OR(D54=0,H54="",I54="",E54="",F54=""),"INCOMPLETO",IF(F54&lt;E54,"REVISAR","VÁLIDO"))))</x:f>
        <x:v>SIN DATOS</x:v>
      </x:c>
      <x:c r="M54" s="22" t="str">
        <x:f>IF(L54&lt;&gt;"VÁLIDO","SIN DATOS",IF(OR('02_PARAMETROS'!$I$10&lt;&gt;"APROBADO",NOT(ISNUMBER('02_PARAMETROS'!$G$10)),'02_PARAMETROS'!$H$10=""),"PENDIENTE DE APROBACIÓN",IF(OR(AND('02_PARAMETROS'!$H$10="&gt;=",E54&gt;='02_PARAMETROS'!$G$10),AND('02_PARAMETROS'!$H$10="&lt;=",E54&lt;='02_PARAMETROS'!$G$10),AND('02_PARAMETROS'!$H$10="&gt;",E54&gt;'02_PARAMETROS'!$G$10),AND('02_PARAMETROS'!$H$10="&lt;",E54&lt;'02_PARAMETROS'!$G$10),AND('02_PARAMETROS'!$H$10="=",E54='02_PARAMETROS'!$G$10)),"CUMPLE","NO CUMPLE")))</x:f>
        <x:v>SIN DATOS</x:v>
      </x:c>
      <x:c r="N54" s="22" t="str">
        <x:f>IF(L54&lt;&gt;"VÁLIDO","SIN DATOS",IF(OR('02_PARAMETROS'!$I$11&lt;&gt;"APROBADO",NOT(ISNUMBER('02_PARAMETROS'!$G$11)),'02_PARAMETROS'!$H$11=""),"PENDIENTE DE APROBACIÓN",IF(OR(AND('02_PARAMETROS'!$H$11="&gt;=",F54&gt;='02_PARAMETROS'!$G$11),AND('02_PARAMETROS'!$H$11="&lt;=",F54&lt;='02_PARAMETROS'!$G$11),AND('02_PARAMETROS'!$H$11="&gt;",F54&gt;'02_PARAMETROS'!$G$11),AND('02_PARAMETROS'!$H$11="&lt;",F54&lt;'02_PARAMETROS'!$G$11),AND('02_PARAMETROS'!$H$11="=",F54='02_PARAMETROS'!$G$11)),"CUMPLE","NO CUMPLE")))</x:f>
        <x:v>SIN DATOS</x:v>
      </x:c>
    </x:row>
    <x:row r="55">
      <x:c r="A55" s="20"/>
      <x:c r="B55" s="20"/>
      <x:c r="C55" s="22" t="str">
        <x:f>IF(OR(A55="",B55=""),"",IF(COUNTIFS('14_TIEMPOS_CRUDOS'!$B$5:$B$304,$A55,'14_TIEMPOS_CRUDOS'!$C$5:$C$304,$B55)=0,"",COUNTIFS('14_TIEMPOS_CRUDOS'!$B$5:$B$304,$A55,'14_TIEMPOS_CRUDOS'!$C$5:$C$304,$B55)))</x:f>
      </x:c>
      <x:c r="D55" s="22" t="str">
        <x:f>IF(C55="","",COUNTIFS('14_TIEMPOS_CRUDOS'!$B$5:$B$304,$A55,'14_TIEMPOS_CRUDOS'!$C$5:$C$304,$B55,'14_TIEMPOS_CRUDOS'!$H$5:$H$304,"VÁLIDO"))</x:f>
      </x:c>
      <x:c r="E55" s="30" t="str">
        <x:f>IF(OR(D55="",D55=0),"",IFERROR(_xlfn.PERCENTILE.INC(_xlfn._xlws.FILTER('14_TIEMPOS_CRUDOS'!$D$5:$D$304,('14_TIEMPOS_CRUDOS'!$B$5:$B$304=$A55)*('14_TIEMPOS_CRUDOS'!$C$5:$C$304=$B55)*('14_TIEMPOS_CRUDOS'!$H$5:$H$304="VÁLIDO")),0.95),""))</x:f>
      </x:c>
      <x:c r="F55" s="30" t="str">
        <x:f>IF(OR(D55="",D55=0),"",IFERROR(_xlfn.PERCENTILE.INC(_xlfn._xlws.FILTER('14_TIEMPOS_CRUDOS'!$D$5:$D$304,('14_TIEMPOS_CRUDOS'!$B$5:$B$304=$A55)*('14_TIEMPOS_CRUDOS'!$C$5:$C$304=$B55)*('14_TIEMPOS_CRUDOS'!$H$5:$H$304="VÁLIDO")),0.99),""))</x:f>
      </x:c>
      <x:c r="G55" s="22" t="str">
        <x:f>IF(D55="","","ms")</x:f>
      </x:c>
      <x:c r="H55" s="20"/>
      <x:c r="I55" s="20"/>
      <x:c r="J55" s="22" t="str">
        <x:f>IF(OR(D55="",D55=0),"SIN DATOS","REVISAR SUFICIENCIA / PRECISIÓN DEL n; NO HAY MÍNIMO APROBADO")</x:f>
        <x:v>SIN DATOS</x:v>
      </x:c>
      <x:c r="K55" s="22" t="str">
        <x:f>IF(D55&gt;0,"Ver evidencia individual de 14_TIEMPOS_CRUDOS","")</x:f>
      </x:c>
      <x:c r="L55" s="22" t="str">
        <x:f>IF(OR(A55="",B55=""),"SIN DATOS",IF(C55="","SIN DATOS",IF(OR(D55=0,H55="",I55="",E55="",F55=""),"INCOMPLETO",IF(F55&lt;E55,"REVISAR","VÁLIDO"))))</x:f>
        <x:v>SIN DATOS</x:v>
      </x:c>
      <x:c r="M55" s="22" t="str">
        <x:f>IF(L55&lt;&gt;"VÁLIDO","SIN DATOS",IF(OR('02_PARAMETROS'!$I$10&lt;&gt;"APROBADO",NOT(ISNUMBER('02_PARAMETROS'!$G$10)),'02_PARAMETROS'!$H$10=""),"PENDIENTE DE APROBACIÓN",IF(OR(AND('02_PARAMETROS'!$H$10="&gt;=",E55&gt;='02_PARAMETROS'!$G$10),AND('02_PARAMETROS'!$H$10="&lt;=",E55&lt;='02_PARAMETROS'!$G$10),AND('02_PARAMETROS'!$H$10="&gt;",E55&gt;'02_PARAMETROS'!$G$10),AND('02_PARAMETROS'!$H$10="&lt;",E55&lt;'02_PARAMETROS'!$G$10),AND('02_PARAMETROS'!$H$10="=",E55='02_PARAMETROS'!$G$10)),"CUMPLE","NO CUMPLE")))</x:f>
        <x:v>SIN DATOS</x:v>
      </x:c>
      <x:c r="N55" s="22" t="str">
        <x:f>IF(L55&lt;&gt;"VÁLIDO","SIN DATOS",IF(OR('02_PARAMETROS'!$I$11&lt;&gt;"APROBADO",NOT(ISNUMBER('02_PARAMETROS'!$G$11)),'02_PARAMETROS'!$H$11=""),"PENDIENTE DE APROBACIÓN",IF(OR(AND('02_PARAMETROS'!$H$11="&gt;=",F55&gt;='02_PARAMETROS'!$G$11),AND('02_PARAMETROS'!$H$11="&lt;=",F55&lt;='02_PARAMETROS'!$G$11),AND('02_PARAMETROS'!$H$11="&gt;",F55&gt;'02_PARAMETROS'!$G$11),AND('02_PARAMETROS'!$H$11="&lt;",F55&lt;'02_PARAMETROS'!$G$11),AND('02_PARAMETROS'!$H$11="=",F55='02_PARAMETROS'!$G$11)),"CUMPLE","NO CUMPLE")))</x:f>
        <x:v>SIN DATOS</x:v>
      </x:c>
    </x:row>
    <x:row r="56">
      <x:c r="A56" s="20"/>
      <x:c r="B56" s="20"/>
      <x:c r="C56" s="22" t="str">
        <x:f>IF(OR(A56="",B56=""),"",IF(COUNTIFS('14_TIEMPOS_CRUDOS'!$B$5:$B$304,$A56,'14_TIEMPOS_CRUDOS'!$C$5:$C$304,$B56)=0,"",COUNTIFS('14_TIEMPOS_CRUDOS'!$B$5:$B$304,$A56,'14_TIEMPOS_CRUDOS'!$C$5:$C$304,$B56)))</x:f>
      </x:c>
      <x:c r="D56" s="22" t="str">
        <x:f>IF(C56="","",COUNTIFS('14_TIEMPOS_CRUDOS'!$B$5:$B$304,$A56,'14_TIEMPOS_CRUDOS'!$C$5:$C$304,$B56,'14_TIEMPOS_CRUDOS'!$H$5:$H$304,"VÁLIDO"))</x:f>
      </x:c>
      <x:c r="E56" s="30" t="str">
        <x:f>IF(OR(D56="",D56=0),"",IFERROR(_xlfn.PERCENTILE.INC(_xlfn._xlws.FILTER('14_TIEMPOS_CRUDOS'!$D$5:$D$304,('14_TIEMPOS_CRUDOS'!$B$5:$B$304=$A56)*('14_TIEMPOS_CRUDOS'!$C$5:$C$304=$B56)*('14_TIEMPOS_CRUDOS'!$H$5:$H$304="VÁLIDO")),0.95),""))</x:f>
      </x:c>
      <x:c r="F56" s="30" t="str">
        <x:f>IF(OR(D56="",D56=0),"",IFERROR(_xlfn.PERCENTILE.INC(_xlfn._xlws.FILTER('14_TIEMPOS_CRUDOS'!$D$5:$D$304,('14_TIEMPOS_CRUDOS'!$B$5:$B$304=$A56)*('14_TIEMPOS_CRUDOS'!$C$5:$C$304=$B56)*('14_TIEMPOS_CRUDOS'!$H$5:$H$304="VÁLIDO")),0.99),""))</x:f>
      </x:c>
      <x:c r="G56" s="22" t="str">
        <x:f>IF(D56="","","ms")</x:f>
      </x:c>
      <x:c r="H56" s="20"/>
      <x:c r="I56" s="20"/>
      <x:c r="J56" s="22" t="str">
        <x:f>IF(OR(D56="",D56=0),"SIN DATOS","REVISAR SUFICIENCIA / PRECISIÓN DEL n; NO HAY MÍNIMO APROBADO")</x:f>
        <x:v>SIN DATOS</x:v>
      </x:c>
      <x:c r="K56" s="22" t="str">
        <x:f>IF(D56&gt;0,"Ver evidencia individual de 14_TIEMPOS_CRUDOS","")</x:f>
      </x:c>
      <x:c r="L56" s="22" t="str">
        <x:f>IF(OR(A56="",B56=""),"SIN DATOS",IF(C56="","SIN DATOS",IF(OR(D56=0,H56="",I56="",E56="",F56=""),"INCOMPLETO",IF(F56&lt;E56,"REVISAR","VÁLIDO"))))</x:f>
        <x:v>SIN DATOS</x:v>
      </x:c>
      <x:c r="M56" s="22" t="str">
        <x:f>IF(L56&lt;&gt;"VÁLIDO","SIN DATOS",IF(OR('02_PARAMETROS'!$I$10&lt;&gt;"APROBADO",NOT(ISNUMBER('02_PARAMETROS'!$G$10)),'02_PARAMETROS'!$H$10=""),"PENDIENTE DE APROBACIÓN",IF(OR(AND('02_PARAMETROS'!$H$10="&gt;=",E56&gt;='02_PARAMETROS'!$G$10),AND('02_PARAMETROS'!$H$10="&lt;=",E56&lt;='02_PARAMETROS'!$G$10),AND('02_PARAMETROS'!$H$10="&gt;",E56&gt;'02_PARAMETROS'!$G$10),AND('02_PARAMETROS'!$H$10="&lt;",E56&lt;'02_PARAMETROS'!$G$10),AND('02_PARAMETROS'!$H$10="=",E56='02_PARAMETROS'!$G$10)),"CUMPLE","NO CUMPLE")))</x:f>
        <x:v>SIN DATOS</x:v>
      </x:c>
      <x:c r="N56" s="22" t="str">
        <x:f>IF(L56&lt;&gt;"VÁLIDO","SIN DATOS",IF(OR('02_PARAMETROS'!$I$11&lt;&gt;"APROBADO",NOT(ISNUMBER('02_PARAMETROS'!$G$11)),'02_PARAMETROS'!$H$11=""),"PENDIENTE DE APROBACIÓN",IF(OR(AND('02_PARAMETROS'!$H$11="&gt;=",F56&gt;='02_PARAMETROS'!$G$11),AND('02_PARAMETROS'!$H$11="&lt;=",F56&lt;='02_PARAMETROS'!$G$11),AND('02_PARAMETROS'!$H$11="&gt;",F56&gt;'02_PARAMETROS'!$G$11),AND('02_PARAMETROS'!$H$11="&lt;",F56&lt;'02_PARAMETROS'!$G$11),AND('02_PARAMETROS'!$H$11="=",F56='02_PARAMETROS'!$G$11)),"CUMPLE","NO CUMPLE")))</x:f>
        <x:v>SIN DATOS</x:v>
      </x:c>
    </x:row>
    <x:row r="57">
      <x:c r="A57" s="20"/>
      <x:c r="B57" s="20"/>
      <x:c r="C57" s="22" t="str">
        <x:f>IF(OR(A57="",B57=""),"",IF(COUNTIFS('14_TIEMPOS_CRUDOS'!$B$5:$B$304,$A57,'14_TIEMPOS_CRUDOS'!$C$5:$C$304,$B57)=0,"",COUNTIFS('14_TIEMPOS_CRUDOS'!$B$5:$B$304,$A57,'14_TIEMPOS_CRUDOS'!$C$5:$C$304,$B57)))</x:f>
      </x:c>
      <x:c r="D57" s="22" t="str">
        <x:f>IF(C57="","",COUNTIFS('14_TIEMPOS_CRUDOS'!$B$5:$B$304,$A57,'14_TIEMPOS_CRUDOS'!$C$5:$C$304,$B57,'14_TIEMPOS_CRUDOS'!$H$5:$H$304,"VÁLIDO"))</x:f>
      </x:c>
      <x:c r="E57" s="30" t="str">
        <x:f>IF(OR(D57="",D57=0),"",IFERROR(_xlfn.PERCENTILE.INC(_xlfn._xlws.FILTER('14_TIEMPOS_CRUDOS'!$D$5:$D$304,('14_TIEMPOS_CRUDOS'!$B$5:$B$304=$A57)*('14_TIEMPOS_CRUDOS'!$C$5:$C$304=$B57)*('14_TIEMPOS_CRUDOS'!$H$5:$H$304="VÁLIDO")),0.95),""))</x:f>
      </x:c>
      <x:c r="F57" s="30" t="str">
        <x:f>IF(OR(D57="",D57=0),"",IFERROR(_xlfn.PERCENTILE.INC(_xlfn._xlws.FILTER('14_TIEMPOS_CRUDOS'!$D$5:$D$304,('14_TIEMPOS_CRUDOS'!$B$5:$B$304=$A57)*('14_TIEMPOS_CRUDOS'!$C$5:$C$304=$B57)*('14_TIEMPOS_CRUDOS'!$H$5:$H$304="VÁLIDO")),0.99),""))</x:f>
      </x:c>
      <x:c r="G57" s="22" t="str">
        <x:f>IF(D57="","","ms")</x:f>
      </x:c>
      <x:c r="H57" s="20"/>
      <x:c r="I57" s="20"/>
      <x:c r="J57" s="22" t="str">
        <x:f>IF(OR(D57="",D57=0),"SIN DATOS","REVISAR SUFICIENCIA / PRECISIÓN DEL n; NO HAY MÍNIMO APROBADO")</x:f>
        <x:v>SIN DATOS</x:v>
      </x:c>
      <x:c r="K57" s="22" t="str">
        <x:f>IF(D57&gt;0,"Ver evidencia individual de 14_TIEMPOS_CRUDOS","")</x:f>
      </x:c>
      <x:c r="L57" s="22" t="str">
        <x:f>IF(OR(A57="",B57=""),"SIN DATOS",IF(C57="","SIN DATOS",IF(OR(D57=0,H57="",I57="",E57="",F57=""),"INCOMPLETO",IF(F57&lt;E57,"REVISAR","VÁLIDO"))))</x:f>
        <x:v>SIN DATOS</x:v>
      </x:c>
      <x:c r="M57" s="22" t="str">
        <x:f>IF(L57&lt;&gt;"VÁLIDO","SIN DATOS",IF(OR('02_PARAMETROS'!$I$10&lt;&gt;"APROBADO",NOT(ISNUMBER('02_PARAMETROS'!$G$10)),'02_PARAMETROS'!$H$10=""),"PENDIENTE DE APROBACIÓN",IF(OR(AND('02_PARAMETROS'!$H$10="&gt;=",E57&gt;='02_PARAMETROS'!$G$10),AND('02_PARAMETROS'!$H$10="&lt;=",E57&lt;='02_PARAMETROS'!$G$10),AND('02_PARAMETROS'!$H$10="&gt;",E57&gt;'02_PARAMETROS'!$G$10),AND('02_PARAMETROS'!$H$10="&lt;",E57&lt;'02_PARAMETROS'!$G$10),AND('02_PARAMETROS'!$H$10="=",E57='02_PARAMETROS'!$G$10)),"CUMPLE","NO CUMPLE")))</x:f>
        <x:v>SIN DATOS</x:v>
      </x:c>
      <x:c r="N57" s="22" t="str">
        <x:f>IF(L57&lt;&gt;"VÁLIDO","SIN DATOS",IF(OR('02_PARAMETROS'!$I$11&lt;&gt;"APROBADO",NOT(ISNUMBER('02_PARAMETROS'!$G$11)),'02_PARAMETROS'!$H$11=""),"PENDIENTE DE APROBACIÓN",IF(OR(AND('02_PARAMETROS'!$H$11="&gt;=",F57&gt;='02_PARAMETROS'!$G$11),AND('02_PARAMETROS'!$H$11="&lt;=",F57&lt;='02_PARAMETROS'!$G$11),AND('02_PARAMETROS'!$H$11="&gt;",F57&gt;'02_PARAMETROS'!$G$11),AND('02_PARAMETROS'!$H$11="&lt;",F57&lt;'02_PARAMETROS'!$G$11),AND('02_PARAMETROS'!$H$11="=",F57='02_PARAMETROS'!$G$11)),"CUMPLE","NO CUMPLE")))</x:f>
        <x:v>SIN DATOS</x:v>
      </x:c>
    </x:row>
    <x:row r="58">
      <x:c r="A58" s="20"/>
      <x:c r="B58" s="20"/>
      <x:c r="C58" s="22" t="str">
        <x:f>IF(OR(A58="",B58=""),"",IF(COUNTIFS('14_TIEMPOS_CRUDOS'!$B$5:$B$304,$A58,'14_TIEMPOS_CRUDOS'!$C$5:$C$304,$B58)=0,"",COUNTIFS('14_TIEMPOS_CRUDOS'!$B$5:$B$304,$A58,'14_TIEMPOS_CRUDOS'!$C$5:$C$304,$B58)))</x:f>
      </x:c>
      <x:c r="D58" s="22" t="str">
        <x:f>IF(C58="","",COUNTIFS('14_TIEMPOS_CRUDOS'!$B$5:$B$304,$A58,'14_TIEMPOS_CRUDOS'!$C$5:$C$304,$B58,'14_TIEMPOS_CRUDOS'!$H$5:$H$304,"VÁLIDO"))</x:f>
      </x:c>
      <x:c r="E58" s="30" t="str">
        <x:f>IF(OR(D58="",D58=0),"",IFERROR(_xlfn.PERCENTILE.INC(_xlfn._xlws.FILTER('14_TIEMPOS_CRUDOS'!$D$5:$D$304,('14_TIEMPOS_CRUDOS'!$B$5:$B$304=$A58)*('14_TIEMPOS_CRUDOS'!$C$5:$C$304=$B58)*('14_TIEMPOS_CRUDOS'!$H$5:$H$304="VÁLIDO")),0.95),""))</x:f>
      </x:c>
      <x:c r="F58" s="30" t="str">
        <x:f>IF(OR(D58="",D58=0),"",IFERROR(_xlfn.PERCENTILE.INC(_xlfn._xlws.FILTER('14_TIEMPOS_CRUDOS'!$D$5:$D$304,('14_TIEMPOS_CRUDOS'!$B$5:$B$304=$A58)*('14_TIEMPOS_CRUDOS'!$C$5:$C$304=$B58)*('14_TIEMPOS_CRUDOS'!$H$5:$H$304="VÁLIDO")),0.99),""))</x:f>
      </x:c>
      <x:c r="G58" s="22" t="str">
        <x:f>IF(D58="","","ms")</x:f>
      </x:c>
      <x:c r="H58" s="20"/>
      <x:c r="I58" s="20"/>
      <x:c r="J58" s="22" t="str">
        <x:f>IF(OR(D58="",D58=0),"SIN DATOS","REVISAR SUFICIENCIA / PRECISIÓN DEL n; NO HAY MÍNIMO APROBADO")</x:f>
        <x:v>SIN DATOS</x:v>
      </x:c>
      <x:c r="K58" s="22" t="str">
        <x:f>IF(D58&gt;0,"Ver evidencia individual de 14_TIEMPOS_CRUDOS","")</x:f>
      </x:c>
      <x:c r="L58" s="22" t="str">
        <x:f>IF(OR(A58="",B58=""),"SIN DATOS",IF(C58="","SIN DATOS",IF(OR(D58=0,H58="",I58="",E58="",F58=""),"INCOMPLETO",IF(F58&lt;E58,"REVISAR","VÁLIDO"))))</x:f>
        <x:v>SIN DATOS</x:v>
      </x:c>
      <x:c r="M58" s="22" t="str">
        <x:f>IF(L58&lt;&gt;"VÁLIDO","SIN DATOS",IF(OR('02_PARAMETROS'!$I$10&lt;&gt;"APROBADO",NOT(ISNUMBER('02_PARAMETROS'!$G$10)),'02_PARAMETROS'!$H$10=""),"PENDIENTE DE APROBACIÓN",IF(OR(AND('02_PARAMETROS'!$H$10="&gt;=",E58&gt;='02_PARAMETROS'!$G$10),AND('02_PARAMETROS'!$H$10="&lt;=",E58&lt;='02_PARAMETROS'!$G$10),AND('02_PARAMETROS'!$H$10="&gt;",E58&gt;'02_PARAMETROS'!$G$10),AND('02_PARAMETROS'!$H$10="&lt;",E58&lt;'02_PARAMETROS'!$G$10),AND('02_PARAMETROS'!$H$10="=",E58='02_PARAMETROS'!$G$10)),"CUMPLE","NO CUMPLE")))</x:f>
        <x:v>SIN DATOS</x:v>
      </x:c>
      <x:c r="N58" s="22" t="str">
        <x:f>IF(L58&lt;&gt;"VÁLIDO","SIN DATOS",IF(OR('02_PARAMETROS'!$I$11&lt;&gt;"APROBADO",NOT(ISNUMBER('02_PARAMETROS'!$G$11)),'02_PARAMETROS'!$H$11=""),"PENDIENTE DE APROBACIÓN",IF(OR(AND('02_PARAMETROS'!$H$11="&gt;=",F58&gt;='02_PARAMETROS'!$G$11),AND('02_PARAMETROS'!$H$11="&lt;=",F58&lt;='02_PARAMETROS'!$G$11),AND('02_PARAMETROS'!$H$11="&gt;",F58&gt;'02_PARAMETROS'!$G$11),AND('02_PARAMETROS'!$H$11="&lt;",F58&lt;'02_PARAMETROS'!$G$11),AND('02_PARAMETROS'!$H$11="=",F58='02_PARAMETROS'!$G$11)),"CUMPLE","NO CUMPLE")))</x:f>
        <x:v>SIN DATOS</x:v>
      </x:c>
    </x:row>
    <x:row r="59">
      <x:c r="A59" s="20"/>
      <x:c r="B59" s="20"/>
      <x:c r="C59" s="22" t="str">
        <x:f>IF(OR(A59="",B59=""),"",IF(COUNTIFS('14_TIEMPOS_CRUDOS'!$B$5:$B$304,$A59,'14_TIEMPOS_CRUDOS'!$C$5:$C$304,$B59)=0,"",COUNTIFS('14_TIEMPOS_CRUDOS'!$B$5:$B$304,$A59,'14_TIEMPOS_CRUDOS'!$C$5:$C$304,$B59)))</x:f>
      </x:c>
      <x:c r="D59" s="22" t="str">
        <x:f>IF(C59="","",COUNTIFS('14_TIEMPOS_CRUDOS'!$B$5:$B$304,$A59,'14_TIEMPOS_CRUDOS'!$C$5:$C$304,$B59,'14_TIEMPOS_CRUDOS'!$H$5:$H$304,"VÁLIDO"))</x:f>
      </x:c>
      <x:c r="E59" s="30" t="str">
        <x:f>IF(OR(D59="",D59=0),"",IFERROR(_xlfn.PERCENTILE.INC(_xlfn._xlws.FILTER('14_TIEMPOS_CRUDOS'!$D$5:$D$304,('14_TIEMPOS_CRUDOS'!$B$5:$B$304=$A59)*('14_TIEMPOS_CRUDOS'!$C$5:$C$304=$B59)*('14_TIEMPOS_CRUDOS'!$H$5:$H$304="VÁLIDO")),0.95),""))</x:f>
      </x:c>
      <x:c r="F59" s="30" t="str">
        <x:f>IF(OR(D59="",D59=0),"",IFERROR(_xlfn.PERCENTILE.INC(_xlfn._xlws.FILTER('14_TIEMPOS_CRUDOS'!$D$5:$D$304,('14_TIEMPOS_CRUDOS'!$B$5:$B$304=$A59)*('14_TIEMPOS_CRUDOS'!$C$5:$C$304=$B59)*('14_TIEMPOS_CRUDOS'!$H$5:$H$304="VÁLIDO")),0.99),""))</x:f>
      </x:c>
      <x:c r="G59" s="22" t="str">
        <x:f>IF(D59="","","ms")</x:f>
      </x:c>
      <x:c r="H59" s="20"/>
      <x:c r="I59" s="20"/>
      <x:c r="J59" s="22" t="str">
        <x:f>IF(OR(D59="",D59=0),"SIN DATOS","REVISAR SUFICIENCIA / PRECISIÓN DEL n; NO HAY MÍNIMO APROBADO")</x:f>
        <x:v>SIN DATOS</x:v>
      </x:c>
      <x:c r="K59" s="22" t="str">
        <x:f>IF(D59&gt;0,"Ver evidencia individual de 14_TIEMPOS_CRUDOS","")</x:f>
      </x:c>
      <x:c r="L59" s="22" t="str">
        <x:f>IF(OR(A59="",B59=""),"SIN DATOS",IF(C59="","SIN DATOS",IF(OR(D59=0,H59="",I59="",E59="",F59=""),"INCOMPLETO",IF(F59&lt;E59,"REVISAR","VÁLIDO"))))</x:f>
        <x:v>SIN DATOS</x:v>
      </x:c>
      <x:c r="M59" s="22" t="str">
        <x:f>IF(L59&lt;&gt;"VÁLIDO","SIN DATOS",IF(OR('02_PARAMETROS'!$I$10&lt;&gt;"APROBADO",NOT(ISNUMBER('02_PARAMETROS'!$G$10)),'02_PARAMETROS'!$H$10=""),"PENDIENTE DE APROBACIÓN",IF(OR(AND('02_PARAMETROS'!$H$10="&gt;=",E59&gt;='02_PARAMETROS'!$G$10),AND('02_PARAMETROS'!$H$10="&lt;=",E59&lt;='02_PARAMETROS'!$G$10),AND('02_PARAMETROS'!$H$10="&gt;",E59&gt;'02_PARAMETROS'!$G$10),AND('02_PARAMETROS'!$H$10="&lt;",E59&lt;'02_PARAMETROS'!$G$10),AND('02_PARAMETROS'!$H$10="=",E59='02_PARAMETROS'!$G$10)),"CUMPLE","NO CUMPLE")))</x:f>
        <x:v>SIN DATOS</x:v>
      </x:c>
      <x:c r="N59" s="22" t="str">
        <x:f>IF(L59&lt;&gt;"VÁLIDO","SIN DATOS",IF(OR('02_PARAMETROS'!$I$11&lt;&gt;"APROBADO",NOT(ISNUMBER('02_PARAMETROS'!$G$11)),'02_PARAMETROS'!$H$11=""),"PENDIENTE DE APROBACIÓN",IF(OR(AND('02_PARAMETROS'!$H$11="&gt;=",F59&gt;='02_PARAMETROS'!$G$11),AND('02_PARAMETROS'!$H$11="&lt;=",F59&lt;='02_PARAMETROS'!$G$11),AND('02_PARAMETROS'!$H$11="&gt;",F59&gt;'02_PARAMETROS'!$G$11),AND('02_PARAMETROS'!$H$11="&lt;",F59&lt;'02_PARAMETROS'!$G$11),AND('02_PARAMETROS'!$H$11="=",F59='02_PARAMETROS'!$G$11)),"CUMPLE","NO CUMPLE")))</x:f>
        <x:v>SIN DATOS</x:v>
      </x:c>
    </x:row>
    <x:row r="60">
      <x:c r="A60" s="20"/>
      <x:c r="B60" s="20"/>
      <x:c r="C60" s="22" t="str">
        <x:f>IF(OR(A60="",B60=""),"",IF(COUNTIFS('14_TIEMPOS_CRUDOS'!$B$5:$B$304,$A60,'14_TIEMPOS_CRUDOS'!$C$5:$C$304,$B60)=0,"",COUNTIFS('14_TIEMPOS_CRUDOS'!$B$5:$B$304,$A60,'14_TIEMPOS_CRUDOS'!$C$5:$C$304,$B60)))</x:f>
      </x:c>
      <x:c r="D60" s="22" t="str">
        <x:f>IF(C60="","",COUNTIFS('14_TIEMPOS_CRUDOS'!$B$5:$B$304,$A60,'14_TIEMPOS_CRUDOS'!$C$5:$C$304,$B60,'14_TIEMPOS_CRUDOS'!$H$5:$H$304,"VÁLIDO"))</x:f>
      </x:c>
      <x:c r="E60" s="30" t="str">
        <x:f>IF(OR(D60="",D60=0),"",IFERROR(_xlfn.PERCENTILE.INC(_xlfn._xlws.FILTER('14_TIEMPOS_CRUDOS'!$D$5:$D$304,('14_TIEMPOS_CRUDOS'!$B$5:$B$304=$A60)*('14_TIEMPOS_CRUDOS'!$C$5:$C$304=$B60)*('14_TIEMPOS_CRUDOS'!$H$5:$H$304="VÁLIDO")),0.95),""))</x:f>
      </x:c>
      <x:c r="F60" s="30" t="str">
        <x:f>IF(OR(D60="",D60=0),"",IFERROR(_xlfn.PERCENTILE.INC(_xlfn._xlws.FILTER('14_TIEMPOS_CRUDOS'!$D$5:$D$304,('14_TIEMPOS_CRUDOS'!$B$5:$B$304=$A60)*('14_TIEMPOS_CRUDOS'!$C$5:$C$304=$B60)*('14_TIEMPOS_CRUDOS'!$H$5:$H$304="VÁLIDO")),0.99),""))</x:f>
      </x:c>
      <x:c r="G60" s="22" t="str">
        <x:f>IF(D60="","","ms")</x:f>
      </x:c>
      <x:c r="H60" s="20"/>
      <x:c r="I60" s="20"/>
      <x:c r="J60" s="22" t="str">
        <x:f>IF(OR(D60="",D60=0),"SIN DATOS","REVISAR SUFICIENCIA / PRECISIÓN DEL n; NO HAY MÍNIMO APROBADO")</x:f>
        <x:v>SIN DATOS</x:v>
      </x:c>
      <x:c r="K60" s="22" t="str">
        <x:f>IF(D60&gt;0,"Ver evidencia individual de 14_TIEMPOS_CRUDOS","")</x:f>
      </x:c>
      <x:c r="L60" s="22" t="str">
        <x:f>IF(OR(A60="",B60=""),"SIN DATOS",IF(C60="","SIN DATOS",IF(OR(D60=0,H60="",I60="",E60="",F60=""),"INCOMPLETO",IF(F60&lt;E60,"REVISAR","VÁLIDO"))))</x:f>
        <x:v>SIN DATOS</x:v>
      </x:c>
      <x:c r="M60" s="22" t="str">
        <x:f>IF(L60&lt;&gt;"VÁLIDO","SIN DATOS",IF(OR('02_PARAMETROS'!$I$10&lt;&gt;"APROBADO",NOT(ISNUMBER('02_PARAMETROS'!$G$10)),'02_PARAMETROS'!$H$10=""),"PENDIENTE DE APROBACIÓN",IF(OR(AND('02_PARAMETROS'!$H$10="&gt;=",E60&gt;='02_PARAMETROS'!$G$10),AND('02_PARAMETROS'!$H$10="&lt;=",E60&lt;='02_PARAMETROS'!$G$10),AND('02_PARAMETROS'!$H$10="&gt;",E60&gt;'02_PARAMETROS'!$G$10),AND('02_PARAMETROS'!$H$10="&lt;",E60&lt;'02_PARAMETROS'!$G$10),AND('02_PARAMETROS'!$H$10="=",E60='02_PARAMETROS'!$G$10)),"CUMPLE","NO CUMPLE")))</x:f>
        <x:v>SIN DATOS</x:v>
      </x:c>
      <x:c r="N60" s="22" t="str">
        <x:f>IF(L60&lt;&gt;"VÁLIDO","SIN DATOS",IF(OR('02_PARAMETROS'!$I$11&lt;&gt;"APROBADO",NOT(ISNUMBER('02_PARAMETROS'!$G$11)),'02_PARAMETROS'!$H$11=""),"PENDIENTE DE APROBACIÓN",IF(OR(AND('02_PARAMETROS'!$H$11="&gt;=",F60&gt;='02_PARAMETROS'!$G$11),AND('02_PARAMETROS'!$H$11="&lt;=",F60&lt;='02_PARAMETROS'!$G$11),AND('02_PARAMETROS'!$H$11="&gt;",F60&gt;'02_PARAMETROS'!$G$11),AND('02_PARAMETROS'!$H$11="&lt;",F60&lt;'02_PARAMETROS'!$G$11),AND('02_PARAMETROS'!$H$11="=",F60='02_PARAMETROS'!$G$11)),"CUMPLE","NO CUMPLE")))</x:f>
        <x:v>SIN DATOS</x:v>
      </x:c>
    </x:row>
    <x:row r="61">
      <x:c r="A61" s="20"/>
      <x:c r="B61" s="20"/>
      <x:c r="C61" s="22" t="str">
        <x:f>IF(OR(A61="",B61=""),"",IF(COUNTIFS('14_TIEMPOS_CRUDOS'!$B$5:$B$304,$A61,'14_TIEMPOS_CRUDOS'!$C$5:$C$304,$B61)=0,"",COUNTIFS('14_TIEMPOS_CRUDOS'!$B$5:$B$304,$A61,'14_TIEMPOS_CRUDOS'!$C$5:$C$304,$B61)))</x:f>
      </x:c>
      <x:c r="D61" s="22" t="str">
        <x:f>IF(C61="","",COUNTIFS('14_TIEMPOS_CRUDOS'!$B$5:$B$304,$A61,'14_TIEMPOS_CRUDOS'!$C$5:$C$304,$B61,'14_TIEMPOS_CRUDOS'!$H$5:$H$304,"VÁLIDO"))</x:f>
      </x:c>
      <x:c r="E61" s="30" t="str">
        <x:f>IF(OR(D61="",D61=0),"",IFERROR(_xlfn.PERCENTILE.INC(_xlfn._xlws.FILTER('14_TIEMPOS_CRUDOS'!$D$5:$D$304,('14_TIEMPOS_CRUDOS'!$B$5:$B$304=$A61)*('14_TIEMPOS_CRUDOS'!$C$5:$C$304=$B61)*('14_TIEMPOS_CRUDOS'!$H$5:$H$304="VÁLIDO")),0.95),""))</x:f>
      </x:c>
      <x:c r="F61" s="30" t="str">
        <x:f>IF(OR(D61="",D61=0),"",IFERROR(_xlfn.PERCENTILE.INC(_xlfn._xlws.FILTER('14_TIEMPOS_CRUDOS'!$D$5:$D$304,('14_TIEMPOS_CRUDOS'!$B$5:$B$304=$A61)*('14_TIEMPOS_CRUDOS'!$C$5:$C$304=$B61)*('14_TIEMPOS_CRUDOS'!$H$5:$H$304="VÁLIDO")),0.99),""))</x:f>
      </x:c>
      <x:c r="G61" s="22" t="str">
        <x:f>IF(D61="","","ms")</x:f>
      </x:c>
      <x:c r="H61" s="20"/>
      <x:c r="I61" s="20"/>
      <x:c r="J61" s="22" t="str">
        <x:f>IF(OR(D61="",D61=0),"SIN DATOS","REVISAR SUFICIENCIA / PRECISIÓN DEL n; NO HAY MÍNIMO APROBADO")</x:f>
        <x:v>SIN DATOS</x:v>
      </x:c>
      <x:c r="K61" s="22" t="str">
        <x:f>IF(D61&gt;0,"Ver evidencia individual de 14_TIEMPOS_CRUDOS","")</x:f>
      </x:c>
      <x:c r="L61" s="22" t="str">
        <x:f>IF(OR(A61="",B61=""),"SIN DATOS",IF(C61="","SIN DATOS",IF(OR(D61=0,H61="",I61="",E61="",F61=""),"INCOMPLETO",IF(F61&lt;E61,"REVISAR","VÁLIDO"))))</x:f>
        <x:v>SIN DATOS</x:v>
      </x:c>
      <x:c r="M61" s="22" t="str">
        <x:f>IF(L61&lt;&gt;"VÁLIDO","SIN DATOS",IF(OR('02_PARAMETROS'!$I$10&lt;&gt;"APROBADO",NOT(ISNUMBER('02_PARAMETROS'!$G$10)),'02_PARAMETROS'!$H$10=""),"PENDIENTE DE APROBACIÓN",IF(OR(AND('02_PARAMETROS'!$H$10="&gt;=",E61&gt;='02_PARAMETROS'!$G$10),AND('02_PARAMETROS'!$H$10="&lt;=",E61&lt;='02_PARAMETROS'!$G$10),AND('02_PARAMETROS'!$H$10="&gt;",E61&gt;'02_PARAMETROS'!$G$10),AND('02_PARAMETROS'!$H$10="&lt;",E61&lt;'02_PARAMETROS'!$G$10),AND('02_PARAMETROS'!$H$10="=",E61='02_PARAMETROS'!$G$10)),"CUMPLE","NO CUMPLE")))</x:f>
        <x:v>SIN DATOS</x:v>
      </x:c>
      <x:c r="N61" s="22" t="str">
        <x:f>IF(L61&lt;&gt;"VÁLIDO","SIN DATOS",IF(OR('02_PARAMETROS'!$I$11&lt;&gt;"APROBADO",NOT(ISNUMBER('02_PARAMETROS'!$G$11)),'02_PARAMETROS'!$H$11=""),"PENDIENTE DE APROBACIÓN",IF(OR(AND('02_PARAMETROS'!$H$11="&gt;=",F61&gt;='02_PARAMETROS'!$G$11),AND('02_PARAMETROS'!$H$11="&lt;=",F61&lt;='02_PARAMETROS'!$G$11),AND('02_PARAMETROS'!$H$11="&gt;",F61&gt;'02_PARAMETROS'!$G$11),AND('02_PARAMETROS'!$H$11="&lt;",F61&lt;'02_PARAMETROS'!$G$11),AND('02_PARAMETROS'!$H$11="=",F61='02_PARAMETROS'!$G$11)),"CUMPLE","NO CUMPLE")))</x:f>
        <x:v>SIN DATOS</x:v>
      </x:c>
    </x:row>
    <x:row r="62">
      <x:c r="A62" s="20"/>
      <x:c r="B62" s="20"/>
      <x:c r="C62" s="22" t="str">
        <x:f>IF(OR(A62="",B62=""),"",IF(COUNTIFS('14_TIEMPOS_CRUDOS'!$B$5:$B$304,$A62,'14_TIEMPOS_CRUDOS'!$C$5:$C$304,$B62)=0,"",COUNTIFS('14_TIEMPOS_CRUDOS'!$B$5:$B$304,$A62,'14_TIEMPOS_CRUDOS'!$C$5:$C$304,$B62)))</x:f>
      </x:c>
      <x:c r="D62" s="22" t="str">
        <x:f>IF(C62="","",COUNTIFS('14_TIEMPOS_CRUDOS'!$B$5:$B$304,$A62,'14_TIEMPOS_CRUDOS'!$C$5:$C$304,$B62,'14_TIEMPOS_CRUDOS'!$H$5:$H$304,"VÁLIDO"))</x:f>
      </x:c>
      <x:c r="E62" s="30" t="str">
        <x:f>IF(OR(D62="",D62=0),"",IFERROR(_xlfn.PERCENTILE.INC(_xlfn._xlws.FILTER('14_TIEMPOS_CRUDOS'!$D$5:$D$304,('14_TIEMPOS_CRUDOS'!$B$5:$B$304=$A62)*('14_TIEMPOS_CRUDOS'!$C$5:$C$304=$B62)*('14_TIEMPOS_CRUDOS'!$H$5:$H$304="VÁLIDO")),0.95),""))</x:f>
      </x:c>
      <x:c r="F62" s="30" t="str">
        <x:f>IF(OR(D62="",D62=0),"",IFERROR(_xlfn.PERCENTILE.INC(_xlfn._xlws.FILTER('14_TIEMPOS_CRUDOS'!$D$5:$D$304,('14_TIEMPOS_CRUDOS'!$B$5:$B$304=$A62)*('14_TIEMPOS_CRUDOS'!$C$5:$C$304=$B62)*('14_TIEMPOS_CRUDOS'!$H$5:$H$304="VÁLIDO")),0.99),""))</x:f>
      </x:c>
      <x:c r="G62" s="22" t="str">
        <x:f>IF(D62="","","ms")</x:f>
      </x:c>
      <x:c r="H62" s="20"/>
      <x:c r="I62" s="20"/>
      <x:c r="J62" s="22" t="str">
        <x:f>IF(OR(D62="",D62=0),"SIN DATOS","REVISAR SUFICIENCIA / PRECISIÓN DEL n; NO HAY MÍNIMO APROBADO")</x:f>
        <x:v>SIN DATOS</x:v>
      </x:c>
      <x:c r="K62" s="22" t="str">
        <x:f>IF(D62&gt;0,"Ver evidencia individual de 14_TIEMPOS_CRUDOS","")</x:f>
      </x:c>
      <x:c r="L62" s="22" t="str">
        <x:f>IF(OR(A62="",B62=""),"SIN DATOS",IF(C62="","SIN DATOS",IF(OR(D62=0,H62="",I62="",E62="",F62=""),"INCOMPLETO",IF(F62&lt;E62,"REVISAR","VÁLIDO"))))</x:f>
        <x:v>SIN DATOS</x:v>
      </x:c>
      <x:c r="M62" s="22" t="str">
        <x:f>IF(L62&lt;&gt;"VÁLIDO","SIN DATOS",IF(OR('02_PARAMETROS'!$I$10&lt;&gt;"APROBADO",NOT(ISNUMBER('02_PARAMETROS'!$G$10)),'02_PARAMETROS'!$H$10=""),"PENDIENTE DE APROBACIÓN",IF(OR(AND('02_PARAMETROS'!$H$10="&gt;=",E62&gt;='02_PARAMETROS'!$G$10),AND('02_PARAMETROS'!$H$10="&lt;=",E62&lt;='02_PARAMETROS'!$G$10),AND('02_PARAMETROS'!$H$10="&gt;",E62&gt;'02_PARAMETROS'!$G$10),AND('02_PARAMETROS'!$H$10="&lt;",E62&lt;'02_PARAMETROS'!$G$10),AND('02_PARAMETROS'!$H$10="=",E62='02_PARAMETROS'!$G$10)),"CUMPLE","NO CUMPLE")))</x:f>
        <x:v>SIN DATOS</x:v>
      </x:c>
      <x:c r="N62" s="22" t="str">
        <x:f>IF(L62&lt;&gt;"VÁLIDO","SIN DATOS",IF(OR('02_PARAMETROS'!$I$11&lt;&gt;"APROBADO",NOT(ISNUMBER('02_PARAMETROS'!$G$11)),'02_PARAMETROS'!$H$11=""),"PENDIENTE DE APROBACIÓN",IF(OR(AND('02_PARAMETROS'!$H$11="&gt;=",F62&gt;='02_PARAMETROS'!$G$11),AND('02_PARAMETROS'!$H$11="&lt;=",F62&lt;='02_PARAMETROS'!$G$11),AND('02_PARAMETROS'!$H$11="&gt;",F62&gt;'02_PARAMETROS'!$G$11),AND('02_PARAMETROS'!$H$11="&lt;",F62&lt;'02_PARAMETROS'!$G$11),AND('02_PARAMETROS'!$H$11="=",F62='02_PARAMETROS'!$G$11)),"CUMPLE","NO CUMPLE")))</x:f>
        <x:v>SIN DATOS</x:v>
      </x:c>
    </x:row>
    <x:row r="63">
      <x:c r="A63" s="20"/>
      <x:c r="B63" s="20"/>
      <x:c r="C63" s="22" t="str">
        <x:f>IF(OR(A63="",B63=""),"",IF(COUNTIFS('14_TIEMPOS_CRUDOS'!$B$5:$B$304,$A63,'14_TIEMPOS_CRUDOS'!$C$5:$C$304,$B63)=0,"",COUNTIFS('14_TIEMPOS_CRUDOS'!$B$5:$B$304,$A63,'14_TIEMPOS_CRUDOS'!$C$5:$C$304,$B63)))</x:f>
      </x:c>
      <x:c r="D63" s="22" t="str">
        <x:f>IF(C63="","",COUNTIFS('14_TIEMPOS_CRUDOS'!$B$5:$B$304,$A63,'14_TIEMPOS_CRUDOS'!$C$5:$C$304,$B63,'14_TIEMPOS_CRUDOS'!$H$5:$H$304,"VÁLIDO"))</x:f>
      </x:c>
      <x:c r="E63" s="30" t="str">
        <x:f>IF(OR(D63="",D63=0),"",IFERROR(_xlfn.PERCENTILE.INC(_xlfn._xlws.FILTER('14_TIEMPOS_CRUDOS'!$D$5:$D$304,('14_TIEMPOS_CRUDOS'!$B$5:$B$304=$A63)*('14_TIEMPOS_CRUDOS'!$C$5:$C$304=$B63)*('14_TIEMPOS_CRUDOS'!$H$5:$H$304="VÁLIDO")),0.95),""))</x:f>
      </x:c>
      <x:c r="F63" s="30" t="str">
        <x:f>IF(OR(D63="",D63=0),"",IFERROR(_xlfn.PERCENTILE.INC(_xlfn._xlws.FILTER('14_TIEMPOS_CRUDOS'!$D$5:$D$304,('14_TIEMPOS_CRUDOS'!$B$5:$B$304=$A63)*('14_TIEMPOS_CRUDOS'!$C$5:$C$304=$B63)*('14_TIEMPOS_CRUDOS'!$H$5:$H$304="VÁLIDO")),0.99),""))</x:f>
      </x:c>
      <x:c r="G63" s="22" t="str">
        <x:f>IF(D63="","","ms")</x:f>
      </x:c>
      <x:c r="H63" s="20"/>
      <x:c r="I63" s="20"/>
      <x:c r="J63" s="22" t="str">
        <x:f>IF(OR(D63="",D63=0),"SIN DATOS","REVISAR SUFICIENCIA / PRECISIÓN DEL n; NO HAY MÍNIMO APROBADO")</x:f>
        <x:v>SIN DATOS</x:v>
      </x:c>
      <x:c r="K63" s="22" t="str">
        <x:f>IF(D63&gt;0,"Ver evidencia individual de 14_TIEMPOS_CRUDOS","")</x:f>
      </x:c>
      <x:c r="L63" s="22" t="str">
        <x:f>IF(OR(A63="",B63=""),"SIN DATOS",IF(C63="","SIN DATOS",IF(OR(D63=0,H63="",I63="",E63="",F63=""),"INCOMPLETO",IF(F63&lt;E63,"REVISAR","VÁLIDO"))))</x:f>
        <x:v>SIN DATOS</x:v>
      </x:c>
      <x:c r="M63" s="22" t="str">
        <x:f>IF(L63&lt;&gt;"VÁLIDO","SIN DATOS",IF(OR('02_PARAMETROS'!$I$10&lt;&gt;"APROBADO",NOT(ISNUMBER('02_PARAMETROS'!$G$10)),'02_PARAMETROS'!$H$10=""),"PENDIENTE DE APROBACIÓN",IF(OR(AND('02_PARAMETROS'!$H$10="&gt;=",E63&gt;='02_PARAMETROS'!$G$10),AND('02_PARAMETROS'!$H$10="&lt;=",E63&lt;='02_PARAMETROS'!$G$10),AND('02_PARAMETROS'!$H$10="&gt;",E63&gt;'02_PARAMETROS'!$G$10),AND('02_PARAMETROS'!$H$10="&lt;",E63&lt;'02_PARAMETROS'!$G$10),AND('02_PARAMETROS'!$H$10="=",E63='02_PARAMETROS'!$G$10)),"CUMPLE","NO CUMPLE")))</x:f>
        <x:v>SIN DATOS</x:v>
      </x:c>
      <x:c r="N63" s="22" t="str">
        <x:f>IF(L63&lt;&gt;"VÁLIDO","SIN DATOS",IF(OR('02_PARAMETROS'!$I$11&lt;&gt;"APROBADO",NOT(ISNUMBER('02_PARAMETROS'!$G$11)),'02_PARAMETROS'!$H$11=""),"PENDIENTE DE APROBACIÓN",IF(OR(AND('02_PARAMETROS'!$H$11="&gt;=",F63&gt;='02_PARAMETROS'!$G$11),AND('02_PARAMETROS'!$H$11="&lt;=",F63&lt;='02_PARAMETROS'!$G$11),AND('02_PARAMETROS'!$H$11="&gt;",F63&gt;'02_PARAMETROS'!$G$11),AND('02_PARAMETROS'!$H$11="&lt;",F63&lt;'02_PARAMETROS'!$G$11),AND('02_PARAMETROS'!$H$11="=",F63='02_PARAMETROS'!$G$11)),"CUMPLE","NO CUMPLE")))</x:f>
        <x:v>SIN DATOS</x:v>
      </x:c>
    </x:row>
    <x:row r="64">
      <x:c r="A64" s="20"/>
      <x:c r="B64" s="20"/>
      <x:c r="C64" s="22" t="str">
        <x:f>IF(OR(A64="",B64=""),"",IF(COUNTIFS('14_TIEMPOS_CRUDOS'!$B$5:$B$304,$A64,'14_TIEMPOS_CRUDOS'!$C$5:$C$304,$B64)=0,"",COUNTIFS('14_TIEMPOS_CRUDOS'!$B$5:$B$304,$A64,'14_TIEMPOS_CRUDOS'!$C$5:$C$304,$B64)))</x:f>
      </x:c>
      <x:c r="D64" s="22" t="str">
        <x:f>IF(C64="","",COUNTIFS('14_TIEMPOS_CRUDOS'!$B$5:$B$304,$A64,'14_TIEMPOS_CRUDOS'!$C$5:$C$304,$B64,'14_TIEMPOS_CRUDOS'!$H$5:$H$304,"VÁLIDO"))</x:f>
      </x:c>
      <x:c r="E64" s="30" t="str">
        <x:f>IF(OR(D64="",D64=0),"",IFERROR(_xlfn.PERCENTILE.INC(_xlfn._xlws.FILTER('14_TIEMPOS_CRUDOS'!$D$5:$D$304,('14_TIEMPOS_CRUDOS'!$B$5:$B$304=$A64)*('14_TIEMPOS_CRUDOS'!$C$5:$C$304=$B64)*('14_TIEMPOS_CRUDOS'!$H$5:$H$304="VÁLIDO")),0.95),""))</x:f>
      </x:c>
      <x:c r="F64" s="30" t="str">
        <x:f>IF(OR(D64="",D64=0),"",IFERROR(_xlfn.PERCENTILE.INC(_xlfn._xlws.FILTER('14_TIEMPOS_CRUDOS'!$D$5:$D$304,('14_TIEMPOS_CRUDOS'!$B$5:$B$304=$A64)*('14_TIEMPOS_CRUDOS'!$C$5:$C$304=$B64)*('14_TIEMPOS_CRUDOS'!$H$5:$H$304="VÁLIDO")),0.99),""))</x:f>
      </x:c>
      <x:c r="G64" s="22" t="str">
        <x:f>IF(D64="","","ms")</x:f>
      </x:c>
      <x:c r="H64" s="20"/>
      <x:c r="I64" s="20"/>
      <x:c r="J64" s="22" t="str">
        <x:f>IF(OR(D64="",D64=0),"SIN DATOS","REVISAR SUFICIENCIA / PRECISIÓN DEL n; NO HAY MÍNIMO APROBADO")</x:f>
        <x:v>SIN DATOS</x:v>
      </x:c>
      <x:c r="K64" s="22" t="str">
        <x:f>IF(D64&gt;0,"Ver evidencia individual de 14_TIEMPOS_CRUDOS","")</x:f>
      </x:c>
      <x:c r="L64" s="22" t="str">
        <x:f>IF(OR(A64="",B64=""),"SIN DATOS",IF(C64="","SIN DATOS",IF(OR(D64=0,H64="",I64="",E64="",F64=""),"INCOMPLETO",IF(F64&lt;E64,"REVISAR","VÁLIDO"))))</x:f>
        <x:v>SIN DATOS</x:v>
      </x:c>
      <x:c r="M64" s="22" t="str">
        <x:f>IF(L64&lt;&gt;"VÁLIDO","SIN DATOS",IF(OR('02_PARAMETROS'!$I$10&lt;&gt;"APROBADO",NOT(ISNUMBER('02_PARAMETROS'!$G$10)),'02_PARAMETROS'!$H$10=""),"PENDIENTE DE APROBACIÓN",IF(OR(AND('02_PARAMETROS'!$H$10="&gt;=",E64&gt;='02_PARAMETROS'!$G$10),AND('02_PARAMETROS'!$H$10="&lt;=",E64&lt;='02_PARAMETROS'!$G$10),AND('02_PARAMETROS'!$H$10="&gt;",E64&gt;'02_PARAMETROS'!$G$10),AND('02_PARAMETROS'!$H$10="&lt;",E64&lt;'02_PARAMETROS'!$G$10),AND('02_PARAMETROS'!$H$10="=",E64='02_PARAMETROS'!$G$10)),"CUMPLE","NO CUMPLE")))</x:f>
        <x:v>SIN DATOS</x:v>
      </x:c>
      <x:c r="N64" s="22" t="str">
        <x:f>IF(L64&lt;&gt;"VÁLIDO","SIN DATOS",IF(OR('02_PARAMETROS'!$I$11&lt;&gt;"APROBADO",NOT(ISNUMBER('02_PARAMETROS'!$G$11)),'02_PARAMETROS'!$H$11=""),"PENDIENTE DE APROBACIÓN",IF(OR(AND('02_PARAMETROS'!$H$11="&gt;=",F64&gt;='02_PARAMETROS'!$G$11),AND('02_PARAMETROS'!$H$11="&lt;=",F64&lt;='02_PARAMETROS'!$G$11),AND('02_PARAMETROS'!$H$11="&gt;",F64&gt;'02_PARAMETROS'!$G$11),AND('02_PARAMETROS'!$H$11="&lt;",F64&lt;'02_PARAMETROS'!$G$11),AND('02_PARAMETROS'!$H$11="=",F64='02_PARAMETROS'!$G$11)),"CUMPLE","NO CUMPLE")))</x:f>
        <x:v>SIN DATOS</x:v>
      </x:c>
    </x:row>
  </x:sheetData>
  <x:mergeCells>
    <x:mergeCell ref="A1:N1"/>
    <x:mergeCell ref="A2:N2"/>
  </x:mergeCells>
  <x:dataValidations count="1">
    <x:dataValidation type="list" sqref="A5:A64">
      <x:formula1>"ET-01,ET-02,ET-03,ET-04,ET-05,ET-06"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bb4fc995341b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16" hidden="0" customWidth="1"/>
    <x:col min="5" max="5" width="26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21" hidden="0" customWidth="1"/>
    <x:col min="11" max="11" width="26" hidden="0" customWidth="1"/>
    <x:col min="12" max="12" width="23" hidden="0" customWidth="1"/>
    <x:col min="13" max="13" width="38" hidden="0" customWidth="1"/>
    <x:col min="14" max="14" width="24" hidden="0" customWidth="1"/>
  </x:cols>
  <x:sheetData>
    <x:row r="1" ht="35" customHeight="1">
      <x:c r="A1" s="3" t="str">
        <x:v>CONFORMIDAD Y COBERTURA DE FORMULARIOS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7" t="str">
        <x:v>Catálogo preliminar; formularios sin evaluar no son conformes.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1" customHeight="1">
      <x:c r="A4" s="13" t="str">
        <x:v>Formulario</x:v>
      </x:c>
      <x:c r="B4" s="13" t="str">
        <x:v>Módulo</x:v>
      </x:c>
      <x:c r="C4" s="13" t="str">
        <x:v>Nombre</x:v>
      </x:c>
      <x:c r="D4" s="13" t="str">
        <x:v>Elegible</x:v>
      </x:c>
      <x:c r="E4" s="13" t="str">
        <x:v>Estado de evaluación</x:v>
      </x:c>
      <x:c r="F4" s="13" t="str">
        <x:v>Veredicto</x:v>
      </x:c>
      <x:c r="G4" s="13" t="str">
        <x:v>Elegibles</x:v>
      </x:c>
      <x:c r="H4" s="13" t="str">
        <x:v>Evaluados</x:v>
      </x:c>
      <x:c r="I4" s="13" t="str">
        <x:v>Conformes</x:v>
      </x:c>
      <x:c r="J4" s="13" t="str">
        <x:v>No conformes</x:v>
      </x:c>
      <x:c r="K4" s="13" t="str">
        <x:v>Conformidad (%)</x:v>
      </x:c>
      <x:c r="L4" s="13" t="str">
        <x:v>Cobertura (%)</x:v>
      </x:c>
      <x:c r="M4" s="13" t="str">
        <x:v>Evidencia</x:v>
      </x:c>
      <x:c r="N4" s="13" t="str">
        <x:v>Regla aprobada</x:v>
      </x:c>
    </x:row>
    <x:row r="5" ht="22" customHeight="1">
      <x:c r="A5" t="str">
        <x:v>FOR-001</x:v>
      </x:c>
      <x:c r="B5" t="str">
        <x:v>MOD-01</x:v>
      </x:c>
      <x:c r="C5" t="str">
        <x:v>Formulario usuarios</x:v>
      </x:c>
      <x:c r="D5" s="20"/>
      <x:c r="E5" s="22" t="str">
        <x:f>IF(D5="","SIN DATOS",IF(D5="No","EXCLUIDO",IF(N5&lt;&gt;"Sí","PENDIENTE DE APROBACIÓN",IF(COUNTIFS('17_FORMULARIOS_REGISTRO'!$B$5:$B$154,$A5,'17_FORMULARIOS_REGISTRO'!$J$5:$J$154,"INCOMPLETO")+COUNTIFS('17_FORMULARIOS_REGISTRO'!$B$5:$B$154,$A5,'17_FORMULARIOS_REGISTRO'!$J$5:$J$154,"REVISAR")&gt;0,"REVISAR",IF(COUNTIFS('17_FORMULARIOS_REGISTRO'!$B$5:$B$154,$A5,'17_FORMULARIOS_REGISTRO'!$J$5:$J$154,"VÁLIDO")=0,"SIN DATOS","EVALUADO")))))</x:f>
        <x:v>SIN DATOS</x:v>
      </x:c>
      <x:c r="F5" s="22" t="str">
        <x:f>IF(E5&lt;&gt;"EVALUADO","",IF(COUNTIFS('17_FORMULARIOS_REGISTRO'!$B$5:$B$154,$A5,'17_FORMULARIOS_REGISTRO'!$J$5:$J$154,"VÁLIDO",'17_FORMULARIOS_REGISTRO'!$F$5:$F$154,"No conforme")&gt;0,"NO CONFORME","CONFORME"))</x:f>
      </x:c>
      <x:c r="G5" s="22" t="str">
        <x:f>IF(D5="Sí",1,IF(D5="No",0,""))</x:f>
      </x:c>
      <x:c r="H5" s="22" t="str">
        <x:f>IF(E5="EVALUADO",1,IF(D5="No",0,""))</x:f>
      </x:c>
      <x:c r="I5" s="22" t="str">
        <x:f>IF(F5="CONFORME",1,IF(F5="NO CONFORME",0,""))</x:f>
      </x:c>
      <x:c r="J5" s="22" t="str">
        <x:f>IF(F5="NO CONFORME",1,IF(F5="CONFORME",0,""))</x:f>
      </x:c>
      <x:c r="K5" s="30" t="str">
        <x:f>IF(OR(H5="",H5=0),"",100*I5/H5)</x:f>
      </x:c>
      <x:c r="L5" s="30" t="str">
        <x:f>IF(OR(G5="",G5=0,H5=""),"",100*H5/G5)</x:f>
      </x:c>
      <x:c r="M5" s="22" t="str">
        <x:f>IF(H5=1,"Ver 17_FORMULARIOS_REGISTRO","")</x:f>
      </x:c>
      <x:c r="N5" s="20"/>
    </x:row>
    <x:row r="6" ht="22" customHeight="1">
      <x:c r="A6" t="str">
        <x:v>FOR-002</x:v>
      </x:c>
      <x:c r="B6" t="str">
        <x:v>MOD-02</x:v>
      </x:c>
      <x:c r="C6" t="str">
        <x:v>Formulario proyectos</x:v>
      </x:c>
      <x:c r="D6" s="20"/>
      <x:c r="E6" s="22" t="str">
        <x:f>IF(D6="","SIN DATOS",IF(D6="No","EXCLUIDO",IF(N6&lt;&gt;"Sí","PENDIENTE DE APROBACIÓN",IF(COUNTIFS('17_FORMULARIOS_REGISTRO'!$B$5:$B$154,$A6,'17_FORMULARIOS_REGISTRO'!$J$5:$J$154,"INCOMPLETO")+COUNTIFS('17_FORMULARIOS_REGISTRO'!$B$5:$B$154,$A6,'17_FORMULARIOS_REGISTRO'!$J$5:$J$154,"REVISAR")&gt;0,"REVISAR",IF(COUNTIFS('17_FORMULARIOS_REGISTRO'!$B$5:$B$154,$A6,'17_FORMULARIOS_REGISTRO'!$J$5:$J$154,"VÁLIDO")=0,"SIN DATOS","EVALUADO")))))</x:f>
        <x:v>SIN DATOS</x:v>
      </x:c>
      <x:c r="F6" s="22" t="str">
        <x:f>IF(E6&lt;&gt;"EVALUADO","",IF(COUNTIFS('17_FORMULARIOS_REGISTRO'!$B$5:$B$154,$A6,'17_FORMULARIOS_REGISTRO'!$J$5:$J$154,"VÁLIDO",'17_FORMULARIOS_REGISTRO'!$F$5:$F$154,"No conforme")&gt;0,"NO CONFORME","CONFORME"))</x:f>
      </x:c>
      <x:c r="G6" s="22" t="str">
        <x:f>IF(D6="Sí",1,IF(D6="No",0,""))</x:f>
      </x:c>
      <x:c r="H6" s="22" t="str">
        <x:f>IF(E6="EVALUADO",1,IF(D6="No",0,""))</x:f>
      </x:c>
      <x:c r="I6" s="22" t="str">
        <x:f>IF(F6="CONFORME",1,IF(F6="NO CONFORME",0,""))</x:f>
      </x:c>
      <x:c r="J6" s="22" t="str">
        <x:f>IF(F6="NO CONFORME",1,IF(F6="CONFORME",0,""))</x:f>
      </x:c>
      <x:c r="K6" s="30" t="str">
        <x:f>IF(OR(H6="",H6=0),"",100*I6/H6)</x:f>
      </x:c>
      <x:c r="L6" s="30" t="str">
        <x:f>IF(OR(G6="",G6=0,H6=""),"",100*H6/G6)</x:f>
      </x:c>
      <x:c r="M6" s="22" t="str">
        <x:f>IF(H6=1,"Ver 17_FORMULARIOS_REGISTRO","")</x:f>
      </x:c>
      <x:c r="N6" s="20"/>
    </x:row>
    <x:row r="7" ht="22" customHeight="1">
      <x:c r="A7" t="str">
        <x:v>FOR-003</x:v>
      </x:c>
      <x:c r="B7" t="str">
        <x:v>MOD-02</x:v>
      </x:c>
      <x:c r="C7" t="str">
        <x:v>Formulario rubros</x:v>
      </x:c>
      <x:c r="D7" s="20"/>
      <x:c r="E7" s="22" t="str">
        <x:f>IF(D7="","SIN DATOS",IF(D7="No","EXCLUIDO",IF(N7&lt;&gt;"Sí","PENDIENTE DE APROBACIÓN",IF(COUNTIFS('17_FORMULARIOS_REGISTRO'!$B$5:$B$154,$A7,'17_FORMULARIOS_REGISTRO'!$J$5:$J$154,"INCOMPLETO")+COUNTIFS('17_FORMULARIOS_REGISTRO'!$B$5:$B$154,$A7,'17_FORMULARIOS_REGISTRO'!$J$5:$J$154,"REVISAR")&gt;0,"REVISAR",IF(COUNTIFS('17_FORMULARIOS_REGISTRO'!$B$5:$B$154,$A7,'17_FORMULARIOS_REGISTRO'!$J$5:$J$154,"VÁLIDO")=0,"SIN DATOS","EVALUADO")))))</x:f>
        <x:v>SIN DATOS</x:v>
      </x:c>
      <x:c r="F7" s="22" t="str">
        <x:f>IF(E7&lt;&gt;"EVALUADO","",IF(COUNTIFS('17_FORMULARIOS_REGISTRO'!$B$5:$B$154,$A7,'17_FORMULARIOS_REGISTRO'!$J$5:$J$154,"VÁLIDO",'17_FORMULARIOS_REGISTRO'!$F$5:$F$154,"No conforme")&gt;0,"NO CONFORME","CONFORME"))</x:f>
      </x:c>
      <x:c r="G7" s="22" t="str">
        <x:f>IF(D7="Sí",1,IF(D7="No",0,""))</x:f>
      </x:c>
      <x:c r="H7" s="22" t="str">
        <x:f>IF(E7="EVALUADO",1,IF(D7="No",0,""))</x:f>
      </x:c>
      <x:c r="I7" s="22" t="str">
        <x:f>IF(F7="CONFORME",1,IF(F7="NO CONFORME",0,""))</x:f>
      </x:c>
      <x:c r="J7" s="22" t="str">
        <x:f>IF(F7="NO CONFORME",1,IF(F7="CONFORME",0,""))</x:f>
      </x:c>
      <x:c r="K7" s="30" t="str">
        <x:f>IF(OR(H7="",H7=0),"",100*I7/H7)</x:f>
      </x:c>
      <x:c r="L7" s="30" t="str">
        <x:f>IF(OR(G7="",G7=0,H7=""),"",100*H7/G7)</x:f>
      </x:c>
      <x:c r="M7" s="22" t="str">
        <x:f>IF(H7=1,"Ver 17_FORMULARIOS_REGISTRO","")</x:f>
      </x:c>
      <x:c r="N7" s="20"/>
    </x:row>
    <x:row r="8" ht="22" customHeight="1">
      <x:c r="A8" t="str">
        <x:v>FOR-004</x:v>
      </x:c>
      <x:c r="B8" t="str">
        <x:v>MOD-02</x:v>
      </x:c>
      <x:c r="C8" t="str">
        <x:v>Formulario acceso a proyectos</x:v>
      </x:c>
      <x:c r="D8" s="20"/>
      <x:c r="E8" s="22" t="str">
        <x:f>IF(D8="","SIN DATOS",IF(D8="No","EXCLUIDO",IF(N8&lt;&gt;"Sí","PENDIENTE DE APROBACIÓN",IF(COUNTIFS('17_FORMULARIOS_REGISTRO'!$B$5:$B$154,$A8,'17_FORMULARIOS_REGISTRO'!$J$5:$J$154,"INCOMPLETO")+COUNTIFS('17_FORMULARIOS_REGISTRO'!$B$5:$B$154,$A8,'17_FORMULARIOS_REGISTRO'!$J$5:$J$154,"REVISAR")&gt;0,"REVISAR",IF(COUNTIFS('17_FORMULARIOS_REGISTRO'!$B$5:$B$154,$A8,'17_FORMULARIOS_REGISTRO'!$J$5:$J$154,"VÁLIDO")=0,"SIN DATOS","EVALUADO")))))</x:f>
        <x:v>SIN DATOS</x:v>
      </x:c>
      <x:c r="F8" s="22" t="str">
        <x:f>IF(E8&lt;&gt;"EVALUADO","",IF(COUNTIFS('17_FORMULARIOS_REGISTRO'!$B$5:$B$154,$A8,'17_FORMULARIOS_REGISTRO'!$J$5:$J$154,"VÁLIDO",'17_FORMULARIOS_REGISTRO'!$F$5:$F$154,"No conforme")&gt;0,"NO CONFORME","CONFORME"))</x:f>
      </x:c>
      <x:c r="G8" s="22" t="str">
        <x:f>IF(D8="Sí",1,IF(D8="No",0,""))</x:f>
      </x:c>
      <x:c r="H8" s="22" t="str">
        <x:f>IF(E8="EVALUADO",1,IF(D8="No",0,""))</x:f>
      </x:c>
      <x:c r="I8" s="22" t="str">
        <x:f>IF(F8="CONFORME",1,IF(F8="NO CONFORME",0,""))</x:f>
      </x:c>
      <x:c r="J8" s="22" t="str">
        <x:f>IF(F8="NO CONFORME",1,IF(F8="CONFORME",0,""))</x:f>
      </x:c>
      <x:c r="K8" s="30" t="str">
        <x:f>IF(OR(H8="",H8=0),"",100*I8/H8)</x:f>
      </x:c>
      <x:c r="L8" s="30" t="str">
        <x:f>IF(OR(G8="",G8=0,H8=""),"",100*H8/G8)</x:f>
      </x:c>
      <x:c r="M8" s="22" t="str">
        <x:f>IF(H8=1,"Ver 17_FORMULARIOS_REGISTRO","")</x:f>
      </x:c>
      <x:c r="N8" s="20"/>
    </x:row>
    <x:row r="9" ht="22" customHeight="1">
      <x:c r="A9" t="str">
        <x:v>FOR-005</x:v>
      </x:c>
      <x:c r="B9" t="str">
        <x:v>MOD-02</x:v>
      </x:c>
      <x:c r="C9" t="str">
        <x:v>Formulario catálogo de materiales</x:v>
      </x:c>
      <x:c r="D9" s="20"/>
      <x:c r="E9" s="22" t="str">
        <x:f>IF(D9="","SIN DATOS",IF(D9="No","EXCLUIDO",IF(N9&lt;&gt;"Sí","PENDIENTE DE APROBACIÓN",IF(COUNTIFS('17_FORMULARIOS_REGISTRO'!$B$5:$B$154,$A9,'17_FORMULARIOS_REGISTRO'!$J$5:$J$154,"INCOMPLETO")+COUNTIFS('17_FORMULARIOS_REGISTRO'!$B$5:$B$154,$A9,'17_FORMULARIOS_REGISTRO'!$J$5:$J$154,"REVISAR")&gt;0,"REVISAR",IF(COUNTIFS('17_FORMULARIOS_REGISTRO'!$B$5:$B$154,$A9,'17_FORMULARIOS_REGISTRO'!$J$5:$J$154,"VÁLIDO")=0,"SIN DATOS","EVALUADO")))))</x:f>
        <x:v>SIN DATOS</x:v>
      </x:c>
      <x:c r="F9" s="22" t="str">
        <x:f>IF(E9&lt;&gt;"EVALUADO","",IF(COUNTIFS('17_FORMULARIOS_REGISTRO'!$B$5:$B$154,$A9,'17_FORMULARIOS_REGISTRO'!$J$5:$J$154,"VÁLIDO",'17_FORMULARIOS_REGISTRO'!$F$5:$F$154,"No conforme")&gt;0,"NO CONFORME","CONFORME"))</x:f>
      </x:c>
      <x:c r="G9" s="22" t="str">
        <x:f>IF(D9="Sí",1,IF(D9="No",0,""))</x:f>
      </x:c>
      <x:c r="H9" s="22" t="str">
        <x:f>IF(E9="EVALUADO",1,IF(D9="No",0,""))</x:f>
      </x:c>
      <x:c r="I9" s="22" t="str">
        <x:f>IF(F9="CONFORME",1,IF(F9="NO CONFORME",0,""))</x:f>
      </x:c>
      <x:c r="J9" s="22" t="str">
        <x:f>IF(F9="NO CONFORME",1,IF(F9="CONFORME",0,""))</x:f>
      </x:c>
      <x:c r="K9" s="30" t="str">
        <x:f>IF(OR(H9="",H9=0),"",100*I9/H9)</x:f>
      </x:c>
      <x:c r="L9" s="30" t="str">
        <x:f>IF(OR(G9="",G9=0,H9=""),"",100*H9/G9)</x:f>
      </x:c>
      <x:c r="M9" s="22" t="str">
        <x:f>IF(H9=1,"Ver 17_FORMULARIOS_REGISTRO","")</x:f>
      </x:c>
      <x:c r="N9" s="20"/>
    </x:row>
    <x:row r="10" ht="22" customHeight="1">
      <x:c r="A10" t="str">
        <x:v>FOR-006</x:v>
      </x:c>
      <x:c r="B10" t="str">
        <x:v>MOD-06</x:v>
      </x:c>
      <x:c r="C10" t="str">
        <x:v>Formulario de requerimiento</x:v>
      </x:c>
      <x:c r="D10" s="20"/>
      <x:c r="E10" s="22" t="str">
        <x:f>IF(D10="","SIN DATOS",IF(D10="No","EXCLUIDO",IF(N10&lt;&gt;"Sí","PENDIENTE DE APROBACIÓN",IF(COUNTIFS('17_FORMULARIOS_REGISTRO'!$B$5:$B$154,$A10,'17_FORMULARIOS_REGISTRO'!$J$5:$J$154,"INCOMPLETO")+COUNTIFS('17_FORMULARIOS_REGISTRO'!$B$5:$B$154,$A10,'17_FORMULARIOS_REGISTRO'!$J$5:$J$154,"REVISAR")&gt;0,"REVISAR",IF(COUNTIFS('17_FORMULARIOS_REGISTRO'!$B$5:$B$154,$A10,'17_FORMULARIOS_REGISTRO'!$J$5:$J$154,"VÁLIDO")=0,"SIN DATOS","EVALUADO")))))</x:f>
        <x:v>SIN DATOS</x:v>
      </x:c>
      <x:c r="F10" s="22" t="str">
        <x:f>IF(E10&lt;&gt;"EVALUADO","",IF(COUNTIFS('17_FORMULARIOS_REGISTRO'!$B$5:$B$154,$A10,'17_FORMULARIOS_REGISTRO'!$J$5:$J$154,"VÁLIDO",'17_FORMULARIOS_REGISTRO'!$F$5:$F$154,"No conforme")&gt;0,"NO CONFORME","CONFORME"))</x:f>
      </x:c>
      <x:c r="G10" s="22" t="str">
        <x:f>IF(D10="Sí",1,IF(D10="No",0,""))</x:f>
      </x:c>
      <x:c r="H10" s="22" t="str">
        <x:f>IF(E10="EVALUADO",1,IF(D10="No",0,""))</x:f>
      </x:c>
      <x:c r="I10" s="22" t="str">
        <x:f>IF(F10="CONFORME",1,IF(F10="NO CONFORME",0,""))</x:f>
      </x:c>
      <x:c r="J10" s="22" t="str">
        <x:f>IF(F10="NO CONFORME",1,IF(F10="CONFORME",0,""))</x:f>
      </x:c>
      <x:c r="K10" s="30" t="str">
        <x:f>IF(OR(H10="",H10=0),"",100*I10/H10)</x:f>
      </x:c>
      <x:c r="L10" s="30" t="str">
        <x:f>IF(OR(G10="",G10=0,H10=""),"",100*H10/G10)</x:f>
      </x:c>
      <x:c r="M10" s="22" t="str">
        <x:f>IF(H10=1,"Ver 17_FORMULARIOS_REGISTRO","")</x:f>
      </x:c>
      <x:c r="N10" s="20"/>
    </x:row>
    <x:row r="11" ht="22" customHeight="1">
      <x:c r="A11" t="str">
        <x:v>FOR-007</x:v>
      </x:c>
      <x:c r="B11" t="str">
        <x:v>MOD-07</x:v>
      </x:c>
      <x:c r="C11" t="str">
        <x:v>Formulario de recepción</x:v>
      </x:c>
      <x:c r="D11" s="20"/>
      <x:c r="E11" s="22" t="str">
        <x:f>IF(D11="","SIN DATOS",IF(D11="No","EXCLUIDO",IF(N11&lt;&gt;"Sí","PENDIENTE DE APROBACIÓN",IF(COUNTIFS('17_FORMULARIOS_REGISTRO'!$B$5:$B$154,$A11,'17_FORMULARIOS_REGISTRO'!$J$5:$J$154,"INCOMPLETO")+COUNTIFS('17_FORMULARIOS_REGISTRO'!$B$5:$B$154,$A11,'17_FORMULARIOS_REGISTRO'!$J$5:$J$154,"REVISAR")&gt;0,"REVISAR",IF(COUNTIFS('17_FORMULARIOS_REGISTRO'!$B$5:$B$154,$A11,'17_FORMULARIOS_REGISTRO'!$J$5:$J$154,"VÁLIDO")=0,"SIN DATOS","EVALUADO")))))</x:f>
        <x:v>SIN DATOS</x:v>
      </x:c>
      <x:c r="F11" s="22" t="str">
        <x:f>IF(E11&lt;&gt;"EVALUADO","",IF(COUNTIFS('17_FORMULARIOS_REGISTRO'!$B$5:$B$154,$A11,'17_FORMULARIOS_REGISTRO'!$J$5:$J$154,"VÁLIDO",'17_FORMULARIOS_REGISTRO'!$F$5:$F$154,"No conforme")&gt;0,"NO CONFORME","CONFORME"))</x:f>
      </x:c>
      <x:c r="G11" s="22" t="str">
        <x:f>IF(D11="Sí",1,IF(D11="No",0,""))</x:f>
      </x:c>
      <x:c r="H11" s="22" t="str">
        <x:f>IF(E11="EVALUADO",1,IF(D11="No",0,""))</x:f>
      </x:c>
      <x:c r="I11" s="22" t="str">
        <x:f>IF(F11="CONFORME",1,IF(F11="NO CONFORME",0,""))</x:f>
      </x:c>
      <x:c r="J11" s="22" t="str">
        <x:f>IF(F11="NO CONFORME",1,IF(F11="CONFORME",0,""))</x:f>
      </x:c>
      <x:c r="K11" s="30" t="str">
        <x:f>IF(OR(H11="",H11=0),"",100*I11/H11)</x:f>
      </x:c>
      <x:c r="L11" s="30" t="str">
        <x:f>IF(OR(G11="",G11=0,H11=""),"",100*H11/G11)</x:f>
      </x:c>
      <x:c r="M11" s="22" t="str">
        <x:f>IF(H11=1,"Ver 17_FORMULARIOS_REGISTRO","")</x:f>
      </x:c>
      <x:c r="N11" s="20"/>
    </x:row>
    <x:row r="12" ht="22" customHeight="1">
      <x:c r="A12" t="str">
        <x:v>FOR-008</x:v>
      </x:c>
      <x:c r="B12" t="str">
        <x:v>MOD-05</x:v>
      </x:c>
      <x:c r="C12" t="str">
        <x:v>Formulario de consumo</x:v>
      </x:c>
      <x:c r="D12" s="20"/>
      <x:c r="E12" s="22" t="str">
        <x:f>IF(D12="","SIN DATOS",IF(D12="No","EXCLUIDO",IF(N12&lt;&gt;"Sí","PENDIENTE DE APROBACIÓN",IF(COUNTIFS('17_FORMULARIOS_REGISTRO'!$B$5:$B$154,$A12,'17_FORMULARIOS_REGISTRO'!$J$5:$J$154,"INCOMPLETO")+COUNTIFS('17_FORMULARIOS_REGISTRO'!$B$5:$B$154,$A12,'17_FORMULARIOS_REGISTRO'!$J$5:$J$154,"REVISAR")&gt;0,"REVISAR",IF(COUNTIFS('17_FORMULARIOS_REGISTRO'!$B$5:$B$154,$A12,'17_FORMULARIOS_REGISTRO'!$J$5:$J$154,"VÁLIDO")=0,"SIN DATOS","EVALUADO")))))</x:f>
        <x:v>SIN DATOS</x:v>
      </x:c>
      <x:c r="F12" s="22" t="str">
        <x:f>IF(E12&lt;&gt;"EVALUADO","",IF(COUNTIFS('17_FORMULARIOS_REGISTRO'!$B$5:$B$154,$A12,'17_FORMULARIOS_REGISTRO'!$J$5:$J$154,"VÁLIDO",'17_FORMULARIOS_REGISTRO'!$F$5:$F$154,"No conforme")&gt;0,"NO CONFORME","CONFORME"))</x:f>
      </x:c>
      <x:c r="G12" s="22" t="str">
        <x:f>IF(D12="Sí",1,IF(D12="No",0,""))</x:f>
      </x:c>
      <x:c r="H12" s="22" t="str">
        <x:f>IF(E12="EVALUADO",1,IF(D12="No",0,""))</x:f>
      </x:c>
      <x:c r="I12" s="22" t="str">
        <x:f>IF(F12="CONFORME",1,IF(F12="NO CONFORME",0,""))</x:f>
      </x:c>
      <x:c r="J12" s="22" t="str">
        <x:f>IF(F12="NO CONFORME",1,IF(F12="CONFORME",0,""))</x:f>
      </x:c>
      <x:c r="K12" s="30" t="str">
        <x:f>IF(OR(H12="",H12=0),"",100*I12/H12)</x:f>
      </x:c>
      <x:c r="L12" s="30" t="str">
        <x:f>IF(OR(G12="",G12=0,H12=""),"",100*H12/G12)</x:f>
      </x:c>
      <x:c r="M12" s="22" t="str">
        <x:f>IF(H12=1,"Ver 17_FORMULARIOS_REGISTRO","")</x:f>
      </x:c>
      <x:c r="N12" s="20"/>
    </x:row>
    <x:row r="13" ht="22" customHeight="1">
      <x:c r="A13" t="str">
        <x:v>FOR-009</x:v>
      </x:c>
      <x:c r="B13" t="str">
        <x:v>MOD-03</x:v>
      </x:c>
      <x:c r="C13" t="str">
        <x:v>Formulario de avance</x:v>
      </x:c>
      <x:c r="D13" s="20"/>
      <x:c r="E13" s="22" t="str">
        <x:f>IF(D13="","SIN DATOS",IF(D13="No","EXCLUIDO",IF(N13&lt;&gt;"Sí","PENDIENTE DE APROBACIÓN",IF(COUNTIFS('17_FORMULARIOS_REGISTRO'!$B$5:$B$154,$A13,'17_FORMULARIOS_REGISTRO'!$J$5:$J$154,"INCOMPLETO")+COUNTIFS('17_FORMULARIOS_REGISTRO'!$B$5:$B$154,$A13,'17_FORMULARIOS_REGISTRO'!$J$5:$J$154,"REVISAR")&gt;0,"REVISAR",IF(COUNTIFS('17_FORMULARIOS_REGISTRO'!$B$5:$B$154,$A13,'17_FORMULARIOS_REGISTRO'!$J$5:$J$154,"VÁLIDO")=0,"SIN DATOS","EVALUADO")))))</x:f>
        <x:v>SIN DATOS</x:v>
      </x:c>
      <x:c r="F13" s="22" t="str">
        <x:f>IF(E13&lt;&gt;"EVALUADO","",IF(COUNTIFS('17_FORMULARIOS_REGISTRO'!$B$5:$B$154,$A13,'17_FORMULARIOS_REGISTRO'!$J$5:$J$154,"VÁLIDO",'17_FORMULARIOS_REGISTRO'!$F$5:$F$154,"No conforme")&gt;0,"NO CONFORME","CONFORME"))</x:f>
      </x:c>
      <x:c r="G13" s="22" t="str">
        <x:f>IF(D13="Sí",1,IF(D13="No",0,""))</x:f>
      </x:c>
      <x:c r="H13" s="22" t="str">
        <x:f>IF(E13="EVALUADO",1,IF(D13="No",0,""))</x:f>
      </x:c>
      <x:c r="I13" s="22" t="str">
        <x:f>IF(F13="CONFORME",1,IF(F13="NO CONFORME",0,""))</x:f>
      </x:c>
      <x:c r="J13" s="22" t="str">
        <x:f>IF(F13="NO CONFORME",1,IF(F13="CONFORME",0,""))</x:f>
      </x:c>
      <x:c r="K13" s="30" t="str">
        <x:f>IF(OR(H13="",H13=0),"",100*I13/H13)</x:f>
      </x:c>
      <x:c r="L13" s="30" t="str">
        <x:f>IF(OR(G13="",G13=0,H13=""),"",100*H13/G13)</x:f>
      </x:c>
      <x:c r="M13" s="22" t="str">
        <x:f>IF(H13=1,"Ver 17_FORMULARIOS_REGISTRO","")</x:f>
      </x:c>
      <x:c r="N13" s="20"/>
    </x:row>
    <x:row r="14" ht="22" customHeight="1">
      <x:c r="A14" t="str">
        <x:v>FOR-010</x:v>
      </x:c>
      <x:c r="B14" t="str">
        <x:v>MOD-06</x:v>
      </x:c>
      <x:c r="C14" t="str">
        <x:v>Formulario línea de requerimiento</x:v>
      </x:c>
      <x:c r="D14" s="20"/>
      <x:c r="E14" s="22" t="str">
        <x:f>IF(D14="","SIN DATOS",IF(D14="No","EXCLUIDO",IF(N14&lt;&gt;"Sí","PENDIENTE DE APROBACIÓN",IF(COUNTIFS('17_FORMULARIOS_REGISTRO'!$B$5:$B$154,$A14,'17_FORMULARIOS_REGISTRO'!$J$5:$J$154,"INCOMPLETO")+COUNTIFS('17_FORMULARIOS_REGISTRO'!$B$5:$B$154,$A14,'17_FORMULARIOS_REGISTRO'!$J$5:$J$154,"REVISAR")&gt;0,"REVISAR",IF(COUNTIFS('17_FORMULARIOS_REGISTRO'!$B$5:$B$154,$A14,'17_FORMULARIOS_REGISTRO'!$J$5:$J$154,"VÁLIDO")=0,"SIN DATOS","EVALUADO")))))</x:f>
        <x:v>SIN DATOS</x:v>
      </x:c>
      <x:c r="F14" s="22" t="str">
        <x:f>IF(E14&lt;&gt;"EVALUADO","",IF(COUNTIFS('17_FORMULARIOS_REGISTRO'!$B$5:$B$154,$A14,'17_FORMULARIOS_REGISTRO'!$J$5:$J$154,"VÁLIDO",'17_FORMULARIOS_REGISTRO'!$F$5:$F$154,"No conforme")&gt;0,"NO CONFORME","CONFORME"))</x:f>
      </x:c>
      <x:c r="G14" s="22" t="str">
        <x:f>IF(D14="Sí",1,IF(D14="No",0,""))</x:f>
      </x:c>
      <x:c r="H14" s="22" t="str">
        <x:f>IF(E14="EVALUADO",1,IF(D14="No",0,""))</x:f>
      </x:c>
      <x:c r="I14" s="22" t="str">
        <x:f>IF(F14="CONFORME",1,IF(F14="NO CONFORME",0,""))</x:f>
      </x:c>
      <x:c r="J14" s="22" t="str">
        <x:f>IF(F14="NO CONFORME",1,IF(F14="CONFORME",0,""))</x:f>
      </x:c>
      <x:c r="K14" s="30" t="str">
        <x:f>IF(OR(H14="",H14=0),"",100*I14/H14)</x:f>
      </x:c>
      <x:c r="L14" s="30" t="str">
        <x:f>IF(OR(G14="",G14=0,H14=""),"",100*H14/G14)</x:f>
      </x:c>
      <x:c r="M14" s="22" t="str">
        <x:f>IF(H14=1,"Ver 17_FORMULARIOS_REGISTRO","")</x:f>
      </x:c>
      <x:c r="N14" s="20"/>
    </x:row>
    <x:row r="15" ht="22" customHeight="1"/>
    <x:row r="16" ht="22" customHeight="1"/>
    <x:row r="17" ht="22" customHeight="1"/>
    <x:row r="18" ht="22" customHeight="1">
      <x:c r="A18" t="str">
        <x:v>RESUMEN OP-08</x:v>
      </x:c>
      <x:c r="B18" t="str">
        <x:v>Valor</x:v>
      </x:c>
    </x:row>
    <x:row r="19" ht="22" customHeight="1">
      <x:c r="A19" t="str">
        <x:v>Formularios elegibles</x:v>
      </x:c>
      <x:c r="B19" t="n">
        <x:f>IF(COUNTIF(D5:D14,"")&gt;0,"SIN DATOS",SUM(G5:G14))</x:f>
        <x:v>0</x:v>
      </x:c>
    </x:row>
    <x:row r="20" ht="22" customHeight="1">
      <x:c r="A20" t="str">
        <x:v>Formularios evaluados</x:v>
      </x:c>
      <x:c r="B20" t="str">
        <x:f>IF(B19="SIN DATOS","SIN DATOS",IF(COUNT(H5:H14)=0,"SIN DATOS",SUM(H5:H14)))</x:f>
        <x:v>SIN DATOS</x:v>
      </x:c>
    </x:row>
    <x:row r="21" ht="22" customHeight="1">
      <x:c r="A21" t="str">
        <x:v>Conformidad global (%)</x:v>
      </x:c>
      <x:c r="B21" s="28" t="str">
        <x:f>IF(OR(NOT(ISNUMBER(B20)),B20=0),"SIN DATOS",IF(COUNTIF(D5:D14,"")&gt;0,"SIN DATOS",IF(COUNTIF(N5:N14,"Sí")&lt;COUNTIF(D5:D14,"Sí"),"PENDIENTE DE APROBACIÓN",100*SUM(I5:I14)/B20)))</x:f>
        <x:v>SIN DATOS</x:v>
      </x:c>
    </x:row>
    <x:row r="22" ht="22" customHeight="1">
      <x:c r="A22" t="str">
        <x:v>Cobertura de evaluación (%)</x:v>
      </x:c>
      <x:c r="B22" s="28" t="str">
        <x:f>IF(OR(NOT(ISNUMBER(B19)),B19=0,NOT(ISNUMBER(B20))),"SIN DATOS",100*B20/B19)</x:f>
        <x:v>SIN DATOS</x:v>
      </x:c>
    </x:row>
    <x:row r="23" ht="22" customHeight="1"/>
    <x:row r="24" ht="22" customHeight="1">
      <x:c r="A24" t="str">
        <x:v>Dictamen OP-08</x:v>
      </x:c>
      <x:c r="B24" t="str">
        <x:f>IF(NOT(ISNUMBER(B21)),"SIN DATOS",IF(B22&lt;100,"REVISAR COBERTURA",IF('02_PARAMETROS'!I12&lt;&gt;"APROBADO","PENDIENTE DE APROBACIÓN",IF(B21&gt;='02_PARAMETROS'!G12,"CUMPLE","NO CUMPLE"))))</x:f>
        <x:v>SIN DATOS</x:v>
      </x:c>
    </x:row>
    <x:row r="25" ht="22" customHeight="1">
      <x:c r="A25" t="str">
        <x:v>Estado universo</x:v>
      </x:c>
      <x:c r="B25" t="str">
        <x:f>IF(COUNTIF(D5:D14,"")&gt;0,"PENDIENTE",IF(COUNTIF(D5:D14,"Pendiente")&gt;0,"PENDIENTE","UNIVERSO DEFINIDO"))</x:f>
        <x:v>UNIVERSO DEFINIDO</x:v>
      </x:c>
    </x:row>
    <x:row r="26" ht="22" customHeight="1">
      <x:c r="A26" t="str">
        <x:v>Advertencia</x:v>
      </x:c>
      <x:c r="B26" t="str">
        <x:v>Evaluación completa y catálogo cerrado requeridos antes del dictamen.</x:v>
      </x:c>
    </x:row>
    <x:row r="27" ht="22" customHeight="1"/>
    <x:row r="28" ht="22" customHeight="1"/>
    <x:row r="29" ht="22" customHeight="1"/>
    <x:row r="30" ht="22" customHeight="1"/>
  </x:sheetData>
  <x:mergeCells>
    <x:mergeCell ref="A1:N1"/>
    <x:mergeCell ref="A2:N2"/>
  </x:mergeCells>
  <x:dataValidations count="2">
    <x:dataValidation type="list" sqref="D5:D14">
      <x:formula1>"Sí,No,Pendiente"</x:formula1>
    </x:dataValidation>
    <x:dataValidation type="list" sqref="N5:N14">
      <x:formula1>"Sí,No,Pendiente"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5051f4f02b410e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6" hidden="0" customWidth="1"/>
    <x:col min="4" max="4" width="37" hidden="0" customWidth="1"/>
    <x:col min="5" max="5" width="40" hidden="0" customWidth="1"/>
    <x:col min="6" max="6" width="24" hidden="0" customWidth="1"/>
    <x:col min="7" max="7" width="24" hidden="0" customWidth="1"/>
    <x:col min="8" max="8" width="48" hidden="0" customWidth="1"/>
    <x:col min="9" max="9" width="40" hidden="0" customWidth="1"/>
    <x:col min="10" max="10" width="20" hidden="0" customWidth="1"/>
    <x:col min="11" max="11" width="29" hidden="0" customWidth="1"/>
  </x:cols>
  <x:sheetData>
    <x:row r="1" ht="35" customHeight="1">
      <x:c r="A1" s="3" t="str">
        <x:v>DUPLICADOS INDEBIDOS | INTEGRIDAD DE DATOS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9" customHeight="1">
      <x:c r="A2" s="7" t="str">
        <x:v>Las claves de negocio y reglas permanecen pendientes hasta su aprobación formal.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1" customHeight="1">
      <x:c r="A4" s="13" t="str">
        <x:v>Entidad</x:v>
      </x:c>
      <x:c r="B4" s="13" t="str">
        <x:v>Modelo Prisma</x:v>
      </x:c>
      <x:c r="C4" s="13" t="str">
        <x:v>Tabla</x:v>
      </x:c>
      <x:c r="D4" s="13" t="str">
        <x:v>Clave de negocio aprobada</x:v>
      </x:c>
      <x:c r="E4" s="13" t="str">
        <x:v>Regla duplicidad</x:v>
      </x:c>
      <x:c r="F4" s="13" t="str">
        <x:v>Registros examinados</x:v>
      </x:c>
      <x:c r="G4" s="13" t="str">
        <x:v>Duplicados confirmados</x:v>
      </x:c>
      <x:c r="H4" s="13" t="str">
        <x:v>Consulta SQL / método</x:v>
      </x:c>
      <x:c r="I4" s="13" t="str">
        <x:v>Evidencia</x:v>
      </x:c>
      <x:c r="J4" s="13" t="str">
        <x:v>Estado</x:v>
      </x:c>
      <x:c r="K4" s="13" t="str">
        <x:v>Dictamen</x:v>
      </x:c>
    </x:row>
    <x:row r="5" ht="22" customHeight="1">
      <x:c r="A5" t="str">
        <x:v>ENT-001</x:v>
      </x:c>
      <x:c r="B5" t="str">
        <x:v>Rol</x:v>
      </x:c>
      <x:c r="C5" t="str">
        <x:v>roles</x:v>
      </x:c>
      <x:c r="D5" s="20"/>
      <x:c r="E5" s="20"/>
      <x:c r="F5" s="22" t="str">
        <x:f>IF(COUNTIFS('18_DUPLICADOS_REGISTRO'!$B$5:$B$124,$A5,'18_DUPLICADOS_REGISTRO'!$J$5:$J$124,"VÁLIDO")=0,"",SUMIFS('18_DUPLICADOS_REGISTRO'!$E$5:$E$124,'18_DUPLICADOS_REGISTRO'!$B$5:$B$124,$A5,'18_DUPLICADOS_REGISTRO'!$J$5:$J$124,"VÁLIDO"))</x:f>
      </x:c>
      <x:c r="G5" s="22" t="str">
        <x:f>IF(F5="","",SUMIFS('18_DUPLICADOS_REGISTRO'!$F$5:$F$124,'18_DUPLICADOS_REGISTRO'!$B$5:$B$124,$A5,'18_DUPLICADOS_REGISTRO'!$J$5:$J$124,"VÁLIDO"))</x:f>
      </x:c>
      <x:c r="H5" s="20"/>
      <x:c r="I5" s="20"/>
      <x:c r="J5" s="22" t="str">
        <x:f>IF(COUNTIF('18_DUPLICADOS_REGISTRO'!$B$5:$B$124,$A5)=0,"SIN DATOS",IF(OR(D5="",E5="",H5="",F5=""),"INCOMPLETO",IF(G5&gt;F5,"REVISAR","VÁLIDO")))</x:f>
        <x:v>SIN DATOS</x:v>
      </x:c>
      <x:c r="K5" s="22" t="str">
        <x:f>IF(J5&lt;&gt;"VÁLIDO","SIN DATOS",IF(OR('02_PARAMETROS'!$I$13&lt;&gt;"APROBADO",NOT(ISNUMBER('02_PARAMETROS'!$G$13)),'02_PARAMETROS'!$H$13=""),"PENDIENTE DE APROBACIÓN",IF(OR(AND('02_PARAMETROS'!$H$13="&gt;=",G5&gt;='02_PARAMETROS'!$G$13),AND('02_PARAMETROS'!$H$13="&lt;=",G5&lt;='02_PARAMETROS'!$G$13),AND('02_PARAMETROS'!$H$13="&gt;",G5&gt;'02_PARAMETROS'!$G$13),AND('02_PARAMETROS'!$H$13="&lt;",G5&lt;'02_PARAMETROS'!$G$13),AND('02_PARAMETROS'!$H$13="=",G5='02_PARAMETROS'!$G$13)),"CUMPLE","NO CUMPLE")))</x:f>
        <x:v>SIN DATOS</x:v>
      </x:c>
    </x:row>
    <x:row r="6" ht="22" customHeight="1">
      <x:c r="A6" t="str">
        <x:v>ENT-002</x:v>
      </x:c>
      <x:c r="B6" t="str">
        <x:v>Usuario</x:v>
      </x:c>
      <x:c r="C6" t="str">
        <x:v>usuarios</x:v>
      </x:c>
      <x:c r="D6" s="20"/>
      <x:c r="E6" s="20"/>
      <x:c r="F6" s="22" t="str">
        <x:f>IF(COUNTIFS('18_DUPLICADOS_REGISTRO'!$B$5:$B$124,$A6,'18_DUPLICADOS_REGISTRO'!$J$5:$J$124,"VÁLIDO")=0,"",SUMIFS('18_DUPLICADOS_REGISTRO'!$E$5:$E$124,'18_DUPLICADOS_REGISTRO'!$B$5:$B$124,$A6,'18_DUPLICADOS_REGISTRO'!$J$5:$J$124,"VÁLIDO"))</x:f>
      </x:c>
      <x:c r="G6" s="22" t="str">
        <x:f>IF(F6="","",SUMIFS('18_DUPLICADOS_REGISTRO'!$F$5:$F$124,'18_DUPLICADOS_REGISTRO'!$B$5:$B$124,$A6,'18_DUPLICADOS_REGISTRO'!$J$5:$J$124,"VÁLIDO"))</x:f>
      </x:c>
      <x:c r="H6" s="20"/>
      <x:c r="I6" s="20"/>
      <x:c r="J6" s="22" t="str">
        <x:f>IF(COUNTIF('18_DUPLICADOS_REGISTRO'!$B$5:$B$124,$A6)=0,"SIN DATOS",IF(OR(D6="",E6="",H6="",F6=""),"INCOMPLETO",IF(G6&gt;F6,"REVISAR","VÁLIDO")))</x:f>
        <x:v>SIN DATOS</x:v>
      </x:c>
      <x:c r="K6" s="22" t="str">
        <x:f>IF(J6&lt;&gt;"VÁLIDO","SIN DATOS",IF(OR('02_PARAMETROS'!$I$13&lt;&gt;"APROBADO",NOT(ISNUMBER('02_PARAMETROS'!$G$13)),'02_PARAMETROS'!$H$13=""),"PENDIENTE DE APROBACIÓN",IF(OR(AND('02_PARAMETROS'!$H$13="&gt;=",G6&gt;='02_PARAMETROS'!$G$13),AND('02_PARAMETROS'!$H$13="&lt;=",G6&lt;='02_PARAMETROS'!$G$13),AND('02_PARAMETROS'!$H$13="&gt;",G6&gt;'02_PARAMETROS'!$G$13),AND('02_PARAMETROS'!$H$13="&lt;",G6&lt;'02_PARAMETROS'!$G$13),AND('02_PARAMETROS'!$H$13="=",G6='02_PARAMETROS'!$G$13)),"CUMPLE","NO CUMPLE")))</x:f>
        <x:v>SIN DATOS</x:v>
      </x:c>
    </x:row>
    <x:row r="7" ht="22" customHeight="1">
      <x:c r="A7" t="str">
        <x:v>ENT-003</x:v>
      </x:c>
      <x:c r="B7" t="str">
        <x:v>Proyecto</x:v>
      </x:c>
      <x:c r="C7" t="str">
        <x:v>proyectos</x:v>
      </x:c>
      <x:c r="D7" s="20"/>
      <x:c r="E7" s="20"/>
      <x:c r="F7" s="22" t="str">
        <x:f>IF(COUNTIFS('18_DUPLICADOS_REGISTRO'!$B$5:$B$124,$A7,'18_DUPLICADOS_REGISTRO'!$J$5:$J$124,"VÁLIDO")=0,"",SUMIFS('18_DUPLICADOS_REGISTRO'!$E$5:$E$124,'18_DUPLICADOS_REGISTRO'!$B$5:$B$124,$A7,'18_DUPLICADOS_REGISTRO'!$J$5:$J$124,"VÁLIDO"))</x:f>
      </x:c>
      <x:c r="G7" s="22" t="str">
        <x:f>IF(F7="","",SUMIFS('18_DUPLICADOS_REGISTRO'!$F$5:$F$124,'18_DUPLICADOS_REGISTRO'!$B$5:$B$124,$A7,'18_DUPLICADOS_REGISTRO'!$J$5:$J$124,"VÁLIDO"))</x:f>
      </x:c>
      <x:c r="H7" s="20"/>
      <x:c r="I7" s="20"/>
      <x:c r="J7" s="22" t="str">
        <x:f>IF(COUNTIF('18_DUPLICADOS_REGISTRO'!$B$5:$B$124,$A7)=0,"SIN DATOS",IF(OR(D7="",E7="",H7="",F7=""),"INCOMPLETO",IF(G7&gt;F7,"REVISAR","VÁLIDO")))</x:f>
        <x:v>SIN DATOS</x:v>
      </x:c>
      <x:c r="K7" s="22" t="str">
        <x:f>IF(J7&lt;&gt;"VÁLIDO","SIN DATOS",IF(OR('02_PARAMETROS'!$I$13&lt;&gt;"APROBADO",NOT(ISNUMBER('02_PARAMETROS'!$G$13)),'02_PARAMETROS'!$H$13=""),"PENDIENTE DE APROBACIÓN",IF(OR(AND('02_PARAMETROS'!$H$13="&gt;=",G7&gt;='02_PARAMETROS'!$G$13),AND('02_PARAMETROS'!$H$13="&lt;=",G7&lt;='02_PARAMETROS'!$G$13),AND('02_PARAMETROS'!$H$13="&gt;",G7&gt;'02_PARAMETROS'!$G$13),AND('02_PARAMETROS'!$H$13="&lt;",G7&lt;'02_PARAMETROS'!$G$13),AND('02_PARAMETROS'!$H$13="=",G7='02_PARAMETROS'!$G$13)),"CUMPLE","NO CUMPLE")))</x:f>
        <x:v>SIN DATOS</x:v>
      </x:c>
    </x:row>
    <x:row r="8" ht="22" customHeight="1">
      <x:c r="A8" t="str">
        <x:v>ENT-004</x:v>
      </x:c>
      <x:c r="B8" t="str">
        <x:v>AsignacionProyectoUsuario</x:v>
      </x:c>
      <x:c r="C8" t="str">
        <x:v>asignacion_proyecto_usuario</x:v>
      </x:c>
      <x:c r="D8" s="20"/>
      <x:c r="E8" s="20"/>
      <x:c r="F8" s="22" t="str">
        <x:f>IF(COUNTIFS('18_DUPLICADOS_REGISTRO'!$B$5:$B$124,$A8,'18_DUPLICADOS_REGISTRO'!$J$5:$J$124,"VÁLIDO")=0,"",SUMIFS('18_DUPLICADOS_REGISTRO'!$E$5:$E$124,'18_DUPLICADOS_REGISTRO'!$B$5:$B$124,$A8,'18_DUPLICADOS_REGISTRO'!$J$5:$J$124,"VÁLIDO"))</x:f>
      </x:c>
      <x:c r="G8" s="22" t="str">
        <x:f>IF(F8="","",SUMIFS('18_DUPLICADOS_REGISTRO'!$F$5:$F$124,'18_DUPLICADOS_REGISTRO'!$B$5:$B$124,$A8,'18_DUPLICADOS_REGISTRO'!$J$5:$J$124,"VÁLIDO"))</x:f>
      </x:c>
      <x:c r="H8" s="20"/>
      <x:c r="I8" s="20"/>
      <x:c r="J8" s="22" t="str">
        <x:f>IF(COUNTIF('18_DUPLICADOS_REGISTRO'!$B$5:$B$124,$A8)=0,"SIN DATOS",IF(OR(D8="",E8="",H8="",F8=""),"INCOMPLETO",IF(G8&gt;F8,"REVISAR","VÁLIDO")))</x:f>
        <x:v>SIN DATOS</x:v>
      </x:c>
      <x:c r="K8" s="22" t="str">
        <x:f>IF(J8&lt;&gt;"VÁLIDO","SIN DATOS",IF(OR('02_PARAMETROS'!$I$13&lt;&gt;"APROBADO",NOT(ISNUMBER('02_PARAMETROS'!$G$13)),'02_PARAMETROS'!$H$13=""),"PENDIENTE DE APROBACIÓN",IF(OR(AND('02_PARAMETROS'!$H$13="&gt;=",G8&gt;='02_PARAMETROS'!$G$13),AND('02_PARAMETROS'!$H$13="&lt;=",G8&lt;='02_PARAMETROS'!$G$13),AND('02_PARAMETROS'!$H$13="&gt;",G8&gt;'02_PARAMETROS'!$G$13),AND('02_PARAMETROS'!$H$13="&lt;",G8&lt;'02_PARAMETROS'!$G$13),AND('02_PARAMETROS'!$H$13="=",G8='02_PARAMETROS'!$G$13)),"CUMPLE","NO CUMPLE")))</x:f>
        <x:v>SIN DATOS</x:v>
      </x:c>
    </x:row>
    <x:row r="9" ht="22" customHeight="1">
      <x:c r="A9" t="str">
        <x:v>ENT-005</x:v>
      </x:c>
      <x:c r="B9" t="str">
        <x:v>Rubro</x:v>
      </x:c>
      <x:c r="C9" t="str">
        <x:v>rubros</x:v>
      </x:c>
      <x:c r="D9" s="20"/>
      <x:c r="E9" s="20"/>
      <x:c r="F9" s="22" t="str">
        <x:f>IF(COUNTIFS('18_DUPLICADOS_REGISTRO'!$B$5:$B$124,$A9,'18_DUPLICADOS_REGISTRO'!$J$5:$J$124,"VÁLIDO")=0,"",SUMIFS('18_DUPLICADOS_REGISTRO'!$E$5:$E$124,'18_DUPLICADOS_REGISTRO'!$B$5:$B$124,$A9,'18_DUPLICADOS_REGISTRO'!$J$5:$J$124,"VÁLIDO"))</x:f>
      </x:c>
      <x:c r="G9" s="22" t="str">
        <x:f>IF(F9="","",SUMIFS('18_DUPLICADOS_REGISTRO'!$F$5:$F$124,'18_DUPLICADOS_REGISTRO'!$B$5:$B$124,$A9,'18_DUPLICADOS_REGISTRO'!$J$5:$J$124,"VÁLIDO"))</x:f>
      </x:c>
      <x:c r="H9" s="20"/>
      <x:c r="I9" s="20"/>
      <x:c r="J9" s="22" t="str">
        <x:f>IF(COUNTIF('18_DUPLICADOS_REGISTRO'!$B$5:$B$124,$A9)=0,"SIN DATOS",IF(OR(D9="",E9="",H9="",F9=""),"INCOMPLETO",IF(G9&gt;F9,"REVISAR","VÁLIDO")))</x:f>
        <x:v>SIN DATOS</x:v>
      </x:c>
      <x:c r="K9" s="22" t="str">
        <x:f>IF(J9&lt;&gt;"VÁLIDO","SIN DATOS",IF(OR('02_PARAMETROS'!$I$13&lt;&gt;"APROBADO",NOT(ISNUMBER('02_PARAMETROS'!$G$13)),'02_PARAMETROS'!$H$13=""),"PENDIENTE DE APROBACIÓN",IF(OR(AND('02_PARAMETROS'!$H$13="&gt;=",G9&gt;='02_PARAMETROS'!$G$13),AND('02_PARAMETROS'!$H$13="&lt;=",G9&lt;='02_PARAMETROS'!$G$13),AND('02_PARAMETROS'!$H$13="&gt;",G9&gt;'02_PARAMETROS'!$G$13),AND('02_PARAMETROS'!$H$13="&lt;",G9&lt;'02_PARAMETROS'!$G$13),AND('02_PARAMETROS'!$H$13="=",G9='02_PARAMETROS'!$G$13)),"CUMPLE","NO CUMPLE")))</x:f>
        <x:v>SIN DATOS</x:v>
      </x:c>
    </x:row>
    <x:row r="10" ht="22" customHeight="1">
      <x:c r="A10" t="str">
        <x:v>ENT-006</x:v>
      </x:c>
      <x:c r="B10" t="str">
        <x:v>AvanceObra</x:v>
      </x:c>
      <x:c r="C10" t="str">
        <x:v>avance_obra</x:v>
      </x:c>
      <x:c r="D10" s="20"/>
      <x:c r="E10" s="20"/>
      <x:c r="F10" s="22" t="str">
        <x:f>IF(COUNTIFS('18_DUPLICADOS_REGISTRO'!$B$5:$B$124,$A10,'18_DUPLICADOS_REGISTRO'!$J$5:$J$124,"VÁLIDO")=0,"",SUMIFS('18_DUPLICADOS_REGISTRO'!$E$5:$E$124,'18_DUPLICADOS_REGISTRO'!$B$5:$B$124,$A10,'18_DUPLICADOS_REGISTRO'!$J$5:$J$124,"VÁLIDO"))</x:f>
      </x:c>
      <x:c r="G10" s="22" t="str">
        <x:f>IF(F10="","",SUMIFS('18_DUPLICADOS_REGISTRO'!$F$5:$F$124,'18_DUPLICADOS_REGISTRO'!$B$5:$B$124,$A10,'18_DUPLICADOS_REGISTRO'!$J$5:$J$124,"VÁLIDO"))</x:f>
      </x:c>
      <x:c r="H10" s="20"/>
      <x:c r="I10" s="20"/>
      <x:c r="J10" s="22" t="str">
        <x:f>IF(COUNTIF('18_DUPLICADOS_REGISTRO'!$B$5:$B$124,$A10)=0,"SIN DATOS",IF(OR(D10="",E10="",H10="",F10=""),"INCOMPLETO",IF(G10&gt;F10,"REVISAR","VÁLIDO")))</x:f>
        <x:v>SIN DATOS</x:v>
      </x:c>
      <x:c r="K10" s="22" t="str">
        <x:f>IF(J10&lt;&gt;"VÁLIDO","SIN DATOS",IF(OR('02_PARAMETROS'!$I$13&lt;&gt;"APROBADO",NOT(ISNUMBER('02_PARAMETROS'!$G$13)),'02_PARAMETROS'!$H$13=""),"PENDIENTE DE APROBACIÓN",IF(OR(AND('02_PARAMETROS'!$H$13="&gt;=",G10&gt;='02_PARAMETROS'!$G$13),AND('02_PARAMETROS'!$H$13="&lt;=",G10&lt;='02_PARAMETROS'!$G$13),AND('02_PARAMETROS'!$H$13="&gt;",G10&gt;'02_PARAMETROS'!$G$13),AND('02_PARAMETROS'!$H$13="&lt;",G10&lt;'02_PARAMETROS'!$G$13),AND('02_PARAMETROS'!$H$13="=",G10='02_PARAMETROS'!$G$13)),"CUMPLE","NO CUMPLE")))</x:f>
        <x:v>SIN DATOS</x:v>
      </x:c>
    </x:row>
    <x:row r="11" ht="22" customHeight="1">
      <x:c r="A11" t="str">
        <x:v>ENT-007</x:v>
      </x:c>
      <x:c r="B11" t="str">
        <x:v>EvidenciaFotografica</x:v>
      </x:c>
      <x:c r="C11" t="str">
        <x:v>evidencia_fotografica</x:v>
      </x:c>
      <x:c r="D11" s="20"/>
      <x:c r="E11" s="20"/>
      <x:c r="F11" s="22" t="str">
        <x:f>IF(COUNTIFS('18_DUPLICADOS_REGISTRO'!$B$5:$B$124,$A11,'18_DUPLICADOS_REGISTRO'!$J$5:$J$124,"VÁLIDO")=0,"",SUMIFS('18_DUPLICADOS_REGISTRO'!$E$5:$E$124,'18_DUPLICADOS_REGISTRO'!$B$5:$B$124,$A11,'18_DUPLICADOS_REGISTRO'!$J$5:$J$124,"VÁLIDO"))</x:f>
      </x:c>
      <x:c r="G11" s="22" t="str">
        <x:f>IF(F11="","",SUMIFS('18_DUPLICADOS_REGISTRO'!$F$5:$F$124,'18_DUPLICADOS_REGISTRO'!$B$5:$B$124,$A11,'18_DUPLICADOS_REGISTRO'!$J$5:$J$124,"VÁLIDO"))</x:f>
      </x:c>
      <x:c r="H11" s="20"/>
      <x:c r="I11" s="20"/>
      <x:c r="J11" s="22" t="str">
        <x:f>IF(COUNTIF('18_DUPLICADOS_REGISTRO'!$B$5:$B$124,$A11)=0,"SIN DATOS",IF(OR(D11="",E11="",H11="",F11=""),"INCOMPLETO",IF(G11&gt;F11,"REVISAR","VÁLIDO")))</x:f>
        <x:v>SIN DATOS</x:v>
      </x:c>
      <x:c r="K11" s="22" t="str">
        <x:f>IF(J11&lt;&gt;"VÁLIDO","SIN DATOS",IF(OR('02_PARAMETROS'!$I$13&lt;&gt;"APROBADO",NOT(ISNUMBER('02_PARAMETROS'!$G$13)),'02_PARAMETROS'!$H$13=""),"PENDIENTE DE APROBACIÓN",IF(OR(AND('02_PARAMETROS'!$H$13="&gt;=",G11&gt;='02_PARAMETROS'!$G$13),AND('02_PARAMETROS'!$H$13="&lt;=",G11&lt;='02_PARAMETROS'!$G$13),AND('02_PARAMETROS'!$H$13="&gt;",G11&gt;'02_PARAMETROS'!$G$13),AND('02_PARAMETROS'!$H$13="&lt;",G11&lt;'02_PARAMETROS'!$G$13),AND('02_PARAMETROS'!$H$13="=",G11='02_PARAMETROS'!$G$13)),"CUMPLE","NO CUMPLE")))</x:f>
        <x:v>SIN DATOS</x:v>
      </x:c>
    </x:row>
    <x:row r="12" ht="22" customHeight="1">
      <x:c r="A12" t="str">
        <x:v>ENT-008</x:v>
      </x:c>
      <x:c r="B12" t="str">
        <x:v>Material</x:v>
      </x:c>
      <x:c r="C12" t="str">
        <x:v>materiales</x:v>
      </x:c>
      <x:c r="D12" s="20"/>
      <x:c r="E12" s="20"/>
      <x:c r="F12" s="22" t="str">
        <x:f>IF(COUNTIFS('18_DUPLICADOS_REGISTRO'!$B$5:$B$124,$A12,'18_DUPLICADOS_REGISTRO'!$J$5:$J$124,"VÁLIDO")=0,"",SUMIFS('18_DUPLICADOS_REGISTRO'!$E$5:$E$124,'18_DUPLICADOS_REGISTRO'!$B$5:$B$124,$A12,'18_DUPLICADOS_REGISTRO'!$J$5:$J$124,"VÁLIDO"))</x:f>
      </x:c>
      <x:c r="G12" s="22" t="str">
        <x:f>IF(F12="","",SUMIFS('18_DUPLICADOS_REGISTRO'!$F$5:$F$124,'18_DUPLICADOS_REGISTRO'!$B$5:$B$124,$A12,'18_DUPLICADOS_REGISTRO'!$J$5:$J$124,"VÁLIDO"))</x:f>
      </x:c>
      <x:c r="H12" s="20"/>
      <x:c r="I12" s="20"/>
      <x:c r="J12" s="22" t="str">
        <x:f>IF(COUNTIF('18_DUPLICADOS_REGISTRO'!$B$5:$B$124,$A12)=0,"SIN DATOS",IF(OR(D12="",E12="",H12="",F12=""),"INCOMPLETO",IF(G12&gt;F12,"REVISAR","VÁLIDO")))</x:f>
        <x:v>SIN DATOS</x:v>
      </x:c>
      <x:c r="K12" s="22" t="str">
        <x:f>IF(J12&lt;&gt;"VÁLIDO","SIN DATOS",IF(OR('02_PARAMETROS'!$I$13&lt;&gt;"APROBADO",NOT(ISNUMBER('02_PARAMETROS'!$G$13)),'02_PARAMETROS'!$H$13=""),"PENDIENTE DE APROBACIÓN",IF(OR(AND('02_PARAMETROS'!$H$13="&gt;=",G12&gt;='02_PARAMETROS'!$G$13),AND('02_PARAMETROS'!$H$13="&lt;=",G12&lt;='02_PARAMETROS'!$G$13),AND('02_PARAMETROS'!$H$13="&gt;",G12&gt;'02_PARAMETROS'!$G$13),AND('02_PARAMETROS'!$H$13="&lt;",G12&lt;'02_PARAMETROS'!$G$13),AND('02_PARAMETROS'!$H$13="=",G12='02_PARAMETROS'!$G$13)),"CUMPLE","NO CUMPLE")))</x:f>
        <x:v>SIN DATOS</x:v>
      </x:c>
    </x:row>
    <x:row r="13" ht="22" customHeight="1">
      <x:c r="A13" t="str">
        <x:v>ENT-009</x:v>
      </x:c>
      <x:c r="B13" t="str">
        <x:v>RequerimientoCompra</x:v>
      </x:c>
      <x:c r="C13" t="str">
        <x:v>requerimiento_compra</x:v>
      </x:c>
      <x:c r="D13" s="20"/>
      <x:c r="E13" s="20"/>
      <x:c r="F13" s="22" t="str">
        <x:f>IF(COUNTIFS('18_DUPLICADOS_REGISTRO'!$B$5:$B$124,$A13,'18_DUPLICADOS_REGISTRO'!$J$5:$J$124,"VÁLIDO")=0,"",SUMIFS('18_DUPLICADOS_REGISTRO'!$E$5:$E$124,'18_DUPLICADOS_REGISTRO'!$B$5:$B$124,$A13,'18_DUPLICADOS_REGISTRO'!$J$5:$J$124,"VÁLIDO"))</x:f>
      </x:c>
      <x:c r="G13" s="22" t="str">
        <x:f>IF(F13="","",SUMIFS('18_DUPLICADOS_REGISTRO'!$F$5:$F$124,'18_DUPLICADOS_REGISTRO'!$B$5:$B$124,$A13,'18_DUPLICADOS_REGISTRO'!$J$5:$J$124,"VÁLIDO"))</x:f>
      </x:c>
      <x:c r="H13" s="20"/>
      <x:c r="I13" s="20"/>
      <x:c r="J13" s="22" t="str">
        <x:f>IF(COUNTIF('18_DUPLICADOS_REGISTRO'!$B$5:$B$124,$A13)=0,"SIN DATOS",IF(OR(D13="",E13="",H13="",F13=""),"INCOMPLETO",IF(G13&gt;F13,"REVISAR","VÁLIDO")))</x:f>
        <x:v>SIN DATOS</x:v>
      </x:c>
      <x:c r="K13" s="22" t="str">
        <x:f>IF(J13&lt;&gt;"VÁLIDO","SIN DATOS",IF(OR('02_PARAMETROS'!$I$13&lt;&gt;"APROBADO",NOT(ISNUMBER('02_PARAMETROS'!$G$13)),'02_PARAMETROS'!$H$13=""),"PENDIENTE DE APROBACIÓN",IF(OR(AND('02_PARAMETROS'!$H$13="&gt;=",G13&gt;='02_PARAMETROS'!$G$13),AND('02_PARAMETROS'!$H$13="&lt;=",G13&lt;='02_PARAMETROS'!$G$13),AND('02_PARAMETROS'!$H$13="&gt;",G13&gt;'02_PARAMETROS'!$G$13),AND('02_PARAMETROS'!$H$13="&lt;",G13&lt;'02_PARAMETROS'!$G$13),AND('02_PARAMETROS'!$H$13="=",G13='02_PARAMETROS'!$G$13)),"CUMPLE","NO CUMPLE")))</x:f>
        <x:v>SIN DATOS</x:v>
      </x:c>
    </x:row>
    <x:row r="14" ht="22" customHeight="1">
      <x:c r="A14" t="str">
        <x:v>ENT-010</x:v>
      </x:c>
      <x:c r="B14" t="str">
        <x:v>DetalleRequerimiento</x:v>
      </x:c>
      <x:c r="C14" t="str">
        <x:v>detalle_requerimiento</x:v>
      </x:c>
      <x:c r="D14" s="20"/>
      <x:c r="E14" s="20"/>
      <x:c r="F14" s="22" t="str">
        <x:f>IF(COUNTIFS('18_DUPLICADOS_REGISTRO'!$B$5:$B$124,$A14,'18_DUPLICADOS_REGISTRO'!$J$5:$J$124,"VÁLIDO")=0,"",SUMIFS('18_DUPLICADOS_REGISTRO'!$E$5:$E$124,'18_DUPLICADOS_REGISTRO'!$B$5:$B$124,$A14,'18_DUPLICADOS_REGISTRO'!$J$5:$J$124,"VÁLIDO"))</x:f>
      </x:c>
      <x:c r="G14" s="22" t="str">
        <x:f>IF(F14="","",SUMIFS('18_DUPLICADOS_REGISTRO'!$F$5:$F$124,'18_DUPLICADOS_REGISTRO'!$B$5:$B$124,$A14,'18_DUPLICADOS_REGISTRO'!$J$5:$J$124,"VÁLIDO"))</x:f>
      </x:c>
      <x:c r="H14" s="20"/>
      <x:c r="I14" s="20"/>
      <x:c r="J14" s="22" t="str">
        <x:f>IF(COUNTIF('18_DUPLICADOS_REGISTRO'!$B$5:$B$124,$A14)=0,"SIN DATOS",IF(OR(D14="",E14="",H14="",F14=""),"INCOMPLETO",IF(G14&gt;F14,"REVISAR","VÁLIDO")))</x:f>
        <x:v>SIN DATOS</x:v>
      </x:c>
      <x:c r="K14" s="22" t="str">
        <x:f>IF(J14&lt;&gt;"VÁLIDO","SIN DATOS",IF(OR('02_PARAMETROS'!$I$13&lt;&gt;"APROBADO",NOT(ISNUMBER('02_PARAMETROS'!$G$13)),'02_PARAMETROS'!$H$13=""),"PENDIENTE DE APROBACIÓN",IF(OR(AND('02_PARAMETROS'!$H$13="&gt;=",G14&gt;='02_PARAMETROS'!$G$13),AND('02_PARAMETROS'!$H$13="&lt;=",G14&lt;='02_PARAMETROS'!$G$13),AND('02_PARAMETROS'!$H$13="&gt;",G14&gt;'02_PARAMETROS'!$G$13),AND('02_PARAMETROS'!$H$13="&lt;",G14&lt;'02_PARAMETROS'!$G$13),AND('02_PARAMETROS'!$H$13="=",G14='02_PARAMETROS'!$G$13)),"CUMPLE","NO CUMPLE")))</x:f>
        <x:v>SIN DATOS</x:v>
      </x:c>
    </x:row>
    <x:row r="15" ht="22" customHeight="1">
      <x:c r="A15" t="str">
        <x:v>ENT-011</x:v>
      </x:c>
      <x:c r="B15" t="str">
        <x:v>InventarioProyecto</x:v>
      </x:c>
      <x:c r="C15" t="str">
        <x:v>inventario_proyecto</x:v>
      </x:c>
      <x:c r="D15" s="20"/>
      <x:c r="E15" s="20"/>
      <x:c r="F15" s="22" t="str">
        <x:f>IF(COUNTIFS('18_DUPLICADOS_REGISTRO'!$B$5:$B$124,$A15,'18_DUPLICADOS_REGISTRO'!$J$5:$J$124,"VÁLIDO")=0,"",SUMIFS('18_DUPLICADOS_REGISTRO'!$E$5:$E$124,'18_DUPLICADOS_REGISTRO'!$B$5:$B$124,$A15,'18_DUPLICADOS_REGISTRO'!$J$5:$J$124,"VÁLIDO"))</x:f>
      </x:c>
      <x:c r="G15" s="22" t="str">
        <x:f>IF(F15="","",SUMIFS('18_DUPLICADOS_REGISTRO'!$F$5:$F$124,'18_DUPLICADOS_REGISTRO'!$B$5:$B$124,$A15,'18_DUPLICADOS_REGISTRO'!$J$5:$J$124,"VÁLIDO"))</x:f>
      </x:c>
      <x:c r="H15" s="20"/>
      <x:c r="I15" s="20"/>
      <x:c r="J15" s="22" t="str">
        <x:f>IF(COUNTIF('18_DUPLICADOS_REGISTRO'!$B$5:$B$124,$A15)=0,"SIN DATOS",IF(OR(D15="",E15="",H15="",F15=""),"INCOMPLETO",IF(G15&gt;F15,"REVISAR","VÁLIDO")))</x:f>
        <x:v>SIN DATOS</x:v>
      </x:c>
      <x:c r="K15" s="22" t="str">
        <x:f>IF(J15&lt;&gt;"VÁLIDO","SIN DATOS",IF(OR('02_PARAMETROS'!$I$13&lt;&gt;"APROBADO",NOT(ISNUMBER('02_PARAMETROS'!$G$13)),'02_PARAMETROS'!$H$13=""),"PENDIENTE DE APROBACIÓN",IF(OR(AND('02_PARAMETROS'!$H$13="&gt;=",G15&gt;='02_PARAMETROS'!$G$13),AND('02_PARAMETROS'!$H$13="&lt;=",G15&lt;='02_PARAMETROS'!$G$13),AND('02_PARAMETROS'!$H$13="&gt;",G15&gt;'02_PARAMETROS'!$G$13),AND('02_PARAMETROS'!$H$13="&lt;",G15&lt;'02_PARAMETROS'!$G$13),AND('02_PARAMETROS'!$H$13="=",G15='02_PARAMETROS'!$G$13)),"CUMPLE","NO CUMPLE")))</x:f>
        <x:v>SIN DATOS</x:v>
      </x:c>
    </x:row>
    <x:row r="16" ht="22" customHeight="1">
      <x:c r="A16" t="str">
        <x:v>ENT-012</x:v>
      </x:c>
      <x:c r="B16" t="str">
        <x:v>MovimientoInventario</x:v>
      </x:c>
      <x:c r="C16" t="str">
        <x:v>movimiento_inventario</x:v>
      </x:c>
      <x:c r="D16" s="20"/>
      <x:c r="E16" s="20"/>
      <x:c r="F16" s="22" t="str">
        <x:f>IF(COUNTIFS('18_DUPLICADOS_REGISTRO'!$B$5:$B$124,$A16,'18_DUPLICADOS_REGISTRO'!$J$5:$J$124,"VÁLIDO")=0,"",SUMIFS('18_DUPLICADOS_REGISTRO'!$E$5:$E$124,'18_DUPLICADOS_REGISTRO'!$B$5:$B$124,$A16,'18_DUPLICADOS_REGISTRO'!$J$5:$J$124,"VÁLIDO"))</x:f>
      </x:c>
      <x:c r="G16" s="22" t="str">
        <x:f>IF(F16="","",SUMIFS('18_DUPLICADOS_REGISTRO'!$F$5:$F$124,'18_DUPLICADOS_REGISTRO'!$B$5:$B$124,$A16,'18_DUPLICADOS_REGISTRO'!$J$5:$J$124,"VÁLIDO"))</x:f>
      </x:c>
      <x:c r="H16" s="20"/>
      <x:c r="I16" s="20"/>
      <x:c r="J16" s="22" t="str">
        <x:f>IF(COUNTIF('18_DUPLICADOS_REGISTRO'!$B$5:$B$124,$A16)=0,"SIN DATOS",IF(OR(D16="",E16="",H16="",F16=""),"INCOMPLETO",IF(G16&gt;F16,"REVISAR","VÁLIDO")))</x:f>
        <x:v>SIN DATOS</x:v>
      </x:c>
      <x:c r="K16" s="22" t="str">
        <x:f>IF(J16&lt;&gt;"VÁLIDO","SIN DATOS",IF(OR('02_PARAMETROS'!$I$13&lt;&gt;"APROBADO",NOT(ISNUMBER('02_PARAMETROS'!$G$13)),'02_PARAMETROS'!$H$13=""),"PENDIENTE DE APROBACIÓN",IF(OR(AND('02_PARAMETROS'!$H$13="&gt;=",G16&gt;='02_PARAMETROS'!$G$13),AND('02_PARAMETROS'!$H$13="&lt;=",G16&lt;='02_PARAMETROS'!$G$13),AND('02_PARAMETROS'!$H$13="&gt;",G16&gt;'02_PARAMETROS'!$G$13),AND('02_PARAMETROS'!$H$13="&lt;",G16&lt;'02_PARAMETROS'!$G$13),AND('02_PARAMETROS'!$H$13="=",G16='02_PARAMETROS'!$G$13)),"CUMPLE","NO CUMPLE")))</x:f>
        <x:v>SIN DATOS</x:v>
      </x:c>
    </x:row>
    <x:row r="17" ht="22" customHeight="1">
      <x:c r="A17" t="str">
        <x:v>ENT-013</x:v>
      </x:c>
      <x:c r="B17" t="str">
        <x:v>CierreMensual</x:v>
      </x:c>
      <x:c r="C17" t="str">
        <x:v>cierre_mensual</x:v>
      </x:c>
      <x:c r="D17" s="20"/>
      <x:c r="E17" s="20"/>
      <x:c r="F17" s="22" t="str">
        <x:f>IF(COUNTIFS('18_DUPLICADOS_REGISTRO'!$B$5:$B$124,$A17,'18_DUPLICADOS_REGISTRO'!$J$5:$J$124,"VÁLIDO")=0,"",SUMIFS('18_DUPLICADOS_REGISTRO'!$E$5:$E$124,'18_DUPLICADOS_REGISTRO'!$B$5:$B$124,$A17,'18_DUPLICADOS_REGISTRO'!$J$5:$J$124,"VÁLIDO"))</x:f>
      </x:c>
      <x:c r="G17" s="22" t="str">
        <x:f>IF(F17="","",SUMIFS('18_DUPLICADOS_REGISTRO'!$F$5:$F$124,'18_DUPLICADOS_REGISTRO'!$B$5:$B$124,$A17,'18_DUPLICADOS_REGISTRO'!$J$5:$J$124,"VÁLIDO"))</x:f>
      </x:c>
      <x:c r="H17" s="20"/>
      <x:c r="I17" s="20"/>
      <x:c r="J17" s="22" t="str">
        <x:f>IF(COUNTIF('18_DUPLICADOS_REGISTRO'!$B$5:$B$124,$A17)=0,"SIN DATOS",IF(OR(D17="",E17="",H17="",F17=""),"INCOMPLETO",IF(G17&gt;F17,"REVISAR","VÁLIDO")))</x:f>
        <x:v>SIN DATOS</x:v>
      </x:c>
      <x:c r="K17" s="22" t="str">
        <x:f>IF(J17&lt;&gt;"VÁLIDO","SIN DATOS",IF(OR('02_PARAMETROS'!$I$13&lt;&gt;"APROBADO",NOT(ISNUMBER('02_PARAMETROS'!$G$13)),'02_PARAMETROS'!$H$13=""),"PENDIENTE DE APROBACIÓN",IF(OR(AND('02_PARAMETROS'!$H$13="&gt;=",G17&gt;='02_PARAMETROS'!$G$13),AND('02_PARAMETROS'!$H$13="&lt;=",G17&lt;='02_PARAMETROS'!$G$13),AND('02_PARAMETROS'!$H$13="&gt;",G17&gt;'02_PARAMETROS'!$G$13),AND('02_PARAMETROS'!$H$13="&lt;",G17&lt;'02_PARAMETROS'!$G$13),AND('02_PARAMETROS'!$H$13="=",G17='02_PARAMETROS'!$G$13)),"CUMPLE","NO CUMPLE")))</x:f>
        <x:v>SIN DATOS</x:v>
      </x:c>
    </x:row>
    <x:row r="18" ht="22" customHeight="1">
      <x:c r="A18" t="str">
        <x:v>ENT-014</x:v>
      </x:c>
      <x:c r="B18" t="str">
        <x:v>PlanillaPdf</x:v>
      </x:c>
      <x:c r="C18" t="str">
        <x:v>planilla_pdf</x:v>
      </x:c>
      <x:c r="D18" s="20"/>
      <x:c r="E18" s="20"/>
      <x:c r="F18" s="22" t="str">
        <x:f>IF(COUNTIFS('18_DUPLICADOS_REGISTRO'!$B$5:$B$124,$A18,'18_DUPLICADOS_REGISTRO'!$J$5:$J$124,"VÁLIDO")=0,"",SUMIFS('18_DUPLICADOS_REGISTRO'!$E$5:$E$124,'18_DUPLICADOS_REGISTRO'!$B$5:$B$124,$A18,'18_DUPLICADOS_REGISTRO'!$J$5:$J$124,"VÁLIDO"))</x:f>
      </x:c>
      <x:c r="G18" s="22" t="str">
        <x:f>IF(F18="","",SUMIFS('18_DUPLICADOS_REGISTRO'!$F$5:$F$124,'18_DUPLICADOS_REGISTRO'!$B$5:$B$124,$A18,'18_DUPLICADOS_REGISTRO'!$J$5:$J$124,"VÁLIDO"))</x:f>
      </x:c>
      <x:c r="H18" s="20"/>
      <x:c r="I18" s="20"/>
      <x:c r="J18" s="22" t="str">
        <x:f>IF(COUNTIF('18_DUPLICADOS_REGISTRO'!$B$5:$B$124,$A18)=0,"SIN DATOS",IF(OR(D18="",E18="",H18="",F18=""),"INCOMPLETO",IF(G18&gt;F18,"REVISAR","VÁLIDO")))</x:f>
        <x:v>SIN DATOS</x:v>
      </x:c>
      <x:c r="K18" s="22" t="str">
        <x:f>IF(J18&lt;&gt;"VÁLIDO","SIN DATOS",IF(OR('02_PARAMETROS'!$I$13&lt;&gt;"APROBADO",NOT(ISNUMBER('02_PARAMETROS'!$G$13)),'02_PARAMETROS'!$H$13=""),"PENDIENTE DE APROBACIÓN",IF(OR(AND('02_PARAMETROS'!$H$13="&gt;=",G18&gt;='02_PARAMETROS'!$G$13),AND('02_PARAMETROS'!$H$13="&lt;=",G18&lt;='02_PARAMETROS'!$G$13),AND('02_PARAMETROS'!$H$13="&gt;",G18&gt;'02_PARAMETROS'!$G$13),AND('02_PARAMETROS'!$H$13="&lt;",G18&lt;'02_PARAMETROS'!$G$13),AND('02_PARAMETROS'!$H$13="=",G18='02_PARAMETROS'!$G$13)),"CUMPLE","NO CUMPLE")))</x:f>
        <x:v>SIN DATOS</x:v>
      </x:c>
    </x:row>
    <x:row r="19" ht="22" customHeight="1">
      <x:c r="A19" t="str">
        <x:v>ENT-015</x:v>
      </x:c>
      <x:c r="B19" t="str">
        <x:v>AuditLog</x:v>
      </x:c>
      <x:c r="C19" t="str">
        <x:v>audit_log</x:v>
      </x:c>
      <x:c r="D19" s="20"/>
      <x:c r="E19" s="20"/>
      <x:c r="F19" s="22" t="str">
        <x:f>IF(COUNTIFS('18_DUPLICADOS_REGISTRO'!$B$5:$B$124,$A19,'18_DUPLICADOS_REGISTRO'!$J$5:$J$124,"VÁLIDO")=0,"",SUMIFS('18_DUPLICADOS_REGISTRO'!$E$5:$E$124,'18_DUPLICADOS_REGISTRO'!$B$5:$B$124,$A19,'18_DUPLICADOS_REGISTRO'!$J$5:$J$124,"VÁLIDO"))</x:f>
      </x:c>
      <x:c r="G19" s="22" t="str">
        <x:f>IF(F19="","",SUMIFS('18_DUPLICADOS_REGISTRO'!$F$5:$F$124,'18_DUPLICADOS_REGISTRO'!$B$5:$B$124,$A19,'18_DUPLICADOS_REGISTRO'!$J$5:$J$124,"VÁLIDO"))</x:f>
      </x:c>
      <x:c r="H19" s="20"/>
      <x:c r="I19" s="20"/>
      <x:c r="J19" s="22" t="str">
        <x:f>IF(COUNTIF('18_DUPLICADOS_REGISTRO'!$B$5:$B$124,$A19)=0,"SIN DATOS",IF(OR(D19="",E19="",H19="",F19=""),"INCOMPLETO",IF(G19&gt;F19,"REVISAR","VÁLIDO")))</x:f>
        <x:v>SIN DATOS</x:v>
      </x:c>
      <x:c r="K19" s="22" t="str">
        <x:f>IF(J19&lt;&gt;"VÁLIDO","SIN DATOS",IF(OR('02_PARAMETROS'!$I$13&lt;&gt;"APROBADO",NOT(ISNUMBER('02_PARAMETROS'!$G$13)),'02_PARAMETROS'!$H$13=""),"PENDIENTE DE APROBACIÓN",IF(OR(AND('02_PARAMETROS'!$H$13="&gt;=",G19&gt;='02_PARAMETROS'!$G$13),AND('02_PARAMETROS'!$H$13="&lt;=",G19&lt;='02_PARAMETROS'!$G$13),AND('02_PARAMETROS'!$H$13="&gt;",G19&gt;'02_PARAMETROS'!$G$13),AND('02_PARAMETROS'!$H$13="&lt;",G19&lt;'02_PARAMETROS'!$G$13),AND('02_PARAMETROS'!$H$13="=",G19='02_PARAMETROS'!$G$13)),"CUMPLE","NO CUMPLE")))</x:f>
        <x:v>SIN DATOS</x:v>
      </x:c>
    </x:row>
    <x:row r="20" ht="22" customHeight="1">
      <x:c r="A20" t="str">
        <x:v>ENT-016</x:v>
      </x:c>
      <x:c r="B20" t="str">
        <x:v>OrdenCambio</x:v>
      </x:c>
      <x:c r="C20" t="str">
        <x:v>ordenes_cambio</x:v>
      </x:c>
      <x:c r="D20" s="20"/>
      <x:c r="E20" s="20"/>
      <x:c r="F20" s="22" t="str">
        <x:f>IF(COUNTIFS('18_DUPLICADOS_REGISTRO'!$B$5:$B$124,$A20,'18_DUPLICADOS_REGISTRO'!$J$5:$J$124,"VÁLIDO")=0,"",SUMIFS('18_DUPLICADOS_REGISTRO'!$E$5:$E$124,'18_DUPLICADOS_REGISTRO'!$B$5:$B$124,$A20,'18_DUPLICADOS_REGISTRO'!$J$5:$J$124,"VÁLIDO"))</x:f>
      </x:c>
      <x:c r="G20" s="22" t="str">
        <x:f>IF(F20="","",SUMIFS('18_DUPLICADOS_REGISTRO'!$F$5:$F$124,'18_DUPLICADOS_REGISTRO'!$B$5:$B$124,$A20,'18_DUPLICADOS_REGISTRO'!$J$5:$J$124,"VÁLIDO"))</x:f>
      </x:c>
      <x:c r="H20" s="20"/>
      <x:c r="I20" s="20"/>
      <x:c r="J20" s="22" t="str">
        <x:f>IF(COUNTIF('18_DUPLICADOS_REGISTRO'!$B$5:$B$124,$A20)=0,"SIN DATOS",IF(OR(D20="",E20="",H20="",F20=""),"INCOMPLETO",IF(G20&gt;F20,"REVISAR","VÁLIDO")))</x:f>
        <x:v>SIN DATOS</x:v>
      </x:c>
      <x:c r="K20" s="22" t="str">
        <x:f>IF(J20&lt;&gt;"VÁLIDO","SIN DATOS",IF(OR('02_PARAMETROS'!$I$13&lt;&gt;"APROBADO",NOT(ISNUMBER('02_PARAMETROS'!$G$13)),'02_PARAMETROS'!$H$13=""),"PENDIENTE DE APROBACIÓN",IF(OR(AND('02_PARAMETROS'!$H$13="&gt;=",G20&gt;='02_PARAMETROS'!$G$13),AND('02_PARAMETROS'!$H$13="&lt;=",G20&lt;='02_PARAMETROS'!$G$13),AND('02_PARAMETROS'!$H$13="&gt;",G20&gt;'02_PARAMETROS'!$G$13),AND('02_PARAMETROS'!$H$13="&lt;",G20&lt;'02_PARAMETROS'!$G$13),AND('02_PARAMETROS'!$H$13="=",G20='02_PARAMETROS'!$G$13)),"CUMPLE","NO CUMPLE")))</x:f>
        <x:v>SIN DATOS</x:v>
      </x:c>
    </x:row>
    <x:row r="21" ht="22" customHeight="1">
      <x:c r="A21" t="str">
        <x:v>ENT-017</x:v>
      </x:c>
      <x:c r="B21" t="str">
        <x:v>NotificacionSistema</x:v>
      </x:c>
      <x:c r="C21" t="str">
        <x:v>notificaciones_sistema</x:v>
      </x:c>
      <x:c r="D21" s="20"/>
      <x:c r="E21" s="20"/>
      <x:c r="F21" s="22" t="str">
        <x:f>IF(COUNTIFS('18_DUPLICADOS_REGISTRO'!$B$5:$B$124,$A21,'18_DUPLICADOS_REGISTRO'!$J$5:$J$124,"VÁLIDO")=0,"",SUMIFS('18_DUPLICADOS_REGISTRO'!$E$5:$E$124,'18_DUPLICADOS_REGISTRO'!$B$5:$B$124,$A21,'18_DUPLICADOS_REGISTRO'!$J$5:$J$124,"VÁLIDO"))</x:f>
      </x:c>
      <x:c r="G21" s="22" t="str">
        <x:f>IF(F21="","",SUMIFS('18_DUPLICADOS_REGISTRO'!$F$5:$F$124,'18_DUPLICADOS_REGISTRO'!$B$5:$B$124,$A21,'18_DUPLICADOS_REGISTRO'!$J$5:$J$124,"VÁLIDO"))</x:f>
      </x:c>
      <x:c r="H21" s="20"/>
      <x:c r="I21" s="20"/>
      <x:c r="J21" s="22" t="str">
        <x:f>IF(COUNTIF('18_DUPLICADOS_REGISTRO'!$B$5:$B$124,$A21)=0,"SIN DATOS",IF(OR(D21="",E21="",H21="",F21=""),"INCOMPLETO",IF(G21&gt;F21,"REVISAR","VÁLIDO")))</x:f>
        <x:v>SIN DATOS</x:v>
      </x:c>
      <x:c r="K21" s="22" t="str">
        <x:f>IF(J21&lt;&gt;"VÁLIDO","SIN DATOS",IF(OR('02_PARAMETROS'!$I$13&lt;&gt;"APROBADO",NOT(ISNUMBER('02_PARAMETROS'!$G$13)),'02_PARAMETROS'!$H$13=""),"PENDIENTE DE APROBACIÓN",IF(OR(AND('02_PARAMETROS'!$H$13="&gt;=",G21&gt;='02_PARAMETROS'!$G$13),AND('02_PARAMETROS'!$H$13="&lt;=",G21&lt;='02_PARAMETROS'!$G$13),AND('02_PARAMETROS'!$H$13="&gt;",G21&gt;'02_PARAMETROS'!$G$13),AND('02_PARAMETROS'!$H$13="&lt;",G21&lt;'02_PARAMETROS'!$G$13),AND('02_PARAMETROS'!$H$13="=",G21='02_PARAMETROS'!$G$13)),"CUMPLE","NO CUMPLE")))</x:f>
        <x:v>SIN DATOS</x:v>
      </x:c>
    </x:row>
    <x:row r="22" ht="22" customHeight="1">
      <x:c r="A22" t="str">
        <x:v>ENT-018</x:v>
      </x:c>
      <x:c r="B22" t="str">
        <x:v>ConsolidacionMensual</x:v>
      </x:c>
      <x:c r="C22" t="str">
        <x:v>consolidacion_mensual</x:v>
      </x:c>
      <x:c r="D22" s="20"/>
      <x:c r="E22" s="20"/>
      <x:c r="F22" s="22" t="str">
        <x:f>IF(COUNTIFS('18_DUPLICADOS_REGISTRO'!$B$5:$B$124,$A22,'18_DUPLICADOS_REGISTRO'!$J$5:$J$124,"VÁLIDO")=0,"",SUMIFS('18_DUPLICADOS_REGISTRO'!$E$5:$E$124,'18_DUPLICADOS_REGISTRO'!$B$5:$B$124,$A22,'18_DUPLICADOS_REGISTRO'!$J$5:$J$124,"VÁLIDO"))</x:f>
      </x:c>
      <x:c r="G22" s="22" t="str">
        <x:f>IF(F22="","",SUMIFS('18_DUPLICADOS_REGISTRO'!$F$5:$F$124,'18_DUPLICADOS_REGISTRO'!$B$5:$B$124,$A22,'18_DUPLICADOS_REGISTRO'!$J$5:$J$124,"VÁLIDO"))</x:f>
      </x:c>
      <x:c r="H22" s="20"/>
      <x:c r="I22" s="20"/>
      <x:c r="J22" s="22" t="str">
        <x:f>IF(COUNTIF('18_DUPLICADOS_REGISTRO'!$B$5:$B$124,$A22)=0,"SIN DATOS",IF(OR(D22="",E22="",H22="",F22=""),"INCOMPLETO",IF(G22&gt;F22,"REVISAR","VÁLIDO")))</x:f>
        <x:v>SIN DATOS</x:v>
      </x:c>
      <x:c r="K22" s="22" t="str">
        <x:f>IF(J22&lt;&gt;"VÁLIDO","SIN DATOS",IF(OR('02_PARAMETROS'!$I$13&lt;&gt;"APROBADO",NOT(ISNUMBER('02_PARAMETROS'!$G$13)),'02_PARAMETROS'!$H$13=""),"PENDIENTE DE APROBACIÓN",IF(OR(AND('02_PARAMETROS'!$H$13="&gt;=",G22&gt;='02_PARAMETROS'!$G$13),AND('02_PARAMETROS'!$H$13="&lt;=",G22&lt;='02_PARAMETROS'!$G$13),AND('02_PARAMETROS'!$H$13="&gt;",G22&gt;'02_PARAMETROS'!$G$13),AND('02_PARAMETROS'!$H$13="&lt;",G22&lt;'02_PARAMETROS'!$G$13),AND('02_PARAMETROS'!$H$13="=",G22='02_PARAMETROS'!$G$13)),"CUMPLE","NO CUMPLE")))</x:f>
        <x:v>SIN DATOS</x:v>
      </x:c>
    </x:row>
    <x:row r="23" ht="22" customHeight="1">
      <x:c r="A23" t="str">
        <x:v>ENT-019</x:v>
      </x:c>
      <x:c r="B23" t="str">
        <x:v>ValidacionPreCierre</x:v>
      </x:c>
      <x:c r="C23" t="str">
        <x:v>validacion_pre_cierre</x:v>
      </x:c>
      <x:c r="D23" s="20"/>
      <x:c r="E23" s="20"/>
      <x:c r="F23" s="22" t="str">
        <x:f>IF(COUNTIFS('18_DUPLICADOS_REGISTRO'!$B$5:$B$124,$A23,'18_DUPLICADOS_REGISTRO'!$J$5:$J$124,"VÁLIDO")=0,"",SUMIFS('18_DUPLICADOS_REGISTRO'!$E$5:$E$124,'18_DUPLICADOS_REGISTRO'!$B$5:$B$124,$A23,'18_DUPLICADOS_REGISTRO'!$J$5:$J$124,"VÁLIDO"))</x:f>
      </x:c>
      <x:c r="G23" s="22" t="str">
        <x:f>IF(F23="","",SUMIFS('18_DUPLICADOS_REGISTRO'!$F$5:$F$124,'18_DUPLICADOS_REGISTRO'!$B$5:$B$124,$A23,'18_DUPLICADOS_REGISTRO'!$J$5:$J$124,"VÁLIDO"))</x:f>
      </x:c>
      <x:c r="H23" s="20"/>
      <x:c r="I23" s="20"/>
      <x:c r="J23" s="22" t="str">
        <x:f>IF(COUNTIF('18_DUPLICADOS_REGISTRO'!$B$5:$B$124,$A23)=0,"SIN DATOS",IF(OR(D23="",E23="",H23="",F23=""),"INCOMPLETO",IF(G23&gt;F23,"REVISAR","VÁLIDO")))</x:f>
        <x:v>SIN DATOS</x:v>
      </x:c>
      <x:c r="K23" s="22" t="str">
        <x:f>IF(J23&lt;&gt;"VÁLIDO","SIN DATOS",IF(OR('02_PARAMETROS'!$I$13&lt;&gt;"APROBADO",NOT(ISNUMBER('02_PARAMETROS'!$G$13)),'02_PARAMETROS'!$H$13=""),"PENDIENTE DE APROBACIÓN",IF(OR(AND('02_PARAMETROS'!$H$13="&gt;=",G23&gt;='02_PARAMETROS'!$G$13),AND('02_PARAMETROS'!$H$13="&lt;=",G23&lt;='02_PARAMETROS'!$G$13),AND('02_PARAMETROS'!$H$13="&gt;",G23&gt;'02_PARAMETROS'!$G$13),AND('02_PARAMETROS'!$H$13="&lt;",G23&lt;'02_PARAMETROS'!$G$13),AND('02_PARAMETROS'!$H$13="=",G23='02_PARAMETROS'!$G$13)),"CUMPLE","NO CUMPLE")))</x:f>
        <x:v>SIN DATOS</x:v>
      </x:c>
    </x:row>
    <x:row r="24" ht="22" customHeight="1"/>
    <x:row r="25" ht="22" customHeight="1"/>
    <x:row r="26" ht="22" customHeight="1"/>
    <x:row r="27" ht="22" customHeight="1">
      <x:c r="A27" t="str">
        <x:v>Conjuntos documentados</x:v>
      </x:c>
      <x:c r="B27" t="str">
        <x:f>IF(COUNTA('18_DUPLICADOS_REGISTRO'!$A$5:$A$124)=0,"SIN DATOS",COUNTIF('18_DUPLICADOS_REGISTRO'!$J$5:$J$124,"VÁLIDO"))</x:f>
        <x:v>SIN DATOS</x:v>
      </x:c>
    </x:row>
    <x:row r="28" ht="22" customHeight="1">
      <x:c r="A28" t="str">
        <x:v>Registros examinados</x:v>
      </x:c>
      <x:c r="B28" t="str">
        <x:f>IF(COUNT(F5:F23)=0,"SIN DATOS",SUM(F5:F23))</x:f>
        <x:v>SIN DATOS</x:v>
      </x:c>
    </x:row>
    <x:row r="29" ht="22" customHeight="1">
      <x:c r="A29" t="str">
        <x:v>Duplicados confirmados</x:v>
      </x:c>
      <x:c r="B29" t="str">
        <x:f>IF(COUNT(G5:G23)=0,"SIN DATOS",SUM(G5:G23))</x:f>
        <x:v>SIN DATOS</x:v>
      </x:c>
    </x:row>
    <x:row r="30" ht="22" customHeight="1">
      <x:c r="A30" t="str">
        <x:v>Interpretación global</x:v>
      </x:c>
      <x:c r="B30" t="str">
        <x:f>IF(B27="SIN DATOS","SIN DATOS","No generalizar al universo completo sin aprobar cobertura y claves de negocio.")</x:f>
        <x:v>SIN DATOS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a03248b65974c9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9" hidden="0" customWidth="1"/>
    <x:col min="4" max="4" width="36" hidden="0" customWidth="1"/>
    <x:col min="5" max="5" width="16" hidden="0" customWidth="1"/>
    <x:col min="6" max="6" width="31" hidden="0" customWidth="1"/>
    <x:col min="7" max="7" width="28" hidden="0" customWidth="1"/>
    <x:col min="8" max="8" width="30" hidden="0" customWidth="1"/>
    <x:col min="9" max="9" width="18" hidden="0" customWidth="1"/>
    <x:col min="10" max="10" width="18" hidden="0" customWidth="1"/>
    <x:col min="11" max="11" width="24" hidden="0" customWidth="1"/>
    <x:col min="12" max="12" width="25" hidden="0" customWidth="1"/>
    <x:col min="13" max="13" width="54" hidden="0" customWidth="1"/>
    <x:col min="14" max="14" width="24" hidden="0" customWidth="1"/>
    <x:col min="15" max="15" width="40" hidden="0" customWidth="1"/>
    <x:col min="16" max="16" width="24" hidden="0" customWidth="1"/>
  </x:cols>
  <x:sheetData>
    <x:row r="1" ht="35" customHeight="1">
      <x:c r="A1" s="3" t="str">
        <x:v>CONTRASTES ESTADÍSTICOS | CONDICIONALES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9" customHeight="1">
      <x:c r="A2" s="7" t="str">
        <x:v>No ejecutar ni interpretar hipótesis sin diseño inferencial aprobado.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1" customHeight="1">
      <x:c r="A4" s="13" t="str">
        <x:v>Hipótesis</x:v>
      </x:c>
      <x:c r="B4" s="13" t="str">
        <x:v>Variable</x:v>
      </x:c>
      <x:c r="C4" s="13" t="str">
        <x:v>Indicador</x:v>
      </x:c>
      <x:c r="D4" s="13" t="str">
        <x:v>Diseño</x:v>
      </x:c>
      <x:c r="E4" s="13" t="str">
        <x:v>Muestra n</x:v>
      </x:c>
      <x:c r="F4" s="13" t="str">
        <x:v>Supuestos evaluados</x:v>
      </x:c>
      <x:c r="G4" s="13" t="str">
        <x:v>Normalidad si aplica</x:v>
      </x:c>
      <x:c r="H4" s="13" t="str">
        <x:v>Prueba estadística</x:v>
      </x:c>
      <x:c r="I4" s="13" t="str">
        <x:v>Estadístico</x:v>
      </x:c>
      <x:c r="J4" s="13" t="str">
        <x:v>Valor p</x:v>
      </x:c>
      <x:c r="K4" s="13" t="str">
        <x:v>Tamaño efecto</x:v>
      </x:c>
      <x:c r="L4" s="13" t="str">
        <x:v>IC</x:v>
      </x:c>
      <x:c r="M4" s="13" t="str">
        <x:v>Interpretación</x:v>
      </x:c>
      <x:c r="N4" s="13" t="str">
        <x:v>Herramienta</x:v>
      </x:c>
      <x:c r="O4" s="13" t="str">
        <x:v>Evidencia</x:v>
      </x:c>
      <x:c r="P4" s="13" t="str">
        <x:v>Estado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2" t="str">
        <x:f>IF(COUNTA(A5:O5)=0,"SIN DATOS",IF(AND(A5="",COUNTA(B5:O5)&gt;0),"REVISAR",IF(OR(A5="",B5="",C5="",D5="",NOT(ISNUMBER(E5)),E5&lt;=0,F5="",H5="",I5="",NOT(ISNUMBER(J5)),J5&lt;0,J5&gt;1,L5="",M5="",N5="",O5=""),"INCOMPLETO","VÁLIDO")))</x:f>
        <x:v>SIN DATOS</x:v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2" t="str">
        <x:f>IF(COUNTA(A6:O6)=0,"SIN DATOS",IF(AND(A6="",COUNTA(B6:O6)&gt;0),"REVISAR",IF(OR(A6="",B6="",C6="",D6="",NOT(ISNUMBER(E6)),E6&lt;=0,F6="",H6="",I6="",NOT(ISNUMBER(J6)),J6&lt;0,J6&gt;1,L6="",M6="",N6="",O6=""),"INCOMPLETO","VÁLIDO")))</x:f>
        <x:v>SIN DATOS</x:v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2" t="str">
        <x:f>IF(COUNTA(A7:O7)=0,"SIN DATOS",IF(AND(A7="",COUNTA(B7:O7)&gt;0),"REVISAR",IF(OR(A7="",B7="",C7="",D7="",NOT(ISNUMBER(E7)),E7&lt;=0,F7="",H7="",I7="",NOT(ISNUMBER(J7)),J7&lt;0,J7&gt;1,L7="",M7="",N7="",O7=""),"INCOMPLETO","VÁLIDO")))</x:f>
        <x:v>SIN DATOS</x:v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2" t="str">
        <x:f>IF(COUNTA(A8:O8)=0,"SIN DATOS",IF(AND(A8="",COUNTA(B8:O8)&gt;0),"REVISAR",IF(OR(A8="",B8="",C8="",D8="",NOT(ISNUMBER(E8)),E8&lt;=0,F8="",H8="",I8="",NOT(ISNUMBER(J8)),J8&lt;0,J8&gt;1,L8="",M8="",N8="",O8=""),"INCOMPLETO","VÁLIDO")))</x:f>
        <x:v>SIN DATOS</x:v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2" t="str">
        <x:f>IF(COUNTA(A9:O9)=0,"SIN DATOS",IF(AND(A9="",COUNTA(B9:O9)&gt;0),"REVISAR",IF(OR(A9="",B9="",C9="",D9="",NOT(ISNUMBER(E9)),E9&lt;=0,F9="",H9="",I9="",NOT(ISNUMBER(J9)),J9&lt;0,J9&gt;1,L9="",M9="",N9="",O9=""),"INCOMPLETO","VÁLIDO")))</x:f>
        <x:v>SIN DATOS</x:v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2" t="str">
        <x:f>IF(COUNTA(A10:O10)=0,"SIN DATOS",IF(AND(A10="",COUNTA(B10:O10)&gt;0),"REVISAR",IF(OR(A10="",B10="",C10="",D10="",NOT(ISNUMBER(E10)),E10&lt;=0,F10="",H10="",I10="",NOT(ISNUMBER(J10)),J10&lt;0,J10&gt;1,L10="",M10="",N10="",O10=""),"INCOMPLETO","VÁLIDO")))</x:f>
        <x:v>SIN DATOS</x:v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2" t="str">
        <x:f>IF(COUNTA(A11:O11)=0,"SIN DATOS",IF(AND(A11="",COUNTA(B11:O11)&gt;0),"REVISAR",IF(OR(A11="",B11="",C11="",D11="",NOT(ISNUMBER(E11)),E11&lt;=0,F11="",H11="",I11="",NOT(ISNUMBER(J11)),J11&lt;0,J11&gt;1,L11="",M11="",N11="",O11=""),"INCOMPLETO","VÁLIDO")))</x:f>
        <x:v>SIN DATOS</x:v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2" t="str">
        <x:f>IF(COUNTA(A12:O12)=0,"SIN DATOS",IF(AND(A12="",COUNTA(B12:O12)&gt;0),"REVISAR",IF(OR(A12="",B12="",C12="",D12="",NOT(ISNUMBER(E12)),E12&lt;=0,F12="",H12="",I12="",NOT(ISNUMBER(J12)),J12&lt;0,J12&gt;1,L12="",M12="",N12="",O12=""),"INCOMPLETO","VÁLIDO")))</x:f>
        <x:v>SIN DATOS</x:v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2" t="str">
        <x:f>IF(COUNTA(A13:O13)=0,"SIN DATOS",IF(AND(A13="",COUNTA(B13:O13)&gt;0),"REVISAR",IF(OR(A13="",B13="",C13="",D13="",NOT(ISNUMBER(E13)),E13&lt;=0,F13="",H13="",I13="",NOT(ISNUMBER(J13)),J13&lt;0,J13&gt;1,L13="",M13="",N13="",O13=""),"INCOMPLETO","VÁLIDO")))</x:f>
        <x:v>SIN DATOS</x:v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2" t="str">
        <x:f>IF(COUNTA(A14:O14)=0,"SIN DATOS",IF(AND(A14="",COUNTA(B14:O14)&gt;0),"REVISAR",IF(OR(A14="",B14="",C14="",D14="",NOT(ISNUMBER(E14)),E14&lt;=0,F14="",H14="",I14="",NOT(ISNUMBER(J14)),J14&lt;0,J14&gt;1,L14="",M14="",N14="",O14=""),"INCOMPLETO","VÁLIDO")))</x:f>
        <x:v>SIN DATOS</x:v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2" t="str">
        <x:f>IF(COUNTA(A15:O15)=0,"SIN DATOS",IF(AND(A15="",COUNTA(B15:O15)&gt;0),"REVISAR",IF(OR(A15="",B15="",C15="",D15="",NOT(ISNUMBER(E15)),E15&lt;=0,F15="",H15="",I15="",NOT(ISNUMBER(J15)),J15&lt;0,J15&gt;1,L15="",M15="",N15="",O15=""),"INCOMPLETO","VÁLIDO")))</x:f>
        <x:v>SIN DATOS</x:v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2" t="str">
        <x:f>IF(COUNTA(A16:O16)=0,"SIN DATOS",IF(AND(A16="",COUNTA(B16:O16)&gt;0),"REVISAR",IF(OR(A16="",B16="",C16="",D16="",NOT(ISNUMBER(E16)),E16&lt;=0,F16="",H16="",I16="",NOT(ISNUMBER(J16)),J16&lt;0,J16&gt;1,L16="",M16="",N16="",O16=""),"INCOMPLETO","VÁLIDO")))</x:f>
        <x:v>SIN DATOS</x:v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2" t="str">
        <x:f>IF(COUNTA(A17:O17)=0,"SIN DATOS",IF(AND(A17="",COUNTA(B17:O17)&gt;0),"REVISAR",IF(OR(A17="",B17="",C17="",D17="",NOT(ISNUMBER(E17)),E17&lt;=0,F17="",H17="",I17="",NOT(ISNUMBER(J17)),J17&lt;0,J17&gt;1,L17="",M17="",N17="",O17=""),"INCOMPLETO","VÁLIDO")))</x:f>
        <x:v>SIN DATOS</x:v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2" t="str">
        <x:f>IF(COUNTA(A18:O18)=0,"SIN DATOS",IF(AND(A18="",COUNTA(B18:O18)&gt;0),"REVISAR",IF(OR(A18="",B18="",C18="",D18="",NOT(ISNUMBER(E18)),E18&lt;=0,F18="",H18="",I18="",NOT(ISNUMBER(J18)),J18&lt;0,J18&gt;1,L18="",M18="",N18="",O18=""),"INCOMPLETO","VÁLIDO")))</x:f>
        <x:v>SIN DATOS</x:v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2" t="str">
        <x:f>IF(COUNTA(A19:O19)=0,"SIN DATOS",IF(AND(A19="",COUNTA(B19:O19)&gt;0),"REVISAR",IF(OR(A19="",B19="",C19="",D19="",NOT(ISNUMBER(E19)),E19&lt;=0,F19="",H19="",I19="",NOT(ISNUMBER(J19)),J19&lt;0,J19&gt;1,L19="",M19="",N19="",O19=""),"INCOMPLETO","VÁLIDO")))</x:f>
        <x:v>SIN DATOS</x:v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2" t="str">
        <x:f>IF(COUNTA(A20:O20)=0,"SIN DATOS",IF(AND(A20="",COUNTA(B20:O20)&gt;0),"REVISAR",IF(OR(A20="",B20="",C20="",D20="",NOT(ISNUMBER(E20)),E20&lt;=0,F20="",H20="",I20="",NOT(ISNUMBER(J20)),J20&lt;0,J20&gt;1,L20="",M20="",N20="",O20=""),"INCOMPLETO","VÁLIDO")))</x:f>
        <x:v>SIN DATOS</x:v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2" t="str">
        <x:f>IF(COUNTA(A21:O21)=0,"SIN DATOS",IF(AND(A21="",COUNTA(B21:O21)&gt;0),"REVISAR",IF(OR(A21="",B21="",C21="",D21="",NOT(ISNUMBER(E21)),E21&lt;=0,F21="",H21="",I21="",NOT(ISNUMBER(J21)),J21&lt;0,J21&gt;1,L21="",M21="",N21="",O21=""),"INCOMPLETO","VÁLIDO")))</x:f>
        <x:v>SIN DATOS</x:v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2" t="str">
        <x:f>IF(COUNTA(A22:O22)=0,"SIN DATOS",IF(AND(A22="",COUNTA(B22:O22)&gt;0),"REVISAR",IF(OR(A22="",B22="",C22="",D22="",NOT(ISNUMBER(E22)),E22&lt;=0,F22="",H22="",I22="",NOT(ISNUMBER(J22)),J22&lt;0,J22&gt;1,L22="",M22="",N22="",O22=""),"INCOMPLETO","VÁLIDO")))</x:f>
        <x:v>SIN DATOS</x:v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2" t="str">
        <x:f>IF(COUNTA(A23:O23)=0,"SIN DATOS",IF(AND(A23="",COUNTA(B23:O23)&gt;0),"REVISAR",IF(OR(A23="",B23="",C23="",D23="",NOT(ISNUMBER(E23)),E23&lt;=0,F23="",H23="",I23="",NOT(ISNUMBER(J23)),J23&lt;0,J23&gt;1,L23="",M23="",N23="",O23=""),"INCOMPLETO","VÁLIDO")))</x:f>
        <x:v>SIN DATOS</x:v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2" t="str">
        <x:f>IF(COUNTA(A24:O24)=0,"SIN DATOS",IF(AND(A24="",COUNTA(B24:O24)&gt;0),"REVISAR",IF(OR(A24="",B24="",C24="",D24="",NOT(ISNUMBER(E24)),E24&lt;=0,F24="",H24="",I24="",NOT(ISNUMBER(J24)),J24&lt;0,J24&gt;1,L24="",M24="",N24="",O24=""),"INCOMPLETO","VÁLIDO")))</x:f>
        <x:v>SIN DATOS</x:v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2" t="str">
        <x:f>IF(COUNTA(A25:O25)=0,"SIN DATOS",IF(AND(A25="",COUNTA(B25:O25)&gt;0),"REVISAR",IF(OR(A25="",B25="",C25="",D25="",NOT(ISNUMBER(E25)),E25&lt;=0,F25="",H25="",I25="",NOT(ISNUMBER(J25)),J25&lt;0,J25&gt;1,L25="",M25="",N25="",O25=""),"INCOMPLETO","VÁLIDO")))</x:f>
        <x:v>SIN DATOS</x:v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2" t="str">
        <x:f>IF(COUNTA(A26:O26)=0,"SIN DATOS",IF(AND(A26="",COUNTA(B26:O26)&gt;0),"REVISAR",IF(OR(A26="",B26="",C26="",D26="",NOT(ISNUMBER(E26)),E26&lt;=0,F26="",H26="",I26="",NOT(ISNUMBER(J26)),J26&lt;0,J26&gt;1,L26="",M26="",N26="",O26=""),"INCOMPLETO","VÁLIDO")))</x:f>
        <x:v>SIN DATOS</x:v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2" t="str">
        <x:f>IF(COUNTA(A27:O27)=0,"SIN DATOS",IF(AND(A27="",COUNTA(B27:O27)&gt;0),"REVISAR",IF(OR(A27="",B27="",C27="",D27="",NOT(ISNUMBER(E27)),E27&lt;=0,F27="",H27="",I27="",NOT(ISNUMBER(J27)),J27&lt;0,J27&gt;1,L27="",M27="",N27="",O27=""),"INCOMPLETO","VÁLIDO")))</x:f>
        <x:v>SIN DATOS</x:v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2" t="str">
        <x:f>IF(COUNTA(A28:O28)=0,"SIN DATOS",IF(AND(A28="",COUNTA(B28:O28)&gt;0),"REVISAR",IF(OR(A28="",B28="",C28="",D28="",NOT(ISNUMBER(E28)),E28&lt;=0,F28="",H28="",I28="",NOT(ISNUMBER(J28)),J28&lt;0,J28&gt;1,L28="",M28="",N28="",O28=""),"INCOMPLETO","VÁLIDO")))</x:f>
        <x:v>SIN DATOS</x:v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2" t="str">
        <x:f>IF(COUNTA(A29:O29)=0,"SIN DATOS",IF(AND(A29="",COUNTA(B29:O29)&gt;0),"REVISAR",IF(OR(A29="",B29="",C29="",D29="",NOT(ISNUMBER(E29)),E29&lt;=0,F29="",H29="",I29="",NOT(ISNUMBER(J29)),J29&lt;0,J29&gt;1,L29="",M29="",N29="",O29=""),"INCOMPLETO","VÁLIDO")))</x:f>
        <x:v>SIN DATOS</x:v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2" t="str">
        <x:f>IF(COUNTA(A30:O30)=0,"SIN DATOS",IF(AND(A30="",COUNTA(B30:O30)&gt;0),"REVISAR",IF(OR(A30="",B30="",C30="",D30="",NOT(ISNUMBER(E30)),E30&lt;=0,F30="",H30="",I30="",NOT(ISNUMBER(J30)),J30&lt;0,J30&gt;1,L30="",M30="",N30="",O30=""),"INCOMPLETO","VÁLIDO")))</x:f>
        <x:v>SIN DATOS</x:v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2" t="str">
        <x:f>IF(COUNTA(A31:O31)=0,"SIN DATOS",IF(AND(A31="",COUNTA(B31:O31)&gt;0),"REVISAR",IF(OR(A31="",B31="",C31="",D31="",NOT(ISNUMBER(E31)),E31&lt;=0,F31="",H31="",I31="",NOT(ISNUMBER(J31)),J31&lt;0,J31&gt;1,L31="",M31="",N31="",O31=""),"INCOMPLETO","VÁLIDO")))</x:f>
        <x:v>SIN DATOS</x:v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2" t="str">
        <x:f>IF(COUNTA(A32:O32)=0,"SIN DATOS",IF(AND(A32="",COUNTA(B32:O32)&gt;0),"REVISAR",IF(OR(A32="",B32="",C32="",D32="",NOT(ISNUMBER(E32)),E32&lt;=0,F32="",H32="",I32="",NOT(ISNUMBER(J32)),J32&lt;0,J32&gt;1,L32="",M32="",N32="",O32=""),"INCOMPLETO","VÁLIDO")))</x:f>
        <x:v>SIN DATOS</x:v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2" t="str">
        <x:f>IF(COUNTA(A33:O33)=0,"SIN DATOS",IF(AND(A33="",COUNTA(B33:O33)&gt;0),"REVISAR",IF(OR(A33="",B33="",C33="",D33="",NOT(ISNUMBER(E33)),E33&lt;=0,F33="",H33="",I33="",NOT(ISNUMBER(J33)),J33&lt;0,J33&gt;1,L33="",M33="",N33="",O33=""),"INCOMPLETO","VÁLIDO")))</x:f>
        <x:v>SIN DATOS</x:v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2" t="str">
        <x:f>IF(COUNTA(A34:O34)=0,"SIN DATOS",IF(AND(A34="",COUNTA(B34:O34)&gt;0),"REVISAR",IF(OR(A34="",B34="",C34="",D34="",NOT(ISNUMBER(E34)),E34&lt;=0,F34="",H34="",I34="",NOT(ISNUMBER(J34)),J34&lt;0,J34&gt;1,L34="",M34="",N34="",O34=""),"INCOMPLETO","VÁLIDO")))</x:f>
        <x:v>SIN DATOS</x:v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2" t="str">
        <x:f>IF(COUNTA(A35:O35)=0,"SIN DATOS",IF(AND(A35="",COUNTA(B35:O35)&gt;0),"REVISAR",IF(OR(A35="",B35="",C35="",D35="",NOT(ISNUMBER(E35)),E35&lt;=0,F35="",H35="",I35="",NOT(ISNUMBER(J35)),J35&lt;0,J35&gt;1,L35="",M35="",N35="",O35=""),"INCOMPLETO","VÁLIDO")))</x:f>
        <x:v>SIN DATOS</x:v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2" t="str">
        <x:f>IF(COUNTA(A36:O36)=0,"SIN DATOS",IF(AND(A36="",COUNTA(B36:O36)&gt;0),"REVISAR",IF(OR(A36="",B36="",C36="",D36="",NOT(ISNUMBER(E36)),E36&lt;=0,F36="",H36="",I36="",NOT(ISNUMBER(J36)),J36&lt;0,J36&gt;1,L36="",M36="",N36="",O36=""),"INCOMPLETO","VÁLIDO")))</x:f>
        <x:v>SIN DATOS</x:v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2" t="str">
        <x:f>IF(COUNTA(A37:O37)=0,"SIN DATOS",IF(AND(A37="",COUNTA(B37:O37)&gt;0),"REVISAR",IF(OR(A37="",B37="",C37="",D37="",NOT(ISNUMBER(E37)),E37&lt;=0,F37="",H37="",I37="",NOT(ISNUMBER(J37)),J37&lt;0,J37&gt;1,L37="",M37="",N37="",O37=""),"INCOMPLETO","VÁLIDO")))</x:f>
        <x:v>SIN DATOS</x:v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2" t="str">
        <x:f>IF(COUNTA(A38:O38)=0,"SIN DATOS",IF(AND(A38="",COUNTA(B38:O38)&gt;0),"REVISAR",IF(OR(A38="",B38="",C38="",D38="",NOT(ISNUMBER(E38)),E38&lt;=0,F38="",H38="",I38="",NOT(ISNUMBER(J38)),J38&lt;0,J38&gt;1,L38="",M38="",N38="",O38=""),"INCOMPLETO","VÁLIDO")))</x:f>
        <x:v>SIN DATOS</x:v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2" t="str">
        <x:f>IF(COUNTA(A39:O39)=0,"SIN DATOS",IF(AND(A39="",COUNTA(B39:O39)&gt;0),"REVISAR",IF(OR(A39="",B39="",C39="",D39="",NOT(ISNUMBER(E39)),E39&lt;=0,F39="",H39="",I39="",NOT(ISNUMBER(J39)),J39&lt;0,J39&gt;1,L39="",M39="",N39="",O39=""),"INCOMPLETO","VÁLIDO")))</x:f>
        <x:v>SIN DATOS</x:v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2" t="str">
        <x:f>IF(COUNTA(A40:O40)=0,"SIN DATOS",IF(AND(A40="",COUNTA(B40:O40)&gt;0),"REVISAR",IF(OR(A40="",B40="",C40="",D40="",NOT(ISNUMBER(E40)),E40&lt;=0,F40="",H40="",I40="",NOT(ISNUMBER(J40)),J40&lt;0,J40&gt;1,L40="",M40="",N40="",O40=""),"INCOMPLETO","VÁLIDO")))</x:f>
        <x:v>SIN DATOS</x:v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2" t="str">
        <x:f>IF(COUNTA(A41:O41)=0,"SIN DATOS",IF(AND(A41="",COUNTA(B41:O41)&gt;0),"REVISAR",IF(OR(A41="",B41="",C41="",D41="",NOT(ISNUMBER(E41)),E41&lt;=0,F41="",H41="",I41="",NOT(ISNUMBER(J41)),J41&lt;0,J41&gt;1,L41="",M41="",N41="",O41=""),"INCOMPLETO","VÁLIDO")))</x:f>
        <x:v>SIN DATOS</x:v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2" t="str">
        <x:f>IF(COUNTA(A42:O42)=0,"SIN DATOS",IF(AND(A42="",COUNTA(B42:O42)&gt;0),"REVISAR",IF(OR(A42="",B42="",C42="",D42="",NOT(ISNUMBER(E42)),E42&lt;=0,F42="",H42="",I42="",NOT(ISNUMBER(J42)),J42&lt;0,J42&gt;1,L42="",M42="",N42="",O42=""),"INCOMPLETO","VÁLIDO")))</x:f>
        <x:v>SIN DATOS</x:v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2" t="str">
        <x:f>IF(COUNTA(A43:O43)=0,"SIN DATOS",IF(AND(A43="",COUNTA(B43:O43)&gt;0),"REVISAR",IF(OR(A43="",B43="",C43="",D43="",NOT(ISNUMBER(E43)),E43&lt;=0,F43="",H43="",I43="",NOT(ISNUMBER(J43)),J43&lt;0,J43&gt;1,L43="",M43="",N43="",O43=""),"INCOMPLETO","VÁLIDO")))</x:f>
        <x:v>SIN DATOS</x:v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2" t="str">
        <x:f>IF(COUNTA(A44:O44)=0,"SIN DATOS",IF(AND(A44="",COUNTA(B44:O44)&gt;0),"REVISAR",IF(OR(A44="",B44="",C44="",D44="",NOT(ISNUMBER(E44)),E44&lt;=0,F44="",H44="",I44="",NOT(ISNUMBER(J44)),J44&lt;0,J44&gt;1,L44="",M44="",N44="",O44=""),"INCOMPLETO","VÁLIDO")))</x:f>
        <x:v>SIN DATOS</x:v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2" t="str">
        <x:f>IF(COUNTA(A45:O45)=0,"SIN DATOS",IF(AND(A45="",COUNTA(B45:O45)&gt;0),"REVISAR",IF(OR(A45="",B45="",C45="",D45="",NOT(ISNUMBER(E45)),E45&lt;=0,F45="",H45="",I45="",NOT(ISNUMBER(J45)),J45&lt;0,J45&gt;1,L45="",M45="",N45="",O45=""),"INCOMPLETO","VÁLIDO")))</x:f>
        <x:v>SIN DATOS</x:v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2" t="str">
        <x:f>IF(COUNTA(A46:O46)=0,"SIN DATOS",IF(AND(A46="",COUNTA(B46:O46)&gt;0),"REVISAR",IF(OR(A46="",B46="",C46="",D46="",NOT(ISNUMBER(E46)),E46&lt;=0,F46="",H46="",I46="",NOT(ISNUMBER(J46)),J46&lt;0,J46&gt;1,L46="",M46="",N46="",O46=""),"INCOMPLETO","VÁLIDO")))</x:f>
        <x:v>SIN DATOS</x:v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2" t="str">
        <x:f>IF(COUNTA(A47:O47)=0,"SIN DATOS",IF(AND(A47="",COUNTA(B47:O47)&gt;0),"REVISAR",IF(OR(A47="",B47="",C47="",D47="",NOT(ISNUMBER(E47)),E47&lt;=0,F47="",H47="",I47="",NOT(ISNUMBER(J47)),J47&lt;0,J47&gt;1,L47="",M47="",N47="",O47=""),"INCOMPLETO","VÁLIDO")))</x:f>
        <x:v>SIN DATOS</x:v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2" t="str">
        <x:f>IF(COUNTA(A48:O48)=0,"SIN DATOS",IF(AND(A48="",COUNTA(B48:O48)&gt;0),"REVISAR",IF(OR(A48="",B48="",C48="",D48="",NOT(ISNUMBER(E48)),E48&lt;=0,F48="",H48="",I48="",NOT(ISNUMBER(J48)),J48&lt;0,J48&gt;1,L48="",M48="",N48="",O48=""),"INCOMPLETO","VÁLIDO")))</x:f>
        <x:v>SIN DATOS</x:v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2" t="str">
        <x:f>IF(COUNTA(A49:O49)=0,"SIN DATOS",IF(AND(A49="",COUNTA(B49:O49)&gt;0),"REVISAR",IF(OR(A49="",B49="",C49="",D49="",NOT(ISNUMBER(E49)),E49&lt;=0,F49="",H49="",I49="",NOT(ISNUMBER(J49)),J49&lt;0,J49&gt;1,L49="",M49="",N49="",O49=""),"INCOMPLETO","VÁLIDO")))</x:f>
        <x:v>SIN DATOS</x:v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2" t="str">
        <x:f>IF(COUNTA(A50:O50)=0,"SIN DATOS",IF(AND(A50="",COUNTA(B50:O50)&gt;0),"REVISAR",IF(OR(A50="",B50="",C50="",D50="",NOT(ISNUMBER(E50)),E50&lt;=0,F50="",H50="",I50="",NOT(ISNUMBER(J50)),J50&lt;0,J50&gt;1,L50="",M50="",N50="",O50=""),"INCOMPLETO","VÁLIDO")))</x:f>
        <x:v>SIN DATOS</x:v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2" t="str">
        <x:f>IF(COUNTA(A51:O51)=0,"SIN DATOS",IF(AND(A51="",COUNTA(B51:O51)&gt;0),"REVISAR",IF(OR(A51="",B51="",C51="",D51="",NOT(ISNUMBER(E51)),E51&lt;=0,F51="",H51="",I51="",NOT(ISNUMBER(J51)),J51&lt;0,J51&gt;1,L51="",M51="",N51="",O51=""),"INCOMPLETO","VÁLIDO")))</x:f>
        <x:v>SIN DATOS</x:v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2" t="str">
        <x:f>IF(COUNTA(A52:O52)=0,"SIN DATOS",IF(AND(A52="",COUNTA(B52:O52)&gt;0),"REVISAR",IF(OR(A52="",B52="",C52="",D52="",NOT(ISNUMBER(E52)),E52&lt;=0,F52="",H52="",I52="",NOT(ISNUMBER(J52)),J52&lt;0,J52&gt;1,L52="",M52="",N52="",O52=""),"INCOMPLETO","VÁLIDO")))</x:f>
        <x:v>SIN DATOS</x:v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2" t="str">
        <x:f>IF(COUNTA(A53:O53)=0,"SIN DATOS",IF(AND(A53="",COUNTA(B53:O53)&gt;0),"REVISAR",IF(OR(A53="",B53="",C53="",D53="",NOT(ISNUMBER(E53)),E53&lt;=0,F53="",H53="",I53="",NOT(ISNUMBER(J53)),J53&lt;0,J53&gt;1,L53="",M53="",N53="",O53=""),"INCOMPLETO","VÁLIDO")))</x:f>
        <x:v>SIN DATOS</x:v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2" t="str">
        <x:f>IF(COUNTA(A54:O54)=0,"SIN DATOS",IF(AND(A54="",COUNTA(B54:O54)&gt;0),"REVISAR",IF(OR(A54="",B54="",C54="",D54="",NOT(ISNUMBER(E54)),E54&lt;=0,F54="",H54="",I54="",NOT(ISNUMBER(J54)),J54&lt;0,J54&gt;1,L54="",M54="",N54="",O54=""),"INCOMPLETO","VÁLIDO")))</x:f>
        <x:v>SIN DATOS</x:v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2" t="str">
        <x:f>IF(COUNTA(A55:O55)=0,"SIN DATOS",IF(AND(A55="",COUNTA(B55:O55)&gt;0),"REVISAR",IF(OR(A55="",B55="",C55="",D55="",NOT(ISNUMBER(E55)),E55&lt;=0,F55="",H55="",I55="",NOT(ISNUMBER(J55)),J55&lt;0,J55&gt;1,L55="",M55="",N55="",O55=""),"INCOMPLETO","VÁLIDO")))</x:f>
        <x:v>SIN DATOS</x:v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2" t="str">
        <x:f>IF(COUNTA(A56:O56)=0,"SIN DATOS",IF(AND(A56="",COUNTA(B56:O56)&gt;0),"REVISAR",IF(OR(A56="",B56="",C56="",D56="",NOT(ISNUMBER(E56)),E56&lt;=0,F56="",H56="",I56="",NOT(ISNUMBER(J56)),J56&lt;0,J56&gt;1,L56="",M56="",N56="",O56=""),"INCOMPLETO","VÁLIDO")))</x:f>
        <x:v>SIN DATOS</x:v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2" t="str">
        <x:f>IF(COUNTA(A57:O57)=0,"SIN DATOS",IF(AND(A57="",COUNTA(B57:O57)&gt;0),"REVISAR",IF(OR(A57="",B57="",C57="",D57="",NOT(ISNUMBER(E57)),E57&lt;=0,F57="",H57="",I57="",NOT(ISNUMBER(J57)),J57&lt;0,J57&gt;1,L57="",M57="",N57="",O57=""),"INCOMPLETO","VÁLIDO")))</x:f>
        <x:v>SIN DATOS</x:v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2" t="str">
        <x:f>IF(COUNTA(A58:O58)=0,"SIN DATOS",IF(AND(A58="",COUNTA(B58:O58)&gt;0),"REVISAR",IF(OR(A58="",B58="",C58="",D58="",NOT(ISNUMBER(E58)),E58&lt;=0,F58="",H58="",I58="",NOT(ISNUMBER(J58)),J58&lt;0,J58&gt;1,L58="",M58="",N58="",O58=""),"INCOMPLETO","VÁLIDO")))</x:f>
        <x:v>SIN DATOS</x:v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2" t="str">
        <x:f>IF(COUNTA(A59:O59)=0,"SIN DATOS",IF(AND(A59="",COUNTA(B59:O59)&gt;0),"REVISAR",IF(OR(A59="",B59="",C59="",D59="",NOT(ISNUMBER(E59)),E59&lt;=0,F59="",H59="",I59="",NOT(ISNUMBER(J59)),J59&lt;0,J59&gt;1,L59="",M59="",N59="",O59=""),"INCOMPLETO","VÁLIDO")))</x:f>
        <x:v>SIN DATOS</x:v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2" t="str">
        <x:f>IF(COUNTA(A60:O60)=0,"SIN DATOS",IF(AND(A60="",COUNTA(B60:O60)&gt;0),"REVISAR",IF(OR(A60="",B60="",C60="",D60="",NOT(ISNUMBER(E60)),E60&lt;=0,F60="",H60="",I60="",NOT(ISNUMBER(J60)),J60&lt;0,J60&gt;1,L60="",M60="",N60="",O60=""),"INCOMPLETO","VÁLIDO")))</x:f>
        <x:v>SIN DATOS</x:v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2" t="str">
        <x:f>IF(COUNTA(A61:O61)=0,"SIN DATOS",IF(AND(A61="",COUNTA(B61:O61)&gt;0),"REVISAR",IF(OR(A61="",B61="",C61="",D61="",NOT(ISNUMBER(E61)),E61&lt;=0,F61="",H61="",I61="",NOT(ISNUMBER(J61)),J61&lt;0,J61&gt;1,L61="",M61="",N61="",O61=""),"INCOMPLETO","VÁLIDO")))</x:f>
        <x:v>SIN DATOS</x:v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2" t="str">
        <x:f>IF(COUNTA(A62:O62)=0,"SIN DATOS",IF(AND(A62="",COUNTA(B62:O62)&gt;0),"REVISAR",IF(OR(A62="",B62="",C62="",D62="",NOT(ISNUMBER(E62)),E62&lt;=0,F62="",H62="",I62="",NOT(ISNUMBER(J62)),J62&lt;0,J62&gt;1,L62="",M62="",N62="",O62=""),"INCOMPLETO","VÁLIDO")))</x:f>
        <x:v>SIN DATOS</x:v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2" t="str">
        <x:f>IF(COUNTA(A63:O63)=0,"SIN DATOS",IF(AND(A63="",COUNTA(B63:O63)&gt;0),"REVISAR",IF(OR(A63="",B63="",C63="",D63="",NOT(ISNUMBER(E63)),E63&lt;=0,F63="",H63="",I63="",NOT(ISNUMBER(J63)),J63&lt;0,J63&gt;1,L63="",M63="",N63="",O63=""),"INCOMPLETO","VÁLIDO")))</x:f>
        <x:v>SIN DATOS</x:v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2" t="str">
        <x:f>IF(COUNTA(A64:O64)=0,"SIN DATOS",IF(AND(A64="",COUNTA(B64:O64)&gt;0),"REVISAR",IF(OR(A64="",B64="",C64="",D64="",NOT(ISNUMBER(E64)),E64&lt;=0,F64="",H64="",I64="",NOT(ISNUMBER(J64)),J64&lt;0,J64&gt;1,L64="",M64="",N64="",O64=""),"INCOMPLETO","VÁLIDO")))</x:f>
        <x:v>SIN DATOS</x:v>
      </x:c>
    </x:row>
  </x:sheetData>
  <x:mergeCells>
    <x:mergeCell ref="A1:P1"/>
    <x:mergeCell ref="A2:P2"/>
  </x:mergeCells>
  <x:dataValidations count="2">
    <x:dataValidation type="whole" sqref="E5:E64">
      <x:formula1>0</x:formula1>
    </x:dataValidation>
    <x:dataValidation type="decimal" sqref="J5:J6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cf21dff26411a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70" hidden="0" customWidth="1"/>
    <x:col min="3" max="3" width="21" hidden="0" customWidth="1"/>
    <x:col min="4" max="4" width="29" hidden="0" customWidth="1"/>
    <x:col min="5" max="5" width="70" hidden="0" customWidth="1"/>
  </x:cols>
  <x:sheetData>
    <x:row r="1" ht="35" customHeight="1">
      <x:c r="A1" s="3" t="str">
        <x:v>AUDITORÍA INTERNA DE DATOS Y EVIDENCIAS</x:v>
      </x:c>
      <x:c r="B1" s="3"/>
      <x:c r="C1" s="3"/>
      <x:c r="D1" s="3"/>
      <x:c r="E1" s="3"/>
    </x:row>
    <x:row r="2" ht="29" customHeight="1">
      <x:c r="A2" s="7" t="str">
        <x:v>Los conteos y alertas son controles automáticos; no representan mediciones realizadas.</x:v>
      </x:c>
      <x:c r="B2" s="7"/>
      <x:c r="C2" s="7"/>
      <x:c r="D2" s="7"/>
      <x:c r="E2" s="7"/>
    </x:row>
    <x:row r="4" ht="31" customHeight="1">
      <x:c r="A4" s="13" t="str">
        <x:v>Control</x:v>
      </x:c>
      <x:c r="B4" s="13" t="str">
        <x:v>Detección / condición</x:v>
      </x:c>
      <x:c r="C4" s="13" t="str">
        <x:v>Hallazgos</x:v>
      </x:c>
      <x:c r="D4" s="13" t="str">
        <x:v>Estado</x:v>
      </x:c>
      <x:c r="E4" s="13" t="str">
        <x:v>Acción recomendada</x:v>
      </x:c>
    </x:row>
    <x:row r="5" ht="22" customHeight="1">
      <x:c r="A5" t="str">
        <x:v>Cuestionarios SUS incompletos</x:v>
      </x:c>
      <x:c r="B5" t="str">
        <x:v>Captura SUS parcial o falta consentimiento</x:v>
      </x:c>
      <x:c r="C5" s="22" t="n">
        <x:f>COUNTIF('13_SUS_CAPTURA'!P5:P204,"INCOMPLETO")</x:f>
        <x:v>0</x:v>
      </x:c>
      <x:c r="D5" s="22" t="str">
        <x:f>IF($B$25=0,IF(5=17,"PENDIENTE DE APROBACIÓN","SIN DATOS"),IF(C5&gt;0,IF(5=17,"PENDIENTE DE APROBACIÓN","REVISAR"),"VÁLIDO"))</x:f>
        <x:v>SIN DATOS</x:v>
      </x:c>
      <x:c r="E5" t="str">
        <x:v>Completar consentimiento o cuestionario con respaldo</x:v>
      </x:c>
    </x:row>
    <x:row r="6" ht="22" customHeight="1">
      <x:c r="A6" t="str">
        <x:v>Cuestionarios SUS inválidos</x:v>
      </x:c>
      <x:c r="B6" t="str">
        <x:v>Duplicidad o inconsistencias en cuestionario</x:v>
      </x:c>
      <x:c r="C6" s="22" t="n">
        <x:f>COUNTIF('13_SUS_CAPTURA'!P5:P204,"REVISAR")</x:f>
        <x:v>0</x:v>
      </x:c>
      <x:c r="D6" s="22" t="str">
        <x:f>IF($B$25=0,IF(6=17,"PENDIENTE DE APROBACIÓN","SIN DATOS"),IF(C6&gt;0,IF(6=17,"PENDIENTE DE APROBACIÓN","REVISAR"),"VÁLIDO"))</x:f>
        <x:v>SIN DATOS</x:v>
      </x:c>
      <x:c r="E6" t="str">
        <x:v>Revisar duplicados de códigos y respuestas</x:v>
      </x:c>
    </x:row>
    <x:row r="7" ht="22" customHeight="1">
      <x:c r="A7" t="str">
        <x:v>SUS fuera de rango</x:v>
      </x:c>
      <x:c r="B7" t="str">
        <x:v>Q1-Q10 deben ser enteros 1..5</x:v>
      </x:c>
      <x:c r="C7" s="22" t="n">
        <x:f>SUMPRODUCT(--ISNUMBER('13_SUS_CAPTURA'!F5:O204),--('13_SUS_CAPTURA'!F5:O204&lt;1))+COUNTIF('13_SUS_CAPTURA'!F5:O204,"&gt;5")</x:f>
        <x:v>0</x:v>
      </x:c>
      <x:c r="D7" s="22" t="str">
        <x:f>IF($B$25=0,IF(7=17,"PENDIENTE DE APROBACIÓN","SIN DATOS"),IF(C7&gt;0,IF(7=17,"PENDIENTE DE APROBACIÓN","REVISAR"),"VÁLIDO"))</x:f>
        <x:v>SIN DATOS</x:v>
      </x:c>
      <x:c r="E7" t="str">
        <x:v>Corregir respuestas fuera de escala</x:v>
      </x:c>
    </x:row>
    <x:row r="8" ht="22" customHeight="1">
      <x:c r="A8" t="str">
        <x:v>Intentos incompletos</x:v>
      </x:c>
      <x:c r="B8" t="str">
        <x:v>Intentos sin autorización, sesión, resultado o evidencia</x:v>
      </x:c>
      <x:c r="C8" s="22" t="n">
        <x:f>COUNTIF('15_INTENTOS_TAREAS'!M5:M204,"INCOMPLETO")</x:f>
        <x:v>0</x:v>
      </x:c>
      <x:c r="D8" s="22" t="str">
        <x:f>IF($B$25=0,IF(8=17,"PENDIENTE DE APROBACIÓN","SIN DATOS"),IF(C8&gt;0,IF(8=17,"PENDIENTE DE APROBACIÓN","REVISAR"),"VÁLIDO"))</x:f>
        <x:v>SIN DATOS</x:v>
      </x:c>
      <x:c r="E8" t="str">
        <x:v>Completar rol, evidencia, autorización y sesión</x:v>
      </x:c>
    </x:row>
    <x:row r="9" ht="22" customHeight="1">
      <x:c r="A9" t="str">
        <x:v>Operaciones incompletas</x:v>
      </x:c>
      <x:c r="B9" t="str">
        <x:v>Operaciones sin expectativa, clasificación y log</x:v>
      </x:c>
      <x:c r="C9" s="22" t="n">
        <x:f>COUNTIF('16_OPERACIONES_CRUDAS'!L5:L304,"INCOMPLETO")</x:f>
        <x:v>0</x:v>
      </x:c>
      <x:c r="D9" s="22" t="str">
        <x:f>IF($B$25=0,IF(9=17,"PENDIENTE DE APROBACIÓN","SIN DATOS"),IF(C9&gt;0,IF(9=17,"PENDIENTE DE APROBACIÓN","REVISAR"),"VÁLIDO"))</x:f>
        <x:v>SIN DATOS</x:v>
      </x:c>
      <x:c r="E9" t="str">
        <x:v>Completar resultado esperado/observado y log</x:v>
      </x:c>
    </x:row>
    <x:row r="10" ht="22" customHeight="1">
      <x:c r="A10" t="str">
        <x:v>Cantidades negativas</x:v>
      </x:c>
      <x:c r="B10" t="str">
        <x:v>Duraciones o números examinados menores que cero</x:v>
      </x:c>
      <x:c r="C10" s="22" t="n">
        <x:f>COUNTIF('14_TIEMPOS_CRUDOS'!D5:D304,"&lt;0")+COUNTIF('15_INTENTOS_TAREAS'!H5:H204,"&lt;0")+COUNTIF('18_DUPLICADOS_REGISTRO'!E5:F124,"&lt;0")</x:f>
        <x:v>0</x:v>
      </x:c>
      <x:c r="D10" s="22" t="str">
        <x:f>IF($B$25=0,IF(10=17,"PENDIENTE DE APROBACIÓN","SIN DATOS"),IF(C10&gt;0,IF(10=17,"PENDIENTE DE APROBACIÓN","REVISAR"),"VÁLIDO"))</x:f>
        <x:v>SIN DATOS</x:v>
      </x:c>
      <x:c r="E10" t="str">
        <x:v>Corregir medidas y registros negativos</x:v>
      </x:c>
    </x:row>
    <x:row r="11" ht="22" customHeight="1">
      <x:c r="A11" t="str">
        <x:v>Denominadores cero</x:v>
      </x:c>
      <x:c r="B11" t="str">
        <x:v>Minutos previstos / registros examinados deben ser positivos</x:v>
      </x:c>
      <x:c r="C11" s="22" t="n">
        <x:f>COUNTIFS('06_DISPONIBILIDAD'!A5:A104,"&lt;&gt;",'06_DISPONIBILIDAD'!E5:E104,0)+COUNTIFS('18_DUPLICADOS_REGISTRO'!A5:A124,"&lt;&gt;",'18_DUPLICADOS_REGISTRO'!E5:E124,0)</x:f>
        <x:v>0</x:v>
      </x:c>
      <x:c r="D11" s="22" t="str">
        <x:f>IF($B$25=0,IF(11=17,"PENDIENTE DE APROBACIÓN","SIN DATOS"),IF(C11&gt;0,IF(11=17,"PENDIENTE DE APROBACIÓN","REVISAR"),"VÁLIDO"))</x:f>
        <x:v>SIN DATOS</x:v>
      </x:c>
      <x:c r="E11" t="str">
        <x:v>Confirmar total positivo y fuente</x:v>
      </x:c>
    </x:row>
    <x:row r="12" ht="22" customHeight="1">
      <x:c r="A12" t="str">
        <x:v>Numeradores mayores</x:v>
      </x:c>
      <x:c r="B12" t="str">
        <x:v>Tiempo operativo o duplicados &gt; total</x:v>
      </x:c>
      <x:c r="C12" s="22" t="n">
        <x:f>SUMPRODUCT(--ISNUMBER('06_DISPONIBILIDAD'!E5:E104),--ISNUMBER('06_DISPONIBILIDAD'!F5:F104),--('06_DISPONIBILIDAD'!F5:F104&gt;'06_DISPONIBILIDAD'!E5:E104))+SUMPRODUCT(--ISNUMBER('18_DUPLICADOS_REGISTRO'!E5:E124),--ISNUMBER('18_DUPLICADOS_REGISTRO'!F5:F124),--('18_DUPLICADOS_REGISTRO'!F5:F124&gt;'18_DUPLICADOS_REGISTRO'!E5:E124))</x:f>
        <x:v>0</x:v>
      </x:c>
      <x:c r="D12" s="22" t="str">
        <x:f>IF($B$25=0,IF(12=17,"PENDIENTE DE APROBACIÓN","SIN DATOS"),IF(C12&gt;0,IF(12=17,"PENDIENTE DE APROBACIÓN","REVISAR"),"VÁLIDO"))</x:f>
        <x:v>SIN DATOS</x:v>
      </x:c>
      <x:c r="E12" t="str">
        <x:v>Reconciliar partes y total</x:v>
      </x:c>
    </x:row>
    <x:row r="13" ht="22" customHeight="1">
      <x:c r="A13" t="str">
        <x:v>Tiempo respuesta negativo</x:v>
      </x:c>
      <x:c r="B13" t="str">
        <x:v>Tiempos en ms no pueden ser negativos</x:v>
      </x:c>
      <x:c r="C13" s="22" t="n">
        <x:f>COUNTIF('14_TIEMPOS_CRUDOS'!D5:D304,"&lt;0")</x:f>
        <x:v>0</x:v>
      </x:c>
      <x:c r="D13" s="22" t="str">
        <x:f>IF($B$25=0,IF(13=17,"PENDIENTE DE APROBACIÓN","SIN DATOS"),IF(C13&gt;0,IF(13=17,"PENDIENTE DE APROBACIÓN","REVISAR"),"VÁLIDO"))</x:f>
        <x:v>SIN DATOS</x:v>
      </x:c>
      <x:c r="E13" t="str">
        <x:v>Descartar/justificar tiempo inválido</x:v>
      </x:c>
    </x:row>
    <x:row r="14" ht="22" customHeight="1">
      <x:c r="A14" t="str">
        <x:v>P99 inferior a P95</x:v>
      </x:c>
      <x:c r="B14" t="str">
        <x:v>Contradicción de percentiles por ejecución</x:v>
      </x:c>
      <x:c r="C14" s="22" t="n">
        <x:f>SUMPRODUCT(--ISNUMBER('07_RENDIMIENTO'!E5:E64),--ISNUMBER('07_RENDIMIENTO'!F5:F64),--('07_RENDIMIENTO'!F5:F64&lt;'07_RENDIMIENTO'!E5:E64))</x:f>
        <x:v>0</x:v>
      </x:c>
      <x:c r="D14" s="22" t="str">
        <x:f>IF($B$25=0,IF(14=17,"PENDIENTE DE APROBACIÓN","SIN DATOS"),IF(C14&gt;0,IF(14=17,"PENDIENTE DE APROBACIÓN","REVISAR"),"VÁLIDO"))</x:f>
        <x:v>SIN DATOS</x:v>
      </x:c>
      <x:c r="E14" t="str">
        <x:v>Revisar percentiles del mismo grupo</x:v>
      </x:c>
    </x:row>
    <x:row r="15" ht="22" customHeight="1">
      <x:c r="A15" t="str">
        <x:v>Disponibilidad &gt;100 %</x:v>
      </x:c>
      <x:c r="B15" t="str">
        <x:v>La relación tiempo operativo / programado no puede exceder 1</x:v>
      </x:c>
      <x:c r="C15" s="22" t="n">
        <x:f>COUNTIF('06_DISPONIBILIDAD'!H5:H104,"&gt;100")</x:f>
        <x:v>0</x:v>
      </x:c>
      <x:c r="D15" s="22" t="str">
        <x:f>IF($B$25=0,IF(15=17,"PENDIENTE DE APROBACIÓN","SIN DATOS"),IF(C15&gt;0,IF(15=17,"PENDIENTE DE APROBACIÓN","REVISAR"),"VÁLIDO"))</x:f>
        <x:v>SIN DATOS</x:v>
      </x:c>
      <x:c r="E15" t="str">
        <x:v>Verificar minutos monitorizados</x:v>
      </x:c>
    </x:row>
    <x:row r="16" ht="22" customHeight="1">
      <x:c r="A16" t="str">
        <x:v>Resultados sin evidencia</x:v>
      </x:c>
      <x:c r="B16" t="str">
        <x:v>Registros marcados incompletos / validez sin trazabilidad</x:v>
      </x:c>
      <x:c r="C16" s="22" t="n">
        <x:f>COUNTIF('14_TIEMPOS_CRUDOS'!H5:H304,"INCOMPLETO")+COUNTIF('17_FORMULARIOS_REGISTRO'!J5:J154,"INCOMPLETO")+COUNTIF('18_DUPLICADOS_REGISTRO'!J5:J124,"INCOMPLETO")</x:f>
        <x:v>0</x:v>
      </x:c>
      <x:c r="D16" s="22" t="str">
        <x:f>IF($B$25=0,IF(16=17,"PENDIENTE DE APROBACIÓN","SIN DATOS"),IF(C16&gt;0,IF(16=17,"PENDIENTE DE APROBACIÓN","REVISAR"),"VÁLIDO"))</x:f>
        <x:v>SIN DATOS</x:v>
      </x:c>
      <x:c r="E16" t="str">
        <x:v>Aportar evidencias originales</x:v>
      </x:c>
    </x:row>
    <x:row r="17" ht="22" customHeight="1">
      <x:c r="A17" t="str">
        <x:v>Umbrales sin aprobación</x:v>
      </x:c>
      <x:c r="B17" t="str">
        <x:v>Criterios EN DISCREPANCIA, POR CONFIRMAR y SIN REGLA</x:v>
      </x:c>
      <x:c r="C17" s="22" t="n">
        <x:f>COUNTIF('02_PARAMETROS'!I5:I15,"EN DISCREPANCIA")+COUNTIF('02_PARAMETROS'!I5:I15,"POR CONFIRMAR")+COUNTIF('02_PARAMETROS'!I5:I15,"SIN REGLA")</x:f>
        <x:v>6</x:v>
      </x:c>
      <x:c r="D17" s="22" t="str">
        <x:f>IF($B$25=0,IF(17=17,"PENDIENTE DE APROBACIÓN","SIN DATOS"),IF(C17&gt;0,IF(17=17,"PENDIENTE DE APROBACIÓN","REVISAR"),"VÁLIDO"))</x:f>
        <x:v>PENDIENTE DE APROBACIÓN</x:v>
      </x:c>
      <x:c r="E17" t="str">
        <x:v>Obtener aprobación del director y documentar diferencia</x:v>
      </x:c>
    </x:row>
    <x:row r="18" ht="22" customHeight="1">
      <x:c r="A18" t="str">
        <x:v>Contrastes sin hipótesis</x:v>
      </x:c>
      <x:c r="B18" t="str">
        <x:v>Datos de contraste sin identificador de hipótesis</x:v>
      </x:c>
      <x:c r="C18" s="22" t="n">
        <x:f>COUNTIFS('10_CONTRASTES'!B5:B64,"&lt;&gt;",'10_CONTRASTES'!A5:A64,"")</x:f>
        <x:v>0</x:v>
      </x:c>
      <x:c r="D18" s="22" t="str">
        <x:f>IF($B$25=0,IF(18=17,"PENDIENTE DE APROBACIÓN","SIN DATOS"),IF(C18&gt;0,IF(18=17,"PENDIENTE DE APROBACIÓN","REVISAR"),"VÁLIDO"))</x:f>
        <x:v>SIN DATOS</x:v>
      </x:c>
      <x:c r="E18" t="str">
        <x:v>Registrar hipótesis / diseño formal</x:v>
      </x:c>
    </x:row>
    <x:row r="19" ht="22" customHeight="1">
      <x:c r="A19" t="str">
        <x:v>Resultados sin trazabilidad</x:v>
      </x:c>
      <x:c r="B19" t="str">
        <x:v>Registros con ejecución pero sin ID o evidencia</x:v>
      </x:c>
      <x:c r="C19" s="22" t="n">
        <x:f>COUNTIFS('16_OPERACIONES_CRUDAS'!F5:F304,"FALLO CONFIRMADO",'16_OPERACIONES_CRUDAS'!I5:I304,"")+COUNTIFS('18_DUPLICADOS_REGISTRO'!E5:E124,"&gt;0",'18_DUPLICADOS_REGISTRO'!I5:I124,"")</x:f>
        <x:v>0</x:v>
      </x:c>
      <x:c r="D19" s="22" t="str">
        <x:f>IF($B$25=0,IF(19=17,"PENDIENTE DE APROBACIÓN","SIN DATOS"),IF(C19&gt;0,IF(19=17,"PENDIENTE DE APROBACIÓN","REVISAR"),"VÁLIDO"))</x:f>
        <x:v>SIN DATOS</x:v>
      </x:c>
      <x:c r="E19" t="str">
        <x:v>Guardar ID de ejecución y evidencia original</x:v>
      </x:c>
    </x:row>
    <x:row r="20" ht="22" customHeight="1">
      <x:c r="A20" t="str">
        <x:v>Registros inconsistentes</x:v>
      </x:c>
      <x:c r="B20" t="str">
        <x:v>Estados REVISAR en capturas y procesamiento</x:v>
      </x:c>
      <x:c r="C20" s="22" t="n">
        <x:f>COUNTIF('14_TIEMPOS_CRUDOS'!H5:H304,"REVISAR")+COUNTIF('15_INTENTOS_TAREAS'!M5:M204,"REVISAR")+COUNTIF('16_OPERACIONES_CRUDAS'!L5:L304,"REVISAR")+COUNTIF('17_FORMULARIOS_REGISTRO'!J5:J154,"REVISAR")+COUNTIF('18_DUPLICADOS_REGISTRO'!J5:J124,"REVISAR")</x:f>
        <x:v>0</x:v>
      </x:c>
      <x:c r="D20" s="22" t="str">
        <x:f>IF($B$25=0,IF(20=17,"PENDIENTE DE APROBACIÓN","SIN DATOS"),IF(C20&gt;0,IF(20=17,"PENDIENTE DE APROBACIÓN","REVISAR"),"VÁLIDO"))</x:f>
        <x:v>SIN DATOS</x:v>
      </x:c>
      <x:c r="E20" t="str">
        <x:v>Corregir registros incoherentes</x:v>
      </x:c>
    </x:row>
    <x:row r="21" ht="22" customHeight="1"/>
    <x:row r="22" ht="22" customHeight="1"/>
    <x:row r="23" ht="22" customHeight="1"/>
    <x:row r="24" ht="22" customHeight="1">
      <x:c r="A24" t="str">
        <x:v>ESTADO DE INSTRUMENTO</x:v>
      </x:c>
    </x:row>
    <x:row r="25" ht="22" customHeight="1">
      <x:c r="A25" t="str">
        <x:v>Observaciones válidas registradas</x:v>
      </x:c>
      <x:c r="B25" t="n">
        <x:f>COUNTIF('13_SUS_CAPTURA'!P5:P204,"VÁLIDO")+COUNTIF('14_TIEMPOS_CRUDOS'!H5:H304,"VÁLIDO")+COUNTIF('15_INTENTOS_TAREAS'!M5:M204,"VÁLIDO")+COUNTIF('16_OPERACIONES_CRUDAS'!L5:L304,"VÁLIDO")+COUNTIF('17_FORMULARIOS_REGISTRO'!J5:J154,"VÁLIDO")+COUNTIF('18_DUPLICADOS_REGISTRO'!J5:J124,"VÁLIDO")</x:f>
        <x:v>0</x:v>
      </x:c>
    </x:row>
    <x:row r="26" ht="22" customHeight="1">
      <x:c r="A26" t="str">
        <x:v>Indicadores con datos procesados</x:v>
      </x:c>
      <x:c r="B26" t="n">
        <x:f>COUNT('03_SUS_RESUMEN'!G7,'04_TAREAS'!H5:H10,'05_FALLOS'!H5:H10,'06_DISPONIBILIDAD'!H5:H104,'07_RENDIMIENTO'!E5:F64,'08_CONFORMIDAD'!B21,'09_DUPLICADOS'!G5:G23)</x:f>
        <x:v>0</x:v>
      </x:c>
    </x:row>
    <x:row r="27" ht="22" customHeight="1">
      <x:c r="A27" t="str">
        <x:v>Conclusión del control</x:v>
      </x:c>
      <x:c r="B27" t="str">
        <x:f>IF(B25=0,"PREPARADO — SIN DATOS DE EVALUACIÓN",IF(COUNTIF(D5:D20,"REVISAR")&gt;0,"REVISAR REGISTROS Y EVIDENCIAS","DATOS REGISTRADOS — VERIFICAR APROBACIONES"))</x:f>
        <x:v>PREPARADO — SIN DATOS DE EVALUACIÓN</x:v>
      </x:c>
    </x:row>
    <x:row r="28" ht="22" customHeight="1"/>
    <x:row r="29" ht="22" customHeight="1"/>
    <x:row r="30" ht="22" customHeight="1"/>
  </x:sheetData>
  <x:mergeCells>
    <x:mergeCell ref="A1:E1"/>
    <x:mergeCell ref="A2:E2"/>
  </x:mergeCells>
  <x:conditionalFormatting sqref="D5:D20">
    <x:cfRule type="expression" dxfId="6" priority="1">
      <x:formula>D5="REVISAR"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35" hidden="0" customWidth="1"/>
    <x:col min="4" max="4" width="58" hidden="0" customWidth="1"/>
    <x:col min="5" max="5" width="74" hidden="0" customWidth="1"/>
    <x:col min="6" max="6" width="53" hidden="0" customWidth="1"/>
    <x:col min="7" max="7" width="35" hidden="0" customWidth="1"/>
    <x:col min="8" max="8" width="23" hidden="0" customWidth="1"/>
    <x:col min="9" max="9" width="24" hidden="0" customWidth="1"/>
    <x:col min="10" max="10" width="45" hidden="0" customWidth="1"/>
  </x:cols>
  <x:sheetData>
    <x:row r="1" ht="35" customHeight="1">
      <x:c r="A1" s="3" t="str">
        <x:v>DECISIONES Y REGISTROS PENDIENTES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7" t="str">
        <x:v>Cerrar únicamente con decisión formal o evidencia posterior y fecha.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1" customHeight="1">
      <x:c r="A4" s="13" t="str">
        <x:v>ID</x:v>
      </x:c>
      <x:c r="B4" s="13" t="str">
        <x:v>Hoja</x:v>
      </x:c>
      <x:c r="C4" s="13" t="str">
        <x:v>Campo / referencia</x:v>
      </x:c>
      <x:c r="D4" s="13" t="str">
        <x:v>Información pendiente</x:v>
      </x:c>
      <x:c r="E4" s="13" t="str">
        <x:v>Cómo obtenerla</x:v>
      </x:c>
      <x:c r="F4" s="13" t="str">
        <x:v>Documento relacionado</x:v>
      </x:c>
      <x:c r="G4" s="13" t="str">
        <x:v>Responsable</x:v>
      </x:c>
      <x:c r="H4" s="13" t="str">
        <x:v>Estado</x:v>
      </x:c>
      <x:c r="I4" s="13" t="str">
        <x:v>Fecha resolución</x:v>
      </x:c>
      <x:c r="J4" s="13" t="str">
        <x:v>Evidencia</x:v>
      </x:c>
    </x:row>
    <x:row r="5" ht="22" customHeight="1">
      <x:c r="A5" t="str">
        <x:v>P-01</x:v>
      </x:c>
      <x:c r="B5" t="str">
        <x:v>01_CONTROL</x:v>
      </x:c>
      <x:c r="C5" t="str">
        <x:v>D-37-01 / plan estadístico</x:v>
      </x:c>
      <x:c r="D5" t="str">
        <x:v>Localizar versión aprobada del plan D-37-01</x:v>
      </x:c>
      <x:c r="E5" t="str">
        <x:v>Solicitar al equipo/director; comparar pruebas, análisis y supuestos</x:v>
      </x:c>
      <x:c r="F5" t="str">
        <x:v>D-37-01 no localizado</x:v>
      </x:c>
      <x:c r="G5" s="20" t="str"/>
      <x:c r="H5" s="20" t="str">
        <x:v>Pendiente</x:v>
      </x:c>
      <x:c r="I5" s="26"/>
      <x:c r="J5" s="20"/>
    </x:row>
    <x:row r="6" ht="22" customHeight="1">
      <x:c r="A6" t="str">
        <x:v>P-02</x:v>
      </x:c>
      <x:c r="B6" t="str">
        <x:v>02_PARAMETROS</x:v>
      </x:c>
      <x:c r="C6" t="str">
        <x:v>OP-06: operador P95</x:v>
      </x:c>
      <x:c r="D6" t="str">
        <x:v>Resolver ≤ 2000 ms anteproyecto vs &lt; 2000 ms script</x:v>
      </x:c>
      <x:c r="E6" t="str">
        <x:v>Acta metodológica; alinear matriz, tesis y k6</x:v>
      </x:c>
      <x:c r="F6" t="str">
        <x:v>03 Plan PV-05; backend/tests/load_test.js</x:v>
      </x:c>
      <x:c r="G6" s="20" t="str"/>
      <x:c r="H6" s="20" t="str">
        <x:v>Pendiente</x:v>
      </x:c>
      <x:c r="I6" s="26"/>
      <x:c r="J6" s="20"/>
    </x:row>
    <x:row r="7" ht="22" customHeight="1">
      <x:c r="A7" t="str">
        <x:v>P-03</x:v>
      </x:c>
      <x:c r="B7" t="str">
        <x:v>02_PARAMETROS</x:v>
      </x:c>
      <x:c r="C7" t="str">
        <x:v>OP-03: mensual</x:v>
      </x:c>
      <x:c r="D7" t="str">
        <x:v>Homologar ≥99 % vs ≥99,5 % mensual y ventana</x:v>
      </x:c>
      <x:c r="E7" t="str">
        <x:v>Contrastar SRS y anteproyecto; decisión firmada</x:v>
      </x:c>
      <x:c r="F7" t="str">
        <x:v>Plan PV-03; SRS; D-34-03</x:v>
      </x:c>
      <x:c r="G7" s="20" t="str"/>
      <x:c r="H7" s="20" t="str">
        <x:v>Pendiente</x:v>
      </x:c>
      <x:c r="I7" s="26"/>
      <x:c r="J7" s="20"/>
    </x:row>
    <x:row r="8" ht="22" customHeight="1">
      <x:c r="A8" t="str">
        <x:v>P-04</x:v>
      </x:c>
      <x:c r="B8" t="str">
        <x:v>02_PARAMETROS</x:v>
      </x:c>
      <x:c r="C8" t="str">
        <x:v>OP-07: P99</x:v>
      </x:c>
      <x:c r="D8" t="str">
        <x:v>Confirmar &lt; 5000 ms documentado y aprobar instrumentación P99</x:v>
      </x:c>
      <x:c r="E8" t="str">
        <x:v>Revisión director y diseño de mediciones por ET</x:v>
      </x:c>
      <x:c r="F8" t="str">
        <x:v>Plan PV-06; D-36-01</x:v>
      </x:c>
      <x:c r="G8" s="20" t="str"/>
      <x:c r="H8" s="20" t="str">
        <x:v>Pendiente</x:v>
      </x:c>
      <x:c r="I8" s="26"/>
      <x:c r="J8" s="20"/>
    </x:row>
    <x:row r="9" ht="22" customHeight="1">
      <x:c r="A9" t="str">
        <x:v>P-05</x:v>
      </x:c>
      <x:c r="B9" t="str">
        <x:v>02_PARAMETROS</x:v>
      </x:c>
      <x:c r="C9" t="str">
        <x:v>OP-05 éxito tareas</x:v>
      </x:c>
      <x:c r="D9" t="str">
        <x:v>Resolver si habrá umbral de aceptación de eficacia</x:v>
      </x:c>
      <x:c r="E9" t="str">
        <x:v>Revisar objetivos, hipótesis y respaldo documental</x:v>
      </x:c>
      <x:c r="F9" t="str">
        <x:v>Plan PV-09; D-34-02</x:v>
      </x:c>
      <x:c r="G9" s="20" t="str"/>
      <x:c r="H9" s="20" t="str">
        <x:v>Pendiente</x:v>
      </x:c>
      <x:c r="I9" s="26"/>
      <x:c r="J9" s="20"/>
    </x:row>
    <x:row r="10" ht="22" customHeight="1">
      <x:c r="A10" t="str">
        <x:v>P-06</x:v>
      </x:c>
      <x:c r="B10" t="str">
        <x:v>02_PARAMETROS</x:v>
      </x:c>
      <x:c r="C10" t="str">
        <x:v>OP-10 / OP-11</x:v>
      </x:c>
      <x:c r="D10" t="str">
        <x:v>Aprobar definiciones, unidades y método o dejarlos complementarios</x:v>
      </x:c>
      <x:c r="E10" t="str">
        <x:v>Delimitar eventos, medidas y fuente académica</x:v>
      </x:c>
      <x:c r="F10" t="str">
        <x:v>Manual matriz de operacionalización</x:v>
      </x:c>
      <x:c r="G10" s="20" t="str"/>
      <x:c r="H10" s="20" t="str">
        <x:v>Pendiente</x:v>
      </x:c>
      <x:c r="I10" s="26"/>
      <x:c r="J10" s="20"/>
    </x:row>
    <x:row r="11" ht="22" customHeight="1">
      <x:c r="A11" t="str">
        <x:v>P-07</x:v>
      </x:c>
      <x:c r="B11" t="str">
        <x:v>13_SUS_CAPTURA</x:v>
      </x:c>
      <x:c r="C11" t="str">
        <x:v>Población y códigos anónimos</x:v>
      </x:c>
      <x:c r="D11" t="str">
        <x:v>Confirmar población elegible y censo previsto de 10</x:v>
      </x:c>
      <x:c r="E11" t="str">
        <x:v>Acta de selección, rol, consentimiento, dispositivo y sesiones</x:v>
      </x:c>
      <x:c r="F11" t="str">
        <x:v>D-34-01; D-34-02</x:v>
      </x:c>
      <x:c r="G11" s="20" t="str"/>
      <x:c r="H11" s="20" t="str">
        <x:v>Pendiente</x:v>
      </x:c>
      <x:c r="I11" s="26"/>
      <x:c r="J11" s="20"/>
    </x:row>
    <x:row r="12" ht="22" customHeight="1">
      <x:c r="A12" t="str">
        <x:v>P-08</x:v>
      </x:c>
      <x:c r="B12" t="str">
        <x:v>13_SUS_CAPTURA</x:v>
      </x:c>
      <x:c r="C12" t="str">
        <x:v>Q1-Q10 / Evidencia</x:v>
      </x:c>
      <x:c r="D12" t="str">
        <x:v>Aplicar SUS y conservar diez respuestas y cuestionario</x:v>
      </x:c>
      <x:c r="E12" t="str">
        <x:v>Capturar respuestas completas tras sesión real</x:v>
      </x:c>
      <x:c r="F12" t="str">
        <x:v>D-34-02; cuestionarios</x:v>
      </x:c>
      <x:c r="G12" s="20" t="str"/>
      <x:c r="H12" s="20" t="str">
        <x:v>Pendiente</x:v>
      </x:c>
      <x:c r="I12" s="26"/>
      <x:c r="J12" s="20"/>
    </x:row>
    <x:row r="13" ht="22" customHeight="1">
      <x:c r="A13" t="str">
        <x:v>P-09</x:v>
      </x:c>
      <x:c r="B13" t="str">
        <x:v>15_INTENTOS_TAREAS</x:v>
      </x:c>
      <x:c r="C13" t="str">
        <x:v>T-US-01 a T-US-06</x:v>
      </x:c>
      <x:c r="D13" t="str">
        <x:v>Validar tareas candidatas y criterios de éxito</x:v>
      </x:c>
      <x:c r="E13" t="str">
        <x:v>Contrastar roles, interfaces y piloto con usuarios</x:v>
      </x:c>
      <x:c r="F13" t="str">
        <x:v>D-34-02; casos de uso</x:v>
      </x:c>
      <x:c r="G13" s="20" t="str"/>
      <x:c r="H13" s="20" t="str">
        <x:v>Pendiente</x:v>
      </x:c>
      <x:c r="I13" s="26"/>
      <x:c r="J13" s="20"/>
    </x:row>
    <x:row r="14" ht="22" customHeight="1">
      <x:c r="A14" t="str">
        <x:v>P-10</x:v>
      </x:c>
      <x:c r="B14" t="str">
        <x:v>15_INTENTOS_TAREAS</x:v>
      </x:c>
      <x:c r="C14" t="str">
        <x:v>Intentos y resultados</x:v>
      </x:c>
      <x:c r="D14" t="str">
        <x:v>Realizar tareas con sesión, resultado y evidencia</x:v>
      </x:c>
      <x:c r="E14" t="str">
        <x:v>Registrar cada intento sin atribuir éxito no observado</x:v>
      </x:c>
      <x:c r="F14" t="str">
        <x:v>D-34-02; protocolos SUS</x:v>
      </x:c>
      <x:c r="G14" s="20" t="str"/>
      <x:c r="H14" s="20" t="str">
        <x:v>Pendiente</x:v>
      </x:c>
      <x:c r="I14" s="26"/>
      <x:c r="J14" s="20"/>
    </x:row>
    <x:row r="15" ht="22" customHeight="1">
      <x:c r="A15" t="str">
        <x:v>P-11</x:v>
      </x:c>
      <x:c r="B15" t="str">
        <x:v>16_OPERACIONES_CRUDAS</x:v>
      </x:c>
      <x:c r="C15" t="str">
        <x:v>Fallos y HTTP esperados</x:v>
      </x:c>
      <x:c r="D15" t="str">
        <x:v>Definir clasificación de fallo reproducible por escenario</x:v>
      </x:c>
      <x:c r="E15" t="str">
        <x:v>Separar 401/403/422 esperados, fallos técnicos y exclusiones</x:v>
      </x:c>
      <x:c r="F15" t="str">
        <x:v>PV-01; D-34-03; security.test.js</x:v>
      </x:c>
      <x:c r="G15" s="20" t="str"/>
      <x:c r="H15" s="20" t="str">
        <x:v>Pendiente</x:v>
      </x:c>
      <x:c r="I15" s="26"/>
      <x:c r="J15" s="20"/>
    </x:row>
    <x:row r="16" ht="22" customHeight="1">
      <x:c r="A16" t="str">
        <x:v>P-12</x:v>
      </x:c>
      <x:c r="B16" t="str">
        <x:v>16_OPERACIONES_CRUDAS</x:v>
      </x:c>
      <x:c r="C16" t="str">
        <x:v>Operaciones ET-01 a ET-06</x:v>
      </x:c>
      <x:c r="D16" t="str">
        <x:v>Ejecutar operaciones suficientes y conservar logs</x:v>
      </x:c>
      <x:c r="E16" t="str">
        <x:v>Fijar dataset, ambiente, n previsto y precisión</x:v>
      </x:c>
      <x:c r="F16" t="str">
        <x:v>D-34-03; D-36-01</x:v>
      </x:c>
      <x:c r="G16" s="20" t="str"/>
      <x:c r="H16" s="20" t="str">
        <x:v>Pendiente</x:v>
      </x:c>
      <x:c r="I16" s="26"/>
      <x:c r="J16" s="20"/>
    </x:row>
    <x:row r="17" ht="22" customHeight="1">
      <x:c r="A17" t="str">
        <x:v>P-13</x:v>
      </x:c>
      <x:c r="B17" t="str">
        <x:v>06_DISPONIBILIDAD</x:v>
      </x:c>
      <x:c r="C17" t="str">
        <x:v>Fechas y ventanas de monitoreo</x:v>
      </x:c>
      <x:c r="D17" t="str">
        <x:v>Aprobar ventanas semanales/mensuales del servicio</x:v>
      </x:c>
      <x:c r="E17" t="str">
        <x:v>Especificar tiempo planificado, caída, granularidad y logs</x:v>
      </x:c>
      <x:c r="F17" t="str">
        <x:v>PV-02 / PV-03; D-34-03</x:v>
      </x:c>
      <x:c r="G17" s="20" t="str"/>
      <x:c r="H17" s="20" t="str">
        <x:v>Pendiente</x:v>
      </x:c>
      <x:c r="I17" s="26"/>
      <x:c r="J17" s="20"/>
    </x:row>
    <x:row r="18" ht="22" customHeight="1">
      <x:c r="A18" t="str">
        <x:v>P-14</x:v>
      </x:c>
      <x:c r="B18" t="str">
        <x:v>14_TIEMPOS_CRUDOS</x:v>
      </x:c>
      <x:c r="C18" t="str">
        <x:v>Duración de solicitudes</x:v>
      </x:c>
      <x:c r="D18" t="str">
        <x:v>Capturar tiempos individuales por ET y ejecución</x:v>
      </x:c>
      <x:c r="E18" t="str">
        <x:v>Ejecutar k6/instrumento; preservar datos CSV originales</x:v>
      </x:c>
      <x:c r="F18" t="str">
        <x:v>D-34-03; backend/tests/load_test.js</x:v>
      </x:c>
      <x:c r="G18" s="20" t="str"/>
      <x:c r="H18" s="20" t="str">
        <x:v>Pendiente</x:v>
      </x:c>
      <x:c r="I18" s="26"/>
      <x:c r="J18" s="20"/>
    </x:row>
    <x:row r="19" ht="22" customHeight="1">
      <x:c r="A19" t="str">
        <x:v>P-15</x:v>
      </x:c>
      <x:c r="B19" t="str">
        <x:v>07_RENDIMIENTO</x:v>
      </x:c>
      <x:c r="C19" t="str">
        <x:v>n, precisión, P99</x:v>
      </x:c>
      <x:c r="D19" t="str">
        <x:v>Justificar suficiencia de observaciones para percentiles altos</x:v>
      </x:c>
      <x:c r="E19" t="str">
        <x:v>Definir criterio de independencia y precisión con bibliografía</x:v>
      </x:c>
      <x:c r="F19" t="str">
        <x:v>D-34-03 precisión; D-36-01</x:v>
      </x:c>
      <x:c r="G19" s="20" t="str"/>
      <x:c r="H19" s="20" t="str">
        <x:v>Pendiente</x:v>
      </x:c>
      <x:c r="I19" s="26"/>
      <x:c r="J19" s="20"/>
    </x:row>
    <x:row r="20" ht="22" customHeight="1">
      <x:c r="A20" t="str">
        <x:v>P-16</x:v>
      </x:c>
      <x:c r="B20" t="str">
        <x:v>08_CONFORMIDAD</x:v>
      </x:c>
      <x:c r="C20" t="str">
        <x:v>Universo FOR-001 a FOR-010</x:v>
      </x:c>
      <x:c r="D20" t="str">
        <x:v>Confirmar cobertura exhaustiva y elegibilidad</x:v>
      </x:c>
      <x:c r="E20" t="str">
        <x:v>Aprobar inventario, excluir motivadamente solo lo fuera de alcance</x:v>
      </x:c>
      <x:c r="F20" t="str">
        <x:v>D-34-04; SRS</x:v>
      </x:c>
      <x:c r="G20" s="20" t="str"/>
      <x:c r="H20" s="20" t="str">
        <x:v>Pendiente</x:v>
      </x:c>
      <x:c r="I20" s="26"/>
      <x:c r="J20" s="20"/>
    </x:row>
    <x:row r="21" ht="22" customHeight="1">
      <x:c r="A21" t="str">
        <x:v>P-17</x:v>
      </x:c>
      <x:c r="B21" t="str">
        <x:v>17_FORMULARIOS_REGISTRO</x:v>
      </x:c>
      <x:c r="C21" t="str">
        <x:v>Reglas y veredictos</x:v>
      </x:c>
      <x:c r="D21" t="str">
        <x:v>Aprobar rúbrica, ejecutar casos y conservar evidencia</x:v>
      </x:c>
      <x:c r="E21" t="str">
        <x:v>Comprobar campos, validaciones, persistencia y permisos</x:v>
      </x:c>
      <x:c r="F21" t="str">
        <x:v>D-34-04 06_RUBRICA_FORMULARIOS</x:v>
      </x:c>
      <x:c r="G21" s="20" t="str"/>
      <x:c r="H21" s="20" t="str">
        <x:v>Pendiente</x:v>
      </x:c>
      <x:c r="I21" s="26"/>
      <x:c r="J21" s="20"/>
    </x:row>
    <x:row r="22" ht="22" customHeight="1">
      <x:c r="A22" t="str">
        <x:v>P-18</x:v>
      </x:c>
      <x:c r="B22" t="str">
        <x:v>09_DUPLICADOS</x:v>
      </x:c>
      <x:c r="C22" t="str">
        <x:v>Claves de negocio entidades</x:v>
      </x:c>
      <x:c r="D22" t="str">
        <x:v>Aprobar regla de duplicidad indebida por modelo</x:v>
      </x:c>
      <x:c r="E22" t="str">
        <x:v>Distinguir PK, unicidad DB y clave funcional temporal</x:v>
      </x:c>
      <x:c r="F22" t="str">
        <x:v>D-34-04; schema.prisma</x:v>
      </x:c>
      <x:c r="G22" s="20" t="str"/>
      <x:c r="H22" s="20" t="str">
        <x:v>Pendiente</x:v>
      </x:c>
      <x:c r="I22" s="26"/>
      <x:c r="J22" s="20"/>
    </x:row>
    <x:row r="23" ht="22" customHeight="1">
      <x:c r="A23" t="str">
        <x:v>P-19</x:v>
      </x:c>
      <x:c r="B23" t="str">
        <x:v>18_DUPLICADOS_REGISTRO</x:v>
      </x:c>
      <x:c r="C23" t="str">
        <x:v>SQL, n y duplicados</x:v>
      </x:c>
      <x:c r="D23" t="str">
        <x:v>Ejecutar consultas reproducibles y contar registros examinados</x:v>
      </x:c>
      <x:c r="E23" t="str">
        <x:v>Congelar dataset y guardar SQL/output/evidencia</x:v>
      </x:c>
      <x:c r="F23" t="str">
        <x:v>D-34-04; schema.prisma</x:v>
      </x:c>
      <x:c r="G23" s="20" t="str"/>
      <x:c r="H23" s="20" t="str">
        <x:v>Pendiente</x:v>
      </x:c>
      <x:c r="I23" s="26"/>
      <x:c r="J23" s="20"/>
    </x:row>
    <x:row r="24" ht="22" customHeight="1">
      <x:c r="A24" t="str">
        <x:v>P-20</x:v>
      </x:c>
      <x:c r="B24" t="str">
        <x:v>10_CONTRASTES</x:v>
      </x:c>
      <x:c r="C24" t="str">
        <x:v>Hipótesis y pruebas</x:v>
      </x:c>
      <x:c r="D24" t="str">
        <x:v>Confirmar si diseño requiere inferencia</x:v>
      </x:c>
      <x:c r="E24" t="str">
        <x:v>Formalizar H0/H1, supuestos, test, alfa, efecto e IC</x:v>
      </x:c>
      <x:c r="F24" t="str">
        <x:v>Marco metodológico; D-37-01</x:v>
      </x:c>
      <x:c r="G24" s="20" t="str"/>
      <x:c r="H24" s="20" t="str">
        <x:v>Pendiente</x:v>
      </x:c>
      <x:c r="I24" s="26"/>
      <x:c r="J24" s="20"/>
    </x:row>
    <x:row r="25" ht="22" customHeight="1">
      <x:c r="A25" t="str">
        <x:v>P-21</x:v>
      </x:c>
      <x:c r="B25" t="str">
        <x:v>01_CONTROL</x:v>
      </x:c>
      <x:c r="C25" t="str">
        <x:v>Ambiente real de pruebas</x:v>
      </x:c>
      <x:c r="D25" t="str">
        <x:v>Constatar stack, versiones, red y datos antes de ejecutar</x:v>
      </x:c>
      <x:c r="E25" t="str">
        <x:v>Registrar sesión D-36-01 y commit desplegado</x:v>
      </x:c>
      <x:c r="F25" t="str">
        <x:v>D-36-01</x:v>
      </x:c>
      <x:c r="G25" s="20" t="str"/>
      <x:c r="H25" s="20" t="str">
        <x:v>Pendiente</x:v>
      </x:c>
      <x:c r="I25" s="26"/>
      <x:c r="J25" s="20"/>
    </x:row>
    <x:row r="26" ht="22" customHeight="1">
      <x:c r="A26" t="str">
        <x:v>P-22</x:v>
      </x:c>
      <x:c r="B26" t="str">
        <x:v>19_FUENTES</x:v>
      </x:c>
      <x:c r="C26" t="str">
        <x:v>Matriz 02 original</x:v>
      </x:c>
      <x:c r="D26" t="str">
        <x:v>Contrastar archivo 02 binario con manual y criterios</x:v>
      </x:c>
      <x:c r="E26" t="str">
        <x:v>Obtener y cotejar versión vigente para resolver diferencias</x:v>
      </x:c>
      <x:c r="F26" t="str">
        <x:v>02_Matriz_Operacionalizacion_Variables_ICARO.xlsx</x:v>
      </x:c>
      <x:c r="G26" s="20" t="str"/>
      <x:c r="H26" s="20" t="str">
        <x:v>Pendiente</x:v>
      </x:c>
      <x:c r="I26" s="26"/>
      <x:c r="J26" s="20"/>
    </x:row>
    <x:row r="27" ht="22" customHeight="1">
      <x:c r="A27" t="str">
        <x:v>P-23</x:v>
      </x:c>
      <x:c r="B27" t="str">
        <x:v>02_PARAMETROS</x:v>
      </x:c>
      <x:c r="C27" t="str">
        <x:v>OP-08 conformidad / cobertura</x:v>
      </x:c>
      <x:c r="D27" t="str">
        <x:v>Confirmar rúbrica completa y regla de cobertura del universo</x:v>
      </x:c>
      <x:c r="E27" t="str">
        <x:v>Validar FOR, registros por regla y cobertura objetivo</x:v>
      </x:c>
      <x:c r="F27" t="str">
        <x:v>PV-07; D-34-04</x:v>
      </x:c>
      <x:c r="G27" s="20" t="str"/>
      <x:c r="H27" s="20" t="str">
        <x:v>Pendiente</x:v>
      </x:c>
      <x:c r="I27" s="26"/>
      <x:c r="J27" s="20"/>
    </x:row>
    <x:row r="28" ht="22" customHeight="1">
      <x:c r="A28" t="str">
        <x:v>P-24</x:v>
      </x:c>
      <x:c r="B28" t="str">
        <x:v>02_PARAMETROS</x:v>
      </x:c>
      <x:c r="C28" t="str">
        <x:v>OP-09 criterio 0 duplicados</x:v>
      </x:c>
      <x:c r="D28" t="str">
        <x:v>Determinar si el dictamen exige todas las entidades elegibles</x:v>
      </x:c>
      <x:c r="E28" t="str">
        <x:v>Aprobar criterio global y universo por entidad/conjunto</x:v>
      </x:c>
      <x:c r="F28" t="str">
        <x:v>PV-08; D-34-04</x:v>
      </x:c>
      <x:c r="G28" s="20" t="str"/>
      <x:c r="H28" s="20" t="str">
        <x:v>Pendiente</x:v>
      </x:c>
      <x:c r="I28" s="26"/>
      <x:c r="J28" s="20"/>
    </x:row>
    <x:row r="29" ht="22" customHeight="1">
      <x:c r="A29" t="str">
        <x:v>P-25</x:v>
      </x:c>
      <x:c r="B29" t="str">
        <x:v>11_CONTROL_CALIDAD</x:v>
      </x:c>
      <x:c r="C29" t="str">
        <x:v>Validación final de instrumento</x:v>
      </x:c>
      <x:c r="D29" t="str">
        <x:v>Revisar fórmulas en Excel, controles y coherencia tras llenar datos</x:v>
      </x:c>
      <x:c r="E29" t="str">
        <x:v>Auditoría con valores reales; no usar datos inventados</x:v>
      </x:c>
      <x:c r="F29" t="str">
        <x:v>D-37-02; director</x:v>
      </x:c>
      <x:c r="G29" s="20" t="str"/>
      <x:c r="H29" s="20" t="str">
        <x:v>Pendiente</x:v>
      </x:c>
      <x:c r="I29" s="26"/>
      <x:c r="J29" s="20"/>
    </x:row>
    <x:row r="30" ht="22" customHeight="1">
      <x:c r="G30" s="20"/>
      <x:c r="H30" s="20"/>
      <x:c r="I30" s="26"/>
      <x:c r="J30" s="20"/>
    </x:row>
    <x:row r="31">
      <x:c r="G31" s="20"/>
      <x:c r="H31" s="20"/>
      <x:c r="I31" s="26"/>
      <x:c r="J31" s="20"/>
    </x:row>
    <x:row r="32">
      <x:c r="G32" s="20"/>
      <x:c r="H32" s="20"/>
      <x:c r="I32" s="26"/>
      <x:c r="J32" s="20"/>
    </x:row>
    <x:row r="33">
      <x:c r="G33" s="20"/>
      <x:c r="H33" s="20"/>
      <x:c r="I33" s="26"/>
      <x:c r="J33" s="20"/>
    </x:row>
    <x:row r="34">
      <x:c r="G34" s="20"/>
      <x:c r="H34" s="20"/>
      <x:c r="I34" s="26"/>
      <x:c r="J34" s="20"/>
    </x:row>
    <x:row r="35">
      <x:c r="G35" s="20"/>
      <x:c r="H35" s="20"/>
      <x:c r="I35" s="26"/>
      <x:c r="J35" s="20"/>
    </x:row>
    <x:row r="36">
      <x:c r="G36" s="20"/>
      <x:c r="H36" s="20"/>
      <x:c r="I36" s="26"/>
      <x:c r="J36" s="20"/>
    </x:row>
    <x:row r="37">
      <x:c r="G37" s="20"/>
      <x:c r="H37" s="20"/>
      <x:c r="I37" s="26"/>
      <x:c r="J37" s="20"/>
    </x:row>
    <x:row r="38">
      <x:c r="G38" s="20"/>
      <x:c r="H38" s="20"/>
      <x:c r="I38" s="26"/>
      <x:c r="J38" s="20"/>
    </x:row>
    <x:row r="39">
      <x:c r="G39" s="20"/>
      <x:c r="H39" s="20"/>
      <x:c r="I39" s="26"/>
      <x:c r="J39" s="20"/>
    </x:row>
    <x:row r="40">
      <x:c r="G40" s="20"/>
      <x:c r="H40" s="20"/>
      <x:c r="I40" s="26"/>
      <x:c r="J40" s="20"/>
    </x:row>
    <x:row r="41">
      <x:c r="G41" s="20"/>
      <x:c r="H41" s="20"/>
      <x:c r="I41" s="26"/>
      <x:c r="J41" s="20"/>
    </x:row>
    <x:row r="42">
      <x:c r="G42" s="20"/>
      <x:c r="H42" s="20"/>
      <x:c r="I42" s="26"/>
      <x:c r="J42" s="20"/>
    </x:row>
    <x:row r="43">
      <x:c r="G43" s="20"/>
      <x:c r="H43" s="20"/>
      <x:c r="I43" s="26"/>
      <x:c r="J43" s="20"/>
    </x:row>
    <x:row r="44">
      <x:c r="G44" s="20"/>
      <x:c r="H44" s="20"/>
      <x:c r="I44" s="26"/>
      <x:c r="J44" s="20"/>
    </x:row>
    <x:row r="45">
      <x:c r="G45" s="20"/>
      <x:c r="H45" s="20"/>
      <x:c r="I45" s="26"/>
      <x:c r="J45" s="20"/>
    </x:row>
    <x:row r="46">
      <x:c r="G46" s="20"/>
      <x:c r="H46" s="20"/>
      <x:c r="I46" s="26"/>
      <x:c r="J46" s="20"/>
    </x:row>
    <x:row r="47">
      <x:c r="G47" s="20"/>
      <x:c r="H47" s="20"/>
      <x:c r="I47" s="26"/>
      <x:c r="J47" s="20"/>
    </x:row>
    <x:row r="48">
      <x:c r="G48" s="20"/>
      <x:c r="H48" s="20"/>
      <x:c r="I48" s="26"/>
      <x:c r="J48" s="20"/>
    </x:row>
    <x:row r="49">
      <x:c r="G49" s="20"/>
      <x:c r="H49" s="20"/>
      <x:c r="I49" s="26"/>
      <x:c r="J49" s="20"/>
    </x:row>
    <x:row r="50">
      <x:c r="G50" s="20"/>
      <x:c r="H50" s="20"/>
      <x:c r="I50" s="26"/>
      <x:c r="J50" s="20"/>
    </x:row>
    <x:row r="51">
      <x:c r="G51" s="20"/>
      <x:c r="H51" s="20"/>
      <x:c r="I51" s="26"/>
      <x:c r="J51" s="20"/>
    </x:row>
    <x:row r="52">
      <x:c r="G52" s="20"/>
      <x:c r="H52" s="20"/>
      <x:c r="I52" s="26"/>
      <x:c r="J52" s="20"/>
    </x:row>
    <x:row r="53">
      <x:c r="G53" s="20"/>
      <x:c r="H53" s="20"/>
      <x:c r="I53" s="26"/>
      <x:c r="J53" s="20"/>
    </x:row>
    <x:row r="54">
      <x:c r="G54" s="20"/>
      <x:c r="H54" s="20"/>
      <x:c r="I54" s="26"/>
      <x:c r="J54" s="20"/>
    </x:row>
    <x:row r="55">
      <x:c r="G55" s="20"/>
      <x:c r="H55" s="20"/>
      <x:c r="I55" s="26"/>
      <x:c r="J55" s="20"/>
    </x:row>
    <x:row r="56">
      <x:c r="G56" s="20"/>
      <x:c r="H56" s="20"/>
      <x:c r="I56" s="26"/>
      <x:c r="J56" s="20"/>
    </x:row>
    <x:row r="57">
      <x:c r="G57" s="20"/>
      <x:c r="H57" s="20"/>
      <x:c r="I57" s="26"/>
      <x:c r="J57" s="20"/>
    </x:row>
    <x:row r="58">
      <x:c r="G58" s="20"/>
      <x:c r="H58" s="20"/>
      <x:c r="I58" s="26"/>
      <x:c r="J58" s="20"/>
    </x:row>
    <x:row r="59">
      <x:c r="G59" s="20"/>
      <x:c r="H59" s="20"/>
      <x:c r="I59" s="26"/>
      <x:c r="J59" s="20"/>
    </x:row>
    <x:row r="60">
      <x:c r="G60" s="20"/>
      <x:c r="H60" s="20"/>
      <x:c r="I60" s="26"/>
      <x:c r="J60" s="20"/>
    </x:row>
    <x:row r="61">
      <x:c r="G61" s="20"/>
      <x:c r="H61" s="20"/>
      <x:c r="I61" s="26"/>
      <x:c r="J61" s="20"/>
    </x:row>
    <x:row r="62">
      <x:c r="G62" s="20"/>
      <x:c r="H62" s="20"/>
      <x:c r="I62" s="26"/>
      <x:c r="J62" s="20"/>
    </x:row>
    <x:row r="63">
      <x:c r="G63" s="20"/>
      <x:c r="H63" s="20"/>
      <x:c r="I63" s="26"/>
      <x:c r="J63" s="20"/>
    </x:row>
    <x:row r="64">
      <x:c r="G64" s="20"/>
      <x:c r="H64" s="20"/>
      <x:c r="I64" s="26"/>
      <x:c r="J64" s="20"/>
    </x:row>
    <x:row r="65">
      <x:c r="G65" s="20"/>
      <x:c r="H65" s="20"/>
      <x:c r="I65" s="26"/>
      <x:c r="J65" s="20"/>
    </x:row>
    <x:row r="66">
      <x:c r="G66" s="20"/>
      <x:c r="H66" s="20"/>
      <x:c r="I66" s="26"/>
      <x:c r="J66" s="20"/>
    </x:row>
    <x:row r="67">
      <x:c r="G67" s="20"/>
      <x:c r="H67" s="20"/>
      <x:c r="I67" s="26"/>
      <x:c r="J67" s="20"/>
    </x:row>
    <x:row r="68">
      <x:c r="G68" s="20"/>
      <x:c r="H68" s="20"/>
      <x:c r="I68" s="26"/>
      <x:c r="J68" s="20"/>
    </x:row>
    <x:row r="69">
      <x:c r="G69" s="20"/>
      <x:c r="H69" s="20"/>
      <x:c r="I69" s="26"/>
      <x:c r="J69" s="20"/>
    </x:row>
    <x:row r="70">
      <x:c r="G70" s="20"/>
      <x:c r="H70" s="20"/>
      <x:c r="I70" s="26"/>
      <x:c r="J70" s="20"/>
    </x:row>
    <x:row r="71">
      <x:c r="G71" s="20"/>
      <x:c r="H71" s="20"/>
      <x:c r="I71" s="26"/>
      <x:c r="J71" s="20"/>
    </x:row>
    <x:row r="72">
      <x:c r="G72" s="20"/>
      <x:c r="H72" s="20"/>
      <x:c r="I72" s="26"/>
      <x:c r="J72" s="20"/>
    </x:row>
    <x:row r="73">
      <x:c r="G73" s="20"/>
      <x:c r="H73" s="20"/>
      <x:c r="I73" s="26"/>
      <x:c r="J73" s="20"/>
    </x:row>
    <x:row r="74">
      <x:c r="G74" s="20"/>
      <x:c r="H74" s="20"/>
      <x:c r="I74" s="26"/>
      <x:c r="J74" s="20"/>
    </x:row>
    <x:row r="75">
      <x:c r="G75" s="20"/>
      <x:c r="H75" s="20"/>
      <x:c r="I75" s="26"/>
      <x:c r="J75" s="20"/>
    </x:row>
    <x:row r="76">
      <x:c r="G76" s="20"/>
      <x:c r="H76" s="20"/>
      <x:c r="I76" s="26"/>
      <x:c r="J76" s="20"/>
    </x:row>
    <x:row r="77">
      <x:c r="G77" s="20"/>
      <x:c r="H77" s="20"/>
      <x:c r="I77" s="26"/>
      <x:c r="J77" s="20"/>
    </x:row>
    <x:row r="78">
      <x:c r="G78" s="20"/>
      <x:c r="H78" s="20"/>
      <x:c r="I78" s="26"/>
      <x:c r="J78" s="20"/>
    </x:row>
    <x:row r="79">
      <x:c r="G79" s="20"/>
      <x:c r="H79" s="20"/>
      <x:c r="I79" s="26"/>
      <x:c r="J79" s="20"/>
    </x:row>
    <x:row r="80">
      <x:c r="G80" s="20"/>
      <x:c r="H80" s="20"/>
      <x:c r="I80" s="26"/>
      <x:c r="J80" s="20"/>
    </x:row>
    <x:row r="81">
      <x:c r="G81" s="20"/>
      <x:c r="H81" s="20"/>
      <x:c r="I81" s="26"/>
      <x:c r="J81" s="20"/>
    </x:row>
    <x:row r="82">
      <x:c r="G82" s="20"/>
      <x:c r="H82" s="20"/>
      <x:c r="I82" s="26"/>
      <x:c r="J82" s="20"/>
    </x:row>
    <x:row r="83">
      <x:c r="G83" s="20"/>
      <x:c r="H83" s="20"/>
      <x:c r="I83" s="26"/>
      <x:c r="J83" s="20"/>
    </x:row>
    <x:row r="84">
      <x:c r="G84" s="20"/>
      <x:c r="H84" s="20"/>
      <x:c r="I84" s="26"/>
      <x:c r="J84" s="20"/>
    </x:row>
    <x:row r="85">
      <x:c r="G85" s="20"/>
      <x:c r="H85" s="20"/>
      <x:c r="I85" s="26"/>
      <x:c r="J85" s="20"/>
    </x:row>
    <x:row r="86">
      <x:c r="G86" s="20"/>
      <x:c r="H86" s="20"/>
      <x:c r="I86" s="26"/>
      <x:c r="J86" s="20"/>
    </x:row>
    <x:row r="87">
      <x:c r="G87" s="20"/>
      <x:c r="H87" s="20"/>
      <x:c r="I87" s="26"/>
      <x:c r="J87" s="20"/>
    </x:row>
    <x:row r="88">
      <x:c r="G88" s="20"/>
      <x:c r="H88" s="20"/>
      <x:c r="I88" s="26"/>
      <x:c r="J88" s="20"/>
    </x:row>
    <x:row r="89">
      <x:c r="G89" s="20"/>
      <x:c r="H89" s="20"/>
      <x:c r="I89" s="26"/>
      <x:c r="J89" s="20"/>
    </x:row>
    <x:row r="90">
      <x:c r="G90" s="20"/>
      <x:c r="H90" s="20"/>
      <x:c r="I90" s="26"/>
      <x:c r="J90" s="20"/>
    </x:row>
    <x:row r="91">
      <x:c r="G91" s="20"/>
      <x:c r="H91" s="20"/>
      <x:c r="I91" s="26"/>
      <x:c r="J91" s="20"/>
    </x:row>
    <x:row r="92">
      <x:c r="G92" s="20"/>
      <x:c r="H92" s="20"/>
      <x:c r="I92" s="26"/>
      <x:c r="J92" s="20"/>
    </x:row>
    <x:row r="93">
      <x:c r="G93" s="20"/>
      <x:c r="H93" s="20"/>
      <x:c r="I93" s="26"/>
      <x:c r="J93" s="20"/>
    </x:row>
    <x:row r="94">
      <x:c r="G94" s="20"/>
      <x:c r="H94" s="20"/>
      <x:c r="I94" s="26"/>
      <x:c r="J94" s="20"/>
    </x:row>
    <x:row r="95">
      <x:c r="G95" s="20"/>
      <x:c r="H95" s="20"/>
      <x:c r="I95" s="26"/>
      <x:c r="J95" s="20"/>
    </x:row>
    <x:row r="96">
      <x:c r="G96" s="20"/>
      <x:c r="H96" s="20"/>
      <x:c r="I96" s="26"/>
      <x:c r="J96" s="20"/>
    </x:row>
    <x:row r="97">
      <x:c r="G97" s="20"/>
      <x:c r="H97" s="20"/>
      <x:c r="I97" s="26"/>
      <x:c r="J97" s="20"/>
    </x:row>
    <x:row r="98">
      <x:c r="G98" s="20"/>
      <x:c r="H98" s="20"/>
      <x:c r="I98" s="26"/>
      <x:c r="J98" s="20"/>
    </x:row>
    <x:row r="99">
      <x:c r="G99" s="20"/>
      <x:c r="H99" s="20"/>
      <x:c r="I99" s="26"/>
      <x:c r="J99" s="20"/>
    </x:row>
    <x:row r="100">
      <x:c r="G100" s="20"/>
      <x:c r="H100" s="20"/>
      <x:c r="I100" s="26"/>
      <x:c r="J100" s="20"/>
    </x:row>
    <x:row r="101">
      <x:c r="G101" s="20"/>
      <x:c r="H101" s="20"/>
      <x:c r="I101" s="26"/>
      <x:c r="J101" s="20"/>
    </x:row>
    <x:row r="102">
      <x:c r="G102" s="20"/>
      <x:c r="H102" s="20"/>
      <x:c r="I102" s="26"/>
      <x:c r="J102" s="20"/>
    </x:row>
    <x:row r="103">
      <x:c r="G103" s="20"/>
      <x:c r="H103" s="20"/>
      <x:c r="I103" s="26"/>
      <x:c r="J103" s="20"/>
    </x:row>
    <x:row r="104">
      <x:c r="G104" s="20"/>
      <x:c r="H104" s="20"/>
      <x:c r="I104" s="26"/>
      <x:c r="J104" s="20"/>
    </x:row>
  </x:sheetData>
  <x:mergeCells>
    <x:mergeCell ref="A1:J1"/>
    <x:mergeCell ref="A2:J2"/>
  </x:mergeCells>
  <x:dataValidations count="1">
    <x:dataValidation type="list" sqref="H5:H104">
      <x:formula1>"Pendiente,En revisión,Resuelto,No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a5ac7614c64483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3" hidden="0" customWidth="1"/>
    <x:col min="5" max="5" width="21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1" hidden="0" customWidth="1"/>
    <x:col min="17" max="17" width="24" hidden="0" customWidth="1"/>
    <x:col min="18" max="18" width="48" hidden="0" customWidth="1"/>
    <x:col min="19" max="19" width="44" hidden="0" customWidth="1"/>
  </x:cols>
  <x:sheetData>
    <x:row r="1" ht="35" customHeight="1">
      <x:c r="A1" s="3" t="str">
        <x:v>CAPTURA ORIGINAL DE RESPUESTAS SUS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9" customHeight="1">
      <x:c r="A2" s="7" t="str">
        <x:v>Una fila por cuestionario REAL; Q1-Q10 enteros entre 1 y 5. No guardar nombres reales.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1" customHeight="1">
      <x:c r="A4" s="13" t="str">
        <x:v>Código anónimo</x:v>
      </x:c>
      <x:c r="B4" s="13" t="str">
        <x:v>Rol</x:v>
      </x:c>
      <x:c r="C4" s="13" t="str">
        <x:v>Elegible confirmado</x:v>
      </x:c>
      <x:c r="D4" s="13" t="str">
        <x:v>Sesión realizada</x:v>
      </x:c>
      <x:c r="E4" s="13" t="str">
        <x:v>Consentimiento</x:v>
      </x:c>
      <x:c r="F4" s="13" t="str">
        <x:v>Q1</x:v>
      </x:c>
      <x:c r="G4" s="13" t="str">
        <x:v>Q2</x:v>
      </x:c>
      <x:c r="H4" s="13" t="str">
        <x:v>Q3</x:v>
      </x:c>
      <x:c r="I4" s="13" t="str">
        <x:v>Q4</x:v>
      </x:c>
      <x:c r="J4" s="13" t="str">
        <x:v>Q5</x:v>
      </x:c>
      <x:c r="K4" s="13" t="str">
        <x:v>Q6</x:v>
      </x:c>
      <x:c r="L4" s="13" t="str">
        <x:v>Q7</x:v>
      </x:c>
      <x:c r="M4" s="13" t="str">
        <x:v>Q8</x:v>
      </x:c>
      <x:c r="N4" s="13" t="str">
        <x:v>Q9</x:v>
      </x:c>
      <x:c r="O4" s="13" t="str">
        <x:v>Q10</x:v>
      </x:c>
      <x:c r="P4" s="13" t="str">
        <x:v>Estado validez</x:v>
      </x:c>
      <x:c r="Q4" s="13" t="str">
        <x:v>SUS (0-100)</x:v>
      </x:c>
      <x:c r="R4" s="13" t="str">
        <x:v>Evidencia</x:v>
      </x:c>
      <x:c r="S4" s="13" t="str">
        <x:v>Observaciones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2" t="str">
        <x:f>IF(COUNTA(A5:O5)+COUNTA(R5:S5)=0,"",IF(AND(COUNT(F5:O5)&gt;0,OR(COUNTIF(F5:O5,"&gt;5")&gt;0,COUNTIF(F5:O5,"&lt;1")&gt;0)),"REVISAR",IF(AND(A5&lt;&gt;"",COUNTIF($A$5:$A$204,A5)&gt;1),"REVISAR",IF(AND(A5&lt;&gt;"",C5="Sí",D5="Sí",E5="Sí",COUNT(F5:O5)=10,MIN(F5:O5)&gt;=1,MAX(F5:O5)&lt;=5,R5&lt;&gt;""),"VÁLIDO","INCOMPLETO"))))</x:f>
      </x:c>
      <x:c r="Q5" s="32" t="str">
        <x:f>IF(P5&lt;&gt;"VÁLIDO","",(SUM(F5,H5,J5,L5,N5)-5+25-SUM(G5,I5,K5,M5,O5))*2.5)</x:f>
      </x:c>
      <x:c r="R5" s="20"/>
      <x:c r="S5" s="20"/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2" t="str">
        <x:f>IF(COUNTA(A6:O6)+COUNTA(R6:S6)=0,"",IF(AND(COUNT(F6:O6)&gt;0,OR(COUNTIF(F6:O6,"&gt;5")&gt;0,COUNTIF(F6:O6,"&lt;1")&gt;0)),"REVISAR",IF(AND(A6&lt;&gt;"",COUNTIF($A$5:$A$204,A6)&gt;1),"REVISAR",IF(AND(A6&lt;&gt;"",C6="Sí",D6="Sí",E6="Sí",COUNT(F6:O6)=10,MIN(F6:O6)&gt;=1,MAX(F6:O6)&lt;=5,R6&lt;&gt;""),"VÁLIDO","INCOMPLETO"))))</x:f>
      </x:c>
      <x:c r="Q6" s="32" t="str">
        <x:f>IF(P6&lt;&gt;"VÁLIDO","",(SUM(F6,H6,J6,L6,N6)-5+25-SUM(G6,I6,K6,M6,O6))*2.5)</x:f>
      </x:c>
      <x:c r="R6" s="20"/>
      <x:c r="S6" s="20"/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2" t="str">
        <x:f>IF(COUNTA(A7:O7)+COUNTA(R7:S7)=0,"",IF(AND(COUNT(F7:O7)&gt;0,OR(COUNTIF(F7:O7,"&gt;5")&gt;0,COUNTIF(F7:O7,"&lt;1")&gt;0)),"REVISAR",IF(AND(A7&lt;&gt;"",COUNTIF($A$5:$A$204,A7)&gt;1),"REVISAR",IF(AND(A7&lt;&gt;"",C7="Sí",D7="Sí",E7="Sí",COUNT(F7:O7)=10,MIN(F7:O7)&gt;=1,MAX(F7:O7)&lt;=5,R7&lt;&gt;""),"VÁLIDO","INCOMPLETO"))))</x:f>
      </x:c>
      <x:c r="Q7" s="32" t="str">
        <x:f>IF(P7&lt;&gt;"VÁLIDO","",(SUM(F7,H7,J7,L7,N7)-5+25-SUM(G7,I7,K7,M7,O7))*2.5)</x:f>
      </x:c>
      <x:c r="R7" s="20"/>
      <x:c r="S7" s="20"/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2" t="str">
        <x:f>IF(COUNTA(A8:O8)+COUNTA(R8:S8)=0,"",IF(AND(COUNT(F8:O8)&gt;0,OR(COUNTIF(F8:O8,"&gt;5")&gt;0,COUNTIF(F8:O8,"&lt;1")&gt;0)),"REVISAR",IF(AND(A8&lt;&gt;"",COUNTIF($A$5:$A$204,A8)&gt;1),"REVISAR",IF(AND(A8&lt;&gt;"",C8="Sí",D8="Sí",E8="Sí",COUNT(F8:O8)=10,MIN(F8:O8)&gt;=1,MAX(F8:O8)&lt;=5,R8&lt;&gt;""),"VÁLIDO","INCOMPLETO"))))</x:f>
      </x:c>
      <x:c r="Q8" s="32" t="str">
        <x:f>IF(P8&lt;&gt;"VÁLIDO","",(SUM(F8,H8,J8,L8,N8)-5+25-SUM(G8,I8,K8,M8,O8))*2.5)</x:f>
      </x:c>
      <x:c r="R8" s="20"/>
      <x:c r="S8" s="20"/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2" t="str">
        <x:f>IF(COUNTA(A9:O9)+COUNTA(R9:S9)=0,"",IF(AND(COUNT(F9:O9)&gt;0,OR(COUNTIF(F9:O9,"&gt;5")&gt;0,COUNTIF(F9:O9,"&lt;1")&gt;0)),"REVISAR",IF(AND(A9&lt;&gt;"",COUNTIF($A$5:$A$204,A9)&gt;1),"REVISAR",IF(AND(A9&lt;&gt;"",C9="Sí",D9="Sí",E9="Sí",COUNT(F9:O9)=10,MIN(F9:O9)&gt;=1,MAX(F9:O9)&lt;=5,R9&lt;&gt;""),"VÁLIDO","INCOMPLETO"))))</x:f>
      </x:c>
      <x:c r="Q9" s="32" t="str">
        <x:f>IF(P9&lt;&gt;"VÁLIDO","",(SUM(F9,H9,J9,L9,N9)-5+25-SUM(G9,I9,K9,M9,O9))*2.5)</x:f>
      </x:c>
      <x:c r="R9" s="20"/>
      <x:c r="S9" s="20"/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2" t="str">
        <x:f>IF(COUNTA(A10:O10)+COUNTA(R10:S10)=0,"",IF(AND(COUNT(F10:O10)&gt;0,OR(COUNTIF(F10:O10,"&gt;5")&gt;0,COUNTIF(F10:O10,"&lt;1")&gt;0)),"REVISAR",IF(AND(A10&lt;&gt;"",COUNTIF($A$5:$A$204,A10)&gt;1),"REVISAR",IF(AND(A10&lt;&gt;"",C10="Sí",D10="Sí",E10="Sí",COUNT(F10:O10)=10,MIN(F10:O10)&gt;=1,MAX(F10:O10)&lt;=5,R10&lt;&gt;""),"VÁLIDO","INCOMPLETO"))))</x:f>
      </x:c>
      <x:c r="Q10" s="32" t="str">
        <x:f>IF(P10&lt;&gt;"VÁLIDO","",(SUM(F10,H10,J10,L10,N10)-5+25-SUM(G10,I10,K10,M10,O10))*2.5)</x:f>
      </x:c>
      <x:c r="R10" s="20"/>
      <x:c r="S10" s="20"/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2" t="str">
        <x:f>IF(COUNTA(A11:O11)+COUNTA(R11:S11)=0,"",IF(AND(COUNT(F11:O11)&gt;0,OR(COUNTIF(F11:O11,"&gt;5")&gt;0,COUNTIF(F11:O11,"&lt;1")&gt;0)),"REVISAR",IF(AND(A11&lt;&gt;"",COUNTIF($A$5:$A$204,A11)&gt;1),"REVISAR",IF(AND(A11&lt;&gt;"",C11="Sí",D11="Sí",E11="Sí",COUNT(F11:O11)=10,MIN(F11:O11)&gt;=1,MAX(F11:O11)&lt;=5,R11&lt;&gt;""),"VÁLIDO","INCOMPLETO"))))</x:f>
      </x:c>
      <x:c r="Q11" s="32" t="str">
        <x:f>IF(P11&lt;&gt;"VÁLIDO","",(SUM(F11,H11,J11,L11,N11)-5+25-SUM(G11,I11,K11,M11,O11))*2.5)</x:f>
      </x:c>
      <x:c r="R11" s="20"/>
      <x:c r="S11" s="20"/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2" t="str">
        <x:f>IF(COUNTA(A12:O12)+COUNTA(R12:S12)=0,"",IF(AND(COUNT(F12:O12)&gt;0,OR(COUNTIF(F12:O12,"&gt;5")&gt;0,COUNTIF(F12:O12,"&lt;1")&gt;0)),"REVISAR",IF(AND(A12&lt;&gt;"",COUNTIF($A$5:$A$204,A12)&gt;1),"REVISAR",IF(AND(A12&lt;&gt;"",C12="Sí",D12="Sí",E12="Sí",COUNT(F12:O12)=10,MIN(F12:O12)&gt;=1,MAX(F12:O12)&lt;=5,R12&lt;&gt;""),"VÁLIDO","INCOMPLETO"))))</x:f>
      </x:c>
      <x:c r="Q12" s="32" t="str">
        <x:f>IF(P12&lt;&gt;"VÁLIDO","",(SUM(F12,H12,J12,L12,N12)-5+25-SUM(G12,I12,K12,M12,O12))*2.5)</x:f>
      </x:c>
      <x:c r="R12" s="20"/>
      <x:c r="S12" s="20"/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2" t="str">
        <x:f>IF(COUNTA(A13:O13)+COUNTA(R13:S13)=0,"",IF(AND(COUNT(F13:O13)&gt;0,OR(COUNTIF(F13:O13,"&gt;5")&gt;0,COUNTIF(F13:O13,"&lt;1")&gt;0)),"REVISAR",IF(AND(A13&lt;&gt;"",COUNTIF($A$5:$A$204,A13)&gt;1),"REVISAR",IF(AND(A13&lt;&gt;"",C13="Sí",D13="Sí",E13="Sí",COUNT(F13:O13)=10,MIN(F13:O13)&gt;=1,MAX(F13:O13)&lt;=5,R13&lt;&gt;""),"VÁLIDO","INCOMPLETO"))))</x:f>
      </x:c>
      <x:c r="Q13" s="32" t="str">
        <x:f>IF(P13&lt;&gt;"VÁLIDO","",(SUM(F13,H13,J13,L13,N13)-5+25-SUM(G13,I13,K13,M13,O13))*2.5)</x:f>
      </x:c>
      <x:c r="R13" s="20"/>
      <x:c r="S13" s="20"/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2" t="str">
        <x:f>IF(COUNTA(A14:O14)+COUNTA(R14:S14)=0,"",IF(AND(COUNT(F14:O14)&gt;0,OR(COUNTIF(F14:O14,"&gt;5")&gt;0,COUNTIF(F14:O14,"&lt;1")&gt;0)),"REVISAR",IF(AND(A14&lt;&gt;"",COUNTIF($A$5:$A$204,A14)&gt;1),"REVISAR",IF(AND(A14&lt;&gt;"",C14="Sí",D14="Sí",E14="Sí",COUNT(F14:O14)=10,MIN(F14:O14)&gt;=1,MAX(F14:O14)&lt;=5,R14&lt;&gt;""),"VÁLIDO","INCOMPLETO"))))</x:f>
      </x:c>
      <x:c r="Q14" s="32" t="str">
        <x:f>IF(P14&lt;&gt;"VÁLIDO","",(SUM(F14,H14,J14,L14,N14)-5+25-SUM(G14,I14,K14,M14,O14))*2.5)</x:f>
      </x:c>
      <x:c r="R14" s="20"/>
      <x:c r="S14" s="20"/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2" t="str">
        <x:f>IF(COUNTA(A15:O15)+COUNTA(R15:S15)=0,"",IF(AND(COUNT(F15:O15)&gt;0,OR(COUNTIF(F15:O15,"&gt;5")&gt;0,COUNTIF(F15:O15,"&lt;1")&gt;0)),"REVISAR",IF(AND(A15&lt;&gt;"",COUNTIF($A$5:$A$204,A15)&gt;1),"REVISAR",IF(AND(A15&lt;&gt;"",C15="Sí",D15="Sí",E15="Sí",COUNT(F15:O15)=10,MIN(F15:O15)&gt;=1,MAX(F15:O15)&lt;=5,R15&lt;&gt;""),"VÁLIDO","INCOMPLETO"))))</x:f>
      </x:c>
      <x:c r="Q15" s="32" t="str">
        <x:f>IF(P15&lt;&gt;"VÁLIDO","",(SUM(F15,H15,J15,L15,N15)-5+25-SUM(G15,I15,K15,M15,O15))*2.5)</x:f>
      </x:c>
      <x:c r="R15" s="20"/>
      <x:c r="S15" s="20"/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2" t="str">
        <x:f>IF(COUNTA(A16:O16)+COUNTA(R16:S16)=0,"",IF(AND(COUNT(F16:O16)&gt;0,OR(COUNTIF(F16:O16,"&gt;5")&gt;0,COUNTIF(F16:O16,"&lt;1")&gt;0)),"REVISAR",IF(AND(A16&lt;&gt;"",COUNTIF($A$5:$A$204,A16)&gt;1),"REVISAR",IF(AND(A16&lt;&gt;"",C16="Sí",D16="Sí",E16="Sí",COUNT(F16:O16)=10,MIN(F16:O16)&gt;=1,MAX(F16:O16)&lt;=5,R16&lt;&gt;""),"VÁLIDO","INCOMPLETO"))))</x:f>
      </x:c>
      <x:c r="Q16" s="32" t="str">
        <x:f>IF(P16&lt;&gt;"VÁLIDO","",(SUM(F16,H16,J16,L16,N16)-5+25-SUM(G16,I16,K16,M16,O16))*2.5)</x:f>
      </x:c>
      <x:c r="R16" s="20"/>
      <x:c r="S16" s="20"/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2" t="str">
        <x:f>IF(COUNTA(A17:O17)+COUNTA(R17:S17)=0,"",IF(AND(COUNT(F17:O17)&gt;0,OR(COUNTIF(F17:O17,"&gt;5")&gt;0,COUNTIF(F17:O17,"&lt;1")&gt;0)),"REVISAR",IF(AND(A17&lt;&gt;"",COUNTIF($A$5:$A$204,A17)&gt;1),"REVISAR",IF(AND(A17&lt;&gt;"",C17="Sí",D17="Sí",E17="Sí",COUNT(F17:O17)=10,MIN(F17:O17)&gt;=1,MAX(F17:O17)&lt;=5,R17&lt;&gt;""),"VÁLIDO","INCOMPLETO"))))</x:f>
      </x:c>
      <x:c r="Q17" s="32" t="str">
        <x:f>IF(P17&lt;&gt;"VÁLIDO","",(SUM(F17,H17,J17,L17,N17)-5+25-SUM(G17,I17,K17,M17,O17))*2.5)</x:f>
      </x:c>
      <x:c r="R17" s="20"/>
      <x:c r="S17" s="20"/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2" t="str">
        <x:f>IF(COUNTA(A18:O18)+COUNTA(R18:S18)=0,"",IF(AND(COUNT(F18:O18)&gt;0,OR(COUNTIF(F18:O18,"&gt;5")&gt;0,COUNTIF(F18:O18,"&lt;1")&gt;0)),"REVISAR",IF(AND(A18&lt;&gt;"",COUNTIF($A$5:$A$204,A18)&gt;1),"REVISAR",IF(AND(A18&lt;&gt;"",C18="Sí",D18="Sí",E18="Sí",COUNT(F18:O18)=10,MIN(F18:O18)&gt;=1,MAX(F18:O18)&lt;=5,R18&lt;&gt;""),"VÁLIDO","INCOMPLETO"))))</x:f>
      </x:c>
      <x:c r="Q18" s="32" t="str">
        <x:f>IF(P18&lt;&gt;"VÁLIDO","",(SUM(F18,H18,J18,L18,N18)-5+25-SUM(G18,I18,K18,M18,O18))*2.5)</x:f>
      </x:c>
      <x:c r="R18" s="20"/>
      <x:c r="S18" s="20"/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2" t="str">
        <x:f>IF(COUNTA(A19:O19)+COUNTA(R19:S19)=0,"",IF(AND(COUNT(F19:O19)&gt;0,OR(COUNTIF(F19:O19,"&gt;5")&gt;0,COUNTIF(F19:O19,"&lt;1")&gt;0)),"REVISAR",IF(AND(A19&lt;&gt;"",COUNTIF($A$5:$A$204,A19)&gt;1),"REVISAR",IF(AND(A19&lt;&gt;"",C19="Sí",D19="Sí",E19="Sí",COUNT(F19:O19)=10,MIN(F19:O19)&gt;=1,MAX(F19:O19)&lt;=5,R19&lt;&gt;""),"VÁLIDO","INCOMPLETO"))))</x:f>
      </x:c>
      <x:c r="Q19" s="32" t="str">
        <x:f>IF(P19&lt;&gt;"VÁLIDO","",(SUM(F19,H19,J19,L19,N19)-5+25-SUM(G19,I19,K19,M19,O19))*2.5)</x:f>
      </x:c>
      <x:c r="R19" s="20"/>
      <x:c r="S19" s="20"/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2" t="str">
        <x:f>IF(COUNTA(A20:O20)+COUNTA(R20:S20)=0,"",IF(AND(COUNT(F20:O20)&gt;0,OR(COUNTIF(F20:O20,"&gt;5")&gt;0,COUNTIF(F20:O20,"&lt;1")&gt;0)),"REVISAR",IF(AND(A20&lt;&gt;"",COUNTIF($A$5:$A$204,A20)&gt;1),"REVISAR",IF(AND(A20&lt;&gt;"",C20="Sí",D20="Sí",E20="Sí",COUNT(F20:O20)=10,MIN(F20:O20)&gt;=1,MAX(F20:O20)&lt;=5,R20&lt;&gt;""),"VÁLIDO","INCOMPLETO"))))</x:f>
      </x:c>
      <x:c r="Q20" s="32" t="str">
        <x:f>IF(P20&lt;&gt;"VÁLIDO","",(SUM(F20,H20,J20,L20,N20)-5+25-SUM(G20,I20,K20,M20,O20))*2.5)</x:f>
      </x:c>
      <x:c r="R20" s="20"/>
      <x:c r="S20" s="20"/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2" t="str">
        <x:f>IF(COUNTA(A21:O21)+COUNTA(R21:S21)=0,"",IF(AND(COUNT(F21:O21)&gt;0,OR(COUNTIF(F21:O21,"&gt;5")&gt;0,COUNTIF(F21:O21,"&lt;1")&gt;0)),"REVISAR",IF(AND(A21&lt;&gt;"",COUNTIF($A$5:$A$204,A21)&gt;1),"REVISAR",IF(AND(A21&lt;&gt;"",C21="Sí",D21="Sí",E21="Sí",COUNT(F21:O21)=10,MIN(F21:O21)&gt;=1,MAX(F21:O21)&lt;=5,R21&lt;&gt;""),"VÁLIDO","INCOMPLETO"))))</x:f>
      </x:c>
      <x:c r="Q21" s="32" t="str">
        <x:f>IF(P21&lt;&gt;"VÁLIDO","",(SUM(F21,H21,J21,L21,N21)-5+25-SUM(G21,I21,K21,M21,O21))*2.5)</x:f>
      </x:c>
      <x:c r="R21" s="20"/>
      <x:c r="S21" s="20"/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2" t="str">
        <x:f>IF(COUNTA(A22:O22)+COUNTA(R22:S22)=0,"",IF(AND(COUNT(F22:O22)&gt;0,OR(COUNTIF(F22:O22,"&gt;5")&gt;0,COUNTIF(F22:O22,"&lt;1")&gt;0)),"REVISAR",IF(AND(A22&lt;&gt;"",COUNTIF($A$5:$A$204,A22)&gt;1),"REVISAR",IF(AND(A22&lt;&gt;"",C22="Sí",D22="Sí",E22="Sí",COUNT(F22:O22)=10,MIN(F22:O22)&gt;=1,MAX(F22:O22)&lt;=5,R22&lt;&gt;""),"VÁLIDO","INCOMPLETO"))))</x:f>
      </x:c>
      <x:c r="Q22" s="32" t="str">
        <x:f>IF(P22&lt;&gt;"VÁLIDO","",(SUM(F22,H22,J22,L22,N22)-5+25-SUM(G22,I22,K22,M22,O22))*2.5)</x:f>
      </x:c>
      <x:c r="R22" s="20"/>
      <x:c r="S22" s="20"/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2" t="str">
        <x:f>IF(COUNTA(A23:O23)+COUNTA(R23:S23)=0,"",IF(AND(COUNT(F23:O23)&gt;0,OR(COUNTIF(F23:O23,"&gt;5")&gt;0,COUNTIF(F23:O23,"&lt;1")&gt;0)),"REVISAR",IF(AND(A23&lt;&gt;"",COUNTIF($A$5:$A$204,A23)&gt;1),"REVISAR",IF(AND(A23&lt;&gt;"",C23="Sí",D23="Sí",E23="Sí",COUNT(F23:O23)=10,MIN(F23:O23)&gt;=1,MAX(F23:O23)&lt;=5,R23&lt;&gt;""),"VÁLIDO","INCOMPLETO"))))</x:f>
      </x:c>
      <x:c r="Q23" s="32" t="str">
        <x:f>IF(P23&lt;&gt;"VÁLIDO","",(SUM(F23,H23,J23,L23,N23)-5+25-SUM(G23,I23,K23,M23,O23))*2.5)</x:f>
      </x:c>
      <x:c r="R23" s="20"/>
      <x:c r="S23" s="20"/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2" t="str">
        <x:f>IF(COUNTA(A24:O24)+COUNTA(R24:S24)=0,"",IF(AND(COUNT(F24:O24)&gt;0,OR(COUNTIF(F24:O24,"&gt;5")&gt;0,COUNTIF(F24:O24,"&lt;1")&gt;0)),"REVISAR",IF(AND(A24&lt;&gt;"",COUNTIF($A$5:$A$204,A24)&gt;1),"REVISAR",IF(AND(A24&lt;&gt;"",C24="Sí",D24="Sí",E24="Sí",COUNT(F24:O24)=10,MIN(F24:O24)&gt;=1,MAX(F24:O24)&lt;=5,R24&lt;&gt;""),"VÁLIDO","INCOMPLETO"))))</x:f>
      </x:c>
      <x:c r="Q24" s="32" t="str">
        <x:f>IF(P24&lt;&gt;"VÁLIDO","",(SUM(F24,H24,J24,L24,N24)-5+25-SUM(G24,I24,K24,M24,O24))*2.5)</x:f>
      </x:c>
      <x:c r="R24" s="20"/>
      <x:c r="S24" s="20"/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2" t="str">
        <x:f>IF(COUNTA(A25:O25)+COUNTA(R25:S25)=0,"",IF(AND(COUNT(F25:O25)&gt;0,OR(COUNTIF(F25:O25,"&gt;5")&gt;0,COUNTIF(F25:O25,"&lt;1")&gt;0)),"REVISAR",IF(AND(A25&lt;&gt;"",COUNTIF($A$5:$A$204,A25)&gt;1),"REVISAR",IF(AND(A25&lt;&gt;"",C25="Sí",D25="Sí",E25="Sí",COUNT(F25:O25)=10,MIN(F25:O25)&gt;=1,MAX(F25:O25)&lt;=5,R25&lt;&gt;""),"VÁLIDO","INCOMPLETO"))))</x:f>
      </x:c>
      <x:c r="Q25" s="32" t="str">
        <x:f>IF(P25&lt;&gt;"VÁLIDO","",(SUM(F25,H25,J25,L25,N25)-5+25-SUM(G25,I25,K25,M25,O25))*2.5)</x:f>
      </x:c>
      <x:c r="R25" s="20"/>
      <x:c r="S25" s="20"/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2" t="str">
        <x:f>IF(COUNTA(A26:O26)+COUNTA(R26:S26)=0,"",IF(AND(COUNT(F26:O26)&gt;0,OR(COUNTIF(F26:O26,"&gt;5")&gt;0,COUNTIF(F26:O26,"&lt;1")&gt;0)),"REVISAR",IF(AND(A26&lt;&gt;"",COUNTIF($A$5:$A$204,A26)&gt;1),"REVISAR",IF(AND(A26&lt;&gt;"",C26="Sí",D26="Sí",E26="Sí",COUNT(F26:O26)=10,MIN(F26:O26)&gt;=1,MAX(F26:O26)&lt;=5,R26&lt;&gt;""),"VÁLIDO","INCOMPLETO"))))</x:f>
      </x:c>
      <x:c r="Q26" s="32" t="str">
        <x:f>IF(P26&lt;&gt;"VÁLIDO","",(SUM(F26,H26,J26,L26,N26)-5+25-SUM(G26,I26,K26,M26,O26))*2.5)</x:f>
      </x:c>
      <x:c r="R26" s="20"/>
      <x:c r="S26" s="20"/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2" t="str">
        <x:f>IF(COUNTA(A27:O27)+COUNTA(R27:S27)=0,"",IF(AND(COUNT(F27:O27)&gt;0,OR(COUNTIF(F27:O27,"&gt;5")&gt;0,COUNTIF(F27:O27,"&lt;1")&gt;0)),"REVISAR",IF(AND(A27&lt;&gt;"",COUNTIF($A$5:$A$204,A27)&gt;1),"REVISAR",IF(AND(A27&lt;&gt;"",C27="Sí",D27="Sí",E27="Sí",COUNT(F27:O27)=10,MIN(F27:O27)&gt;=1,MAX(F27:O27)&lt;=5,R27&lt;&gt;""),"VÁLIDO","INCOMPLETO"))))</x:f>
      </x:c>
      <x:c r="Q27" s="32" t="str">
        <x:f>IF(P27&lt;&gt;"VÁLIDO","",(SUM(F27,H27,J27,L27,N27)-5+25-SUM(G27,I27,K27,M27,O27))*2.5)</x:f>
      </x:c>
      <x:c r="R27" s="20"/>
      <x:c r="S27" s="20"/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2" t="str">
        <x:f>IF(COUNTA(A28:O28)+COUNTA(R28:S28)=0,"",IF(AND(COUNT(F28:O28)&gt;0,OR(COUNTIF(F28:O28,"&gt;5")&gt;0,COUNTIF(F28:O28,"&lt;1")&gt;0)),"REVISAR",IF(AND(A28&lt;&gt;"",COUNTIF($A$5:$A$204,A28)&gt;1),"REVISAR",IF(AND(A28&lt;&gt;"",C28="Sí",D28="Sí",E28="Sí",COUNT(F28:O28)=10,MIN(F28:O28)&gt;=1,MAX(F28:O28)&lt;=5,R28&lt;&gt;""),"VÁLIDO","INCOMPLETO"))))</x:f>
      </x:c>
      <x:c r="Q28" s="32" t="str">
        <x:f>IF(P28&lt;&gt;"VÁLIDO","",(SUM(F28,H28,J28,L28,N28)-5+25-SUM(G28,I28,K28,M28,O28))*2.5)</x:f>
      </x:c>
      <x:c r="R28" s="20"/>
      <x:c r="S28" s="20"/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2" t="str">
        <x:f>IF(COUNTA(A29:O29)+COUNTA(R29:S29)=0,"",IF(AND(COUNT(F29:O29)&gt;0,OR(COUNTIF(F29:O29,"&gt;5")&gt;0,COUNTIF(F29:O29,"&lt;1")&gt;0)),"REVISAR",IF(AND(A29&lt;&gt;"",COUNTIF($A$5:$A$204,A29)&gt;1),"REVISAR",IF(AND(A29&lt;&gt;"",C29="Sí",D29="Sí",E29="Sí",COUNT(F29:O29)=10,MIN(F29:O29)&gt;=1,MAX(F29:O29)&lt;=5,R29&lt;&gt;""),"VÁLIDO","INCOMPLETO"))))</x:f>
      </x:c>
      <x:c r="Q29" s="32" t="str">
        <x:f>IF(P29&lt;&gt;"VÁLIDO","",(SUM(F29,H29,J29,L29,N29)-5+25-SUM(G29,I29,K29,M29,O29))*2.5)</x:f>
      </x:c>
      <x:c r="R29" s="20"/>
      <x:c r="S29" s="20"/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2" t="str">
        <x:f>IF(COUNTA(A30:O30)+COUNTA(R30:S30)=0,"",IF(AND(COUNT(F30:O30)&gt;0,OR(COUNTIF(F30:O30,"&gt;5")&gt;0,COUNTIF(F30:O30,"&lt;1")&gt;0)),"REVISAR",IF(AND(A30&lt;&gt;"",COUNTIF($A$5:$A$204,A30)&gt;1),"REVISAR",IF(AND(A30&lt;&gt;"",C30="Sí",D30="Sí",E30="Sí",COUNT(F30:O30)=10,MIN(F30:O30)&gt;=1,MAX(F30:O30)&lt;=5,R30&lt;&gt;""),"VÁLIDO","INCOMPLETO"))))</x:f>
      </x:c>
      <x:c r="Q30" s="32" t="str">
        <x:f>IF(P30&lt;&gt;"VÁLIDO","",(SUM(F30,H30,J30,L30,N30)-5+25-SUM(G30,I30,K30,M30,O30))*2.5)</x:f>
      </x:c>
      <x:c r="R30" s="20"/>
      <x:c r="S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2" t="str">
        <x:f>IF(COUNTA(A31:O31)+COUNTA(R31:S31)=0,"",IF(AND(COUNT(F31:O31)&gt;0,OR(COUNTIF(F31:O31,"&gt;5")&gt;0,COUNTIF(F31:O31,"&lt;1")&gt;0)),"REVISAR",IF(AND(A31&lt;&gt;"",COUNTIF($A$5:$A$204,A31)&gt;1),"REVISAR",IF(AND(A31&lt;&gt;"",C31="Sí",D31="Sí",E31="Sí",COUNT(F31:O31)=10,MIN(F31:O31)&gt;=1,MAX(F31:O31)&lt;=5,R31&lt;&gt;""),"VÁLIDO","INCOMPLETO"))))</x:f>
      </x:c>
      <x:c r="Q31" s="32" t="str">
        <x:f>IF(P31&lt;&gt;"VÁLIDO","",(SUM(F31,H31,J31,L31,N31)-5+25-SUM(G31,I31,K31,M31,O31))*2.5)</x:f>
      </x:c>
      <x:c r="R31" s="20"/>
      <x:c r="S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2" t="str">
        <x:f>IF(COUNTA(A32:O32)+COUNTA(R32:S32)=0,"",IF(AND(COUNT(F32:O32)&gt;0,OR(COUNTIF(F32:O32,"&gt;5")&gt;0,COUNTIF(F32:O32,"&lt;1")&gt;0)),"REVISAR",IF(AND(A32&lt;&gt;"",COUNTIF($A$5:$A$204,A32)&gt;1),"REVISAR",IF(AND(A32&lt;&gt;"",C32="Sí",D32="Sí",E32="Sí",COUNT(F32:O32)=10,MIN(F32:O32)&gt;=1,MAX(F32:O32)&lt;=5,R32&lt;&gt;""),"VÁLIDO","INCOMPLETO"))))</x:f>
      </x:c>
      <x:c r="Q32" s="32" t="str">
        <x:f>IF(P32&lt;&gt;"VÁLIDO","",(SUM(F32,H32,J32,L32,N32)-5+25-SUM(G32,I32,K32,M32,O32))*2.5)</x:f>
      </x:c>
      <x:c r="R32" s="20"/>
      <x:c r="S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2" t="str">
        <x:f>IF(COUNTA(A33:O33)+COUNTA(R33:S33)=0,"",IF(AND(COUNT(F33:O33)&gt;0,OR(COUNTIF(F33:O33,"&gt;5")&gt;0,COUNTIF(F33:O33,"&lt;1")&gt;0)),"REVISAR",IF(AND(A33&lt;&gt;"",COUNTIF($A$5:$A$204,A33)&gt;1),"REVISAR",IF(AND(A33&lt;&gt;"",C33="Sí",D33="Sí",E33="Sí",COUNT(F33:O33)=10,MIN(F33:O33)&gt;=1,MAX(F33:O33)&lt;=5,R33&lt;&gt;""),"VÁLIDO","INCOMPLETO"))))</x:f>
      </x:c>
      <x:c r="Q33" s="32" t="str">
        <x:f>IF(P33&lt;&gt;"VÁLIDO","",(SUM(F33,H33,J33,L33,N33)-5+25-SUM(G33,I33,K33,M33,O33))*2.5)</x:f>
      </x:c>
      <x:c r="R33" s="20"/>
      <x:c r="S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2" t="str">
        <x:f>IF(COUNTA(A34:O34)+COUNTA(R34:S34)=0,"",IF(AND(COUNT(F34:O34)&gt;0,OR(COUNTIF(F34:O34,"&gt;5")&gt;0,COUNTIF(F34:O34,"&lt;1")&gt;0)),"REVISAR",IF(AND(A34&lt;&gt;"",COUNTIF($A$5:$A$204,A34)&gt;1),"REVISAR",IF(AND(A34&lt;&gt;"",C34="Sí",D34="Sí",E34="Sí",COUNT(F34:O34)=10,MIN(F34:O34)&gt;=1,MAX(F34:O34)&lt;=5,R34&lt;&gt;""),"VÁLIDO","INCOMPLETO"))))</x:f>
      </x:c>
      <x:c r="Q34" s="32" t="str">
        <x:f>IF(P34&lt;&gt;"VÁLIDO","",(SUM(F34,H34,J34,L34,N34)-5+25-SUM(G34,I34,K34,M34,O34))*2.5)</x:f>
      </x:c>
      <x:c r="R34" s="20"/>
      <x:c r="S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2" t="str">
        <x:f>IF(COUNTA(A35:O35)+COUNTA(R35:S35)=0,"",IF(AND(COUNT(F35:O35)&gt;0,OR(COUNTIF(F35:O35,"&gt;5")&gt;0,COUNTIF(F35:O35,"&lt;1")&gt;0)),"REVISAR",IF(AND(A35&lt;&gt;"",COUNTIF($A$5:$A$204,A35)&gt;1),"REVISAR",IF(AND(A35&lt;&gt;"",C35="Sí",D35="Sí",E35="Sí",COUNT(F35:O35)=10,MIN(F35:O35)&gt;=1,MAX(F35:O35)&lt;=5,R35&lt;&gt;""),"VÁLIDO","INCOMPLETO"))))</x:f>
      </x:c>
      <x:c r="Q35" s="32" t="str">
        <x:f>IF(P35&lt;&gt;"VÁLIDO","",(SUM(F35,H35,J35,L35,N35)-5+25-SUM(G35,I35,K35,M35,O35))*2.5)</x:f>
      </x:c>
      <x:c r="R35" s="20"/>
      <x:c r="S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2" t="str">
        <x:f>IF(COUNTA(A36:O36)+COUNTA(R36:S36)=0,"",IF(AND(COUNT(F36:O36)&gt;0,OR(COUNTIF(F36:O36,"&gt;5")&gt;0,COUNTIF(F36:O36,"&lt;1")&gt;0)),"REVISAR",IF(AND(A36&lt;&gt;"",COUNTIF($A$5:$A$204,A36)&gt;1),"REVISAR",IF(AND(A36&lt;&gt;"",C36="Sí",D36="Sí",E36="Sí",COUNT(F36:O36)=10,MIN(F36:O36)&gt;=1,MAX(F36:O36)&lt;=5,R36&lt;&gt;""),"VÁLIDO","INCOMPLETO"))))</x:f>
      </x:c>
      <x:c r="Q36" s="32" t="str">
        <x:f>IF(P36&lt;&gt;"VÁLIDO","",(SUM(F36,H36,J36,L36,N36)-5+25-SUM(G36,I36,K36,M36,O36))*2.5)</x:f>
      </x:c>
      <x:c r="R36" s="20"/>
      <x:c r="S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2" t="str">
        <x:f>IF(COUNTA(A37:O37)+COUNTA(R37:S37)=0,"",IF(AND(COUNT(F37:O37)&gt;0,OR(COUNTIF(F37:O37,"&gt;5")&gt;0,COUNTIF(F37:O37,"&lt;1")&gt;0)),"REVISAR",IF(AND(A37&lt;&gt;"",COUNTIF($A$5:$A$204,A37)&gt;1),"REVISAR",IF(AND(A37&lt;&gt;"",C37="Sí",D37="Sí",E37="Sí",COUNT(F37:O37)=10,MIN(F37:O37)&gt;=1,MAX(F37:O37)&lt;=5,R37&lt;&gt;""),"VÁLIDO","INCOMPLETO"))))</x:f>
      </x:c>
      <x:c r="Q37" s="32" t="str">
        <x:f>IF(P37&lt;&gt;"VÁLIDO","",(SUM(F37,H37,J37,L37,N37)-5+25-SUM(G37,I37,K37,M37,O37))*2.5)</x:f>
      </x:c>
      <x:c r="R37" s="20"/>
      <x:c r="S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2" t="str">
        <x:f>IF(COUNTA(A38:O38)+COUNTA(R38:S38)=0,"",IF(AND(COUNT(F38:O38)&gt;0,OR(COUNTIF(F38:O38,"&gt;5")&gt;0,COUNTIF(F38:O38,"&lt;1")&gt;0)),"REVISAR",IF(AND(A38&lt;&gt;"",COUNTIF($A$5:$A$204,A38)&gt;1),"REVISAR",IF(AND(A38&lt;&gt;"",C38="Sí",D38="Sí",E38="Sí",COUNT(F38:O38)=10,MIN(F38:O38)&gt;=1,MAX(F38:O38)&lt;=5,R38&lt;&gt;""),"VÁLIDO","INCOMPLETO"))))</x:f>
      </x:c>
      <x:c r="Q38" s="32" t="str">
        <x:f>IF(P38&lt;&gt;"VÁLIDO","",(SUM(F38,H38,J38,L38,N38)-5+25-SUM(G38,I38,K38,M38,O38))*2.5)</x:f>
      </x:c>
      <x:c r="R38" s="20"/>
      <x:c r="S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2" t="str">
        <x:f>IF(COUNTA(A39:O39)+COUNTA(R39:S39)=0,"",IF(AND(COUNT(F39:O39)&gt;0,OR(COUNTIF(F39:O39,"&gt;5")&gt;0,COUNTIF(F39:O39,"&lt;1")&gt;0)),"REVISAR",IF(AND(A39&lt;&gt;"",COUNTIF($A$5:$A$204,A39)&gt;1),"REVISAR",IF(AND(A39&lt;&gt;"",C39="Sí",D39="Sí",E39="Sí",COUNT(F39:O39)=10,MIN(F39:O39)&gt;=1,MAX(F39:O39)&lt;=5,R39&lt;&gt;""),"VÁLIDO","INCOMPLETO"))))</x:f>
      </x:c>
      <x:c r="Q39" s="32" t="str">
        <x:f>IF(P39&lt;&gt;"VÁLIDO","",(SUM(F39,H39,J39,L39,N39)-5+25-SUM(G39,I39,K39,M39,O39))*2.5)</x:f>
      </x:c>
      <x:c r="R39" s="20"/>
      <x:c r="S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2" t="str">
        <x:f>IF(COUNTA(A40:O40)+COUNTA(R40:S40)=0,"",IF(AND(COUNT(F40:O40)&gt;0,OR(COUNTIF(F40:O40,"&gt;5")&gt;0,COUNTIF(F40:O40,"&lt;1")&gt;0)),"REVISAR",IF(AND(A40&lt;&gt;"",COUNTIF($A$5:$A$204,A40)&gt;1),"REVISAR",IF(AND(A40&lt;&gt;"",C40="Sí",D40="Sí",E40="Sí",COUNT(F40:O40)=10,MIN(F40:O40)&gt;=1,MAX(F40:O40)&lt;=5,R40&lt;&gt;""),"VÁLIDO","INCOMPLETO"))))</x:f>
      </x:c>
      <x:c r="Q40" s="32" t="str">
        <x:f>IF(P40&lt;&gt;"VÁLIDO","",(SUM(F40,H40,J40,L40,N40)-5+25-SUM(G40,I40,K40,M40,O40))*2.5)</x:f>
      </x:c>
      <x:c r="R40" s="20"/>
      <x:c r="S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2" t="str">
        <x:f>IF(COUNTA(A41:O41)+COUNTA(R41:S41)=0,"",IF(AND(COUNT(F41:O41)&gt;0,OR(COUNTIF(F41:O41,"&gt;5")&gt;0,COUNTIF(F41:O41,"&lt;1")&gt;0)),"REVISAR",IF(AND(A41&lt;&gt;"",COUNTIF($A$5:$A$204,A41)&gt;1),"REVISAR",IF(AND(A41&lt;&gt;"",C41="Sí",D41="Sí",E41="Sí",COUNT(F41:O41)=10,MIN(F41:O41)&gt;=1,MAX(F41:O41)&lt;=5,R41&lt;&gt;""),"VÁLIDO","INCOMPLETO"))))</x:f>
      </x:c>
      <x:c r="Q41" s="32" t="str">
        <x:f>IF(P41&lt;&gt;"VÁLIDO","",(SUM(F41,H41,J41,L41,N41)-5+25-SUM(G41,I41,K41,M41,O41))*2.5)</x:f>
      </x:c>
      <x:c r="R41" s="20"/>
      <x:c r="S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2" t="str">
        <x:f>IF(COUNTA(A42:O42)+COUNTA(R42:S42)=0,"",IF(AND(COUNT(F42:O42)&gt;0,OR(COUNTIF(F42:O42,"&gt;5")&gt;0,COUNTIF(F42:O42,"&lt;1")&gt;0)),"REVISAR",IF(AND(A42&lt;&gt;"",COUNTIF($A$5:$A$204,A42)&gt;1),"REVISAR",IF(AND(A42&lt;&gt;"",C42="Sí",D42="Sí",E42="Sí",COUNT(F42:O42)=10,MIN(F42:O42)&gt;=1,MAX(F42:O42)&lt;=5,R42&lt;&gt;""),"VÁLIDO","INCOMPLETO"))))</x:f>
      </x:c>
      <x:c r="Q42" s="32" t="str">
        <x:f>IF(P42&lt;&gt;"VÁLIDO","",(SUM(F42,H42,J42,L42,N42)-5+25-SUM(G42,I42,K42,M42,O42))*2.5)</x:f>
      </x:c>
      <x:c r="R42" s="20"/>
      <x:c r="S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2" t="str">
        <x:f>IF(COUNTA(A43:O43)+COUNTA(R43:S43)=0,"",IF(AND(COUNT(F43:O43)&gt;0,OR(COUNTIF(F43:O43,"&gt;5")&gt;0,COUNTIF(F43:O43,"&lt;1")&gt;0)),"REVISAR",IF(AND(A43&lt;&gt;"",COUNTIF($A$5:$A$204,A43)&gt;1),"REVISAR",IF(AND(A43&lt;&gt;"",C43="Sí",D43="Sí",E43="Sí",COUNT(F43:O43)=10,MIN(F43:O43)&gt;=1,MAX(F43:O43)&lt;=5,R43&lt;&gt;""),"VÁLIDO","INCOMPLETO"))))</x:f>
      </x:c>
      <x:c r="Q43" s="32" t="str">
        <x:f>IF(P43&lt;&gt;"VÁLIDO","",(SUM(F43,H43,J43,L43,N43)-5+25-SUM(G43,I43,K43,M43,O43))*2.5)</x:f>
      </x:c>
      <x:c r="R43" s="20"/>
      <x:c r="S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2" t="str">
        <x:f>IF(COUNTA(A44:O44)+COUNTA(R44:S44)=0,"",IF(AND(COUNT(F44:O44)&gt;0,OR(COUNTIF(F44:O44,"&gt;5")&gt;0,COUNTIF(F44:O44,"&lt;1")&gt;0)),"REVISAR",IF(AND(A44&lt;&gt;"",COUNTIF($A$5:$A$204,A44)&gt;1),"REVISAR",IF(AND(A44&lt;&gt;"",C44="Sí",D44="Sí",E44="Sí",COUNT(F44:O44)=10,MIN(F44:O44)&gt;=1,MAX(F44:O44)&lt;=5,R44&lt;&gt;""),"VÁLIDO","INCOMPLETO"))))</x:f>
      </x:c>
      <x:c r="Q44" s="32" t="str">
        <x:f>IF(P44&lt;&gt;"VÁLIDO","",(SUM(F44,H44,J44,L44,N44)-5+25-SUM(G44,I44,K44,M44,O44))*2.5)</x:f>
      </x:c>
      <x:c r="R44" s="20"/>
      <x:c r="S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2" t="str">
        <x:f>IF(COUNTA(A45:O45)+COUNTA(R45:S45)=0,"",IF(AND(COUNT(F45:O45)&gt;0,OR(COUNTIF(F45:O45,"&gt;5")&gt;0,COUNTIF(F45:O45,"&lt;1")&gt;0)),"REVISAR",IF(AND(A45&lt;&gt;"",COUNTIF($A$5:$A$204,A45)&gt;1),"REVISAR",IF(AND(A45&lt;&gt;"",C45="Sí",D45="Sí",E45="Sí",COUNT(F45:O45)=10,MIN(F45:O45)&gt;=1,MAX(F45:O45)&lt;=5,R45&lt;&gt;""),"VÁLIDO","INCOMPLETO"))))</x:f>
      </x:c>
      <x:c r="Q45" s="32" t="str">
        <x:f>IF(P45&lt;&gt;"VÁLIDO","",(SUM(F45,H45,J45,L45,N45)-5+25-SUM(G45,I45,K45,M45,O45))*2.5)</x:f>
      </x:c>
      <x:c r="R45" s="20"/>
      <x:c r="S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2" t="str">
        <x:f>IF(COUNTA(A46:O46)+COUNTA(R46:S46)=0,"",IF(AND(COUNT(F46:O46)&gt;0,OR(COUNTIF(F46:O46,"&gt;5")&gt;0,COUNTIF(F46:O46,"&lt;1")&gt;0)),"REVISAR",IF(AND(A46&lt;&gt;"",COUNTIF($A$5:$A$204,A46)&gt;1),"REVISAR",IF(AND(A46&lt;&gt;"",C46="Sí",D46="Sí",E46="Sí",COUNT(F46:O46)=10,MIN(F46:O46)&gt;=1,MAX(F46:O46)&lt;=5,R46&lt;&gt;""),"VÁLIDO","INCOMPLETO"))))</x:f>
      </x:c>
      <x:c r="Q46" s="32" t="str">
        <x:f>IF(P46&lt;&gt;"VÁLIDO","",(SUM(F46,H46,J46,L46,N46)-5+25-SUM(G46,I46,K46,M46,O46))*2.5)</x:f>
      </x:c>
      <x:c r="R46" s="20"/>
      <x:c r="S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2" t="str">
        <x:f>IF(COUNTA(A47:O47)+COUNTA(R47:S47)=0,"",IF(AND(COUNT(F47:O47)&gt;0,OR(COUNTIF(F47:O47,"&gt;5")&gt;0,COUNTIF(F47:O47,"&lt;1")&gt;0)),"REVISAR",IF(AND(A47&lt;&gt;"",COUNTIF($A$5:$A$204,A47)&gt;1),"REVISAR",IF(AND(A47&lt;&gt;"",C47="Sí",D47="Sí",E47="Sí",COUNT(F47:O47)=10,MIN(F47:O47)&gt;=1,MAX(F47:O47)&lt;=5,R47&lt;&gt;""),"VÁLIDO","INCOMPLETO"))))</x:f>
      </x:c>
      <x:c r="Q47" s="32" t="str">
        <x:f>IF(P47&lt;&gt;"VÁLIDO","",(SUM(F47,H47,J47,L47,N47)-5+25-SUM(G47,I47,K47,M47,O47))*2.5)</x:f>
      </x:c>
      <x:c r="R47" s="20"/>
      <x:c r="S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2" t="str">
        <x:f>IF(COUNTA(A48:O48)+COUNTA(R48:S48)=0,"",IF(AND(COUNT(F48:O48)&gt;0,OR(COUNTIF(F48:O48,"&gt;5")&gt;0,COUNTIF(F48:O48,"&lt;1")&gt;0)),"REVISAR",IF(AND(A48&lt;&gt;"",COUNTIF($A$5:$A$204,A48)&gt;1),"REVISAR",IF(AND(A48&lt;&gt;"",C48="Sí",D48="Sí",E48="Sí",COUNT(F48:O48)=10,MIN(F48:O48)&gt;=1,MAX(F48:O48)&lt;=5,R48&lt;&gt;""),"VÁLIDO","INCOMPLETO"))))</x:f>
      </x:c>
      <x:c r="Q48" s="32" t="str">
        <x:f>IF(P48&lt;&gt;"VÁLIDO","",(SUM(F48,H48,J48,L48,N48)-5+25-SUM(G48,I48,K48,M48,O48))*2.5)</x:f>
      </x:c>
      <x:c r="R48" s="20"/>
      <x:c r="S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2" t="str">
        <x:f>IF(COUNTA(A49:O49)+COUNTA(R49:S49)=0,"",IF(AND(COUNT(F49:O49)&gt;0,OR(COUNTIF(F49:O49,"&gt;5")&gt;0,COUNTIF(F49:O49,"&lt;1")&gt;0)),"REVISAR",IF(AND(A49&lt;&gt;"",COUNTIF($A$5:$A$204,A49)&gt;1),"REVISAR",IF(AND(A49&lt;&gt;"",C49="Sí",D49="Sí",E49="Sí",COUNT(F49:O49)=10,MIN(F49:O49)&gt;=1,MAX(F49:O49)&lt;=5,R49&lt;&gt;""),"VÁLIDO","INCOMPLETO"))))</x:f>
      </x:c>
      <x:c r="Q49" s="32" t="str">
        <x:f>IF(P49&lt;&gt;"VÁLIDO","",(SUM(F49,H49,J49,L49,N49)-5+25-SUM(G49,I49,K49,M49,O49))*2.5)</x:f>
      </x:c>
      <x:c r="R49" s="20"/>
      <x:c r="S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2" t="str">
        <x:f>IF(COUNTA(A50:O50)+COUNTA(R50:S50)=0,"",IF(AND(COUNT(F50:O50)&gt;0,OR(COUNTIF(F50:O50,"&gt;5")&gt;0,COUNTIF(F50:O50,"&lt;1")&gt;0)),"REVISAR",IF(AND(A50&lt;&gt;"",COUNTIF($A$5:$A$204,A50)&gt;1),"REVISAR",IF(AND(A50&lt;&gt;"",C50="Sí",D50="Sí",E50="Sí",COUNT(F50:O50)=10,MIN(F50:O50)&gt;=1,MAX(F50:O50)&lt;=5,R50&lt;&gt;""),"VÁLIDO","INCOMPLETO"))))</x:f>
      </x:c>
      <x:c r="Q50" s="32" t="str">
        <x:f>IF(P50&lt;&gt;"VÁLIDO","",(SUM(F50,H50,J50,L50,N50)-5+25-SUM(G50,I50,K50,M50,O50))*2.5)</x:f>
      </x:c>
      <x:c r="R50" s="20"/>
      <x:c r="S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2" t="str">
        <x:f>IF(COUNTA(A51:O51)+COUNTA(R51:S51)=0,"",IF(AND(COUNT(F51:O51)&gt;0,OR(COUNTIF(F51:O51,"&gt;5")&gt;0,COUNTIF(F51:O51,"&lt;1")&gt;0)),"REVISAR",IF(AND(A51&lt;&gt;"",COUNTIF($A$5:$A$204,A51)&gt;1),"REVISAR",IF(AND(A51&lt;&gt;"",C51="Sí",D51="Sí",E51="Sí",COUNT(F51:O51)=10,MIN(F51:O51)&gt;=1,MAX(F51:O51)&lt;=5,R51&lt;&gt;""),"VÁLIDO","INCOMPLETO"))))</x:f>
      </x:c>
      <x:c r="Q51" s="32" t="str">
        <x:f>IF(P51&lt;&gt;"VÁLIDO","",(SUM(F51,H51,J51,L51,N51)-5+25-SUM(G51,I51,K51,M51,O51))*2.5)</x:f>
      </x:c>
      <x:c r="R51" s="20"/>
      <x:c r="S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2" t="str">
        <x:f>IF(COUNTA(A52:O52)+COUNTA(R52:S52)=0,"",IF(AND(COUNT(F52:O52)&gt;0,OR(COUNTIF(F52:O52,"&gt;5")&gt;0,COUNTIF(F52:O52,"&lt;1")&gt;0)),"REVISAR",IF(AND(A52&lt;&gt;"",COUNTIF($A$5:$A$204,A52)&gt;1),"REVISAR",IF(AND(A52&lt;&gt;"",C52="Sí",D52="Sí",E52="Sí",COUNT(F52:O52)=10,MIN(F52:O52)&gt;=1,MAX(F52:O52)&lt;=5,R52&lt;&gt;""),"VÁLIDO","INCOMPLETO"))))</x:f>
      </x:c>
      <x:c r="Q52" s="32" t="str">
        <x:f>IF(P52&lt;&gt;"VÁLIDO","",(SUM(F52,H52,J52,L52,N52)-5+25-SUM(G52,I52,K52,M52,O52))*2.5)</x:f>
      </x:c>
      <x:c r="R52" s="20"/>
      <x:c r="S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2" t="str">
        <x:f>IF(COUNTA(A53:O53)+COUNTA(R53:S53)=0,"",IF(AND(COUNT(F53:O53)&gt;0,OR(COUNTIF(F53:O53,"&gt;5")&gt;0,COUNTIF(F53:O53,"&lt;1")&gt;0)),"REVISAR",IF(AND(A53&lt;&gt;"",COUNTIF($A$5:$A$204,A53)&gt;1),"REVISAR",IF(AND(A53&lt;&gt;"",C53="Sí",D53="Sí",E53="Sí",COUNT(F53:O53)=10,MIN(F53:O53)&gt;=1,MAX(F53:O53)&lt;=5,R53&lt;&gt;""),"VÁLIDO","INCOMPLETO"))))</x:f>
      </x:c>
      <x:c r="Q53" s="32" t="str">
        <x:f>IF(P53&lt;&gt;"VÁLIDO","",(SUM(F53,H53,J53,L53,N53)-5+25-SUM(G53,I53,K53,M53,O53))*2.5)</x:f>
      </x:c>
      <x:c r="R53" s="20"/>
      <x:c r="S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2" t="str">
        <x:f>IF(COUNTA(A54:O54)+COUNTA(R54:S54)=0,"",IF(AND(COUNT(F54:O54)&gt;0,OR(COUNTIF(F54:O54,"&gt;5")&gt;0,COUNTIF(F54:O54,"&lt;1")&gt;0)),"REVISAR",IF(AND(A54&lt;&gt;"",COUNTIF($A$5:$A$204,A54)&gt;1),"REVISAR",IF(AND(A54&lt;&gt;"",C54="Sí",D54="Sí",E54="Sí",COUNT(F54:O54)=10,MIN(F54:O54)&gt;=1,MAX(F54:O54)&lt;=5,R54&lt;&gt;""),"VÁLIDO","INCOMPLETO"))))</x:f>
      </x:c>
      <x:c r="Q54" s="32" t="str">
        <x:f>IF(P54&lt;&gt;"VÁLIDO","",(SUM(F54,H54,J54,L54,N54)-5+25-SUM(G54,I54,K54,M54,O54))*2.5)</x:f>
      </x:c>
      <x:c r="R54" s="20"/>
      <x:c r="S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2" t="str">
        <x:f>IF(COUNTA(A55:O55)+COUNTA(R55:S55)=0,"",IF(AND(COUNT(F55:O55)&gt;0,OR(COUNTIF(F55:O55,"&gt;5")&gt;0,COUNTIF(F55:O55,"&lt;1")&gt;0)),"REVISAR",IF(AND(A55&lt;&gt;"",COUNTIF($A$5:$A$204,A55)&gt;1),"REVISAR",IF(AND(A55&lt;&gt;"",C55="Sí",D55="Sí",E55="Sí",COUNT(F55:O55)=10,MIN(F55:O55)&gt;=1,MAX(F55:O55)&lt;=5,R55&lt;&gt;""),"VÁLIDO","INCOMPLETO"))))</x:f>
      </x:c>
      <x:c r="Q55" s="32" t="str">
        <x:f>IF(P55&lt;&gt;"VÁLIDO","",(SUM(F55,H55,J55,L55,N55)-5+25-SUM(G55,I55,K55,M55,O55))*2.5)</x:f>
      </x:c>
      <x:c r="R55" s="20"/>
      <x:c r="S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2" t="str">
        <x:f>IF(COUNTA(A56:O56)+COUNTA(R56:S56)=0,"",IF(AND(COUNT(F56:O56)&gt;0,OR(COUNTIF(F56:O56,"&gt;5")&gt;0,COUNTIF(F56:O56,"&lt;1")&gt;0)),"REVISAR",IF(AND(A56&lt;&gt;"",COUNTIF($A$5:$A$204,A56)&gt;1),"REVISAR",IF(AND(A56&lt;&gt;"",C56="Sí",D56="Sí",E56="Sí",COUNT(F56:O56)=10,MIN(F56:O56)&gt;=1,MAX(F56:O56)&lt;=5,R56&lt;&gt;""),"VÁLIDO","INCOMPLETO"))))</x:f>
      </x:c>
      <x:c r="Q56" s="32" t="str">
        <x:f>IF(P56&lt;&gt;"VÁLIDO","",(SUM(F56,H56,J56,L56,N56)-5+25-SUM(G56,I56,K56,M56,O56))*2.5)</x:f>
      </x:c>
      <x:c r="R56" s="20"/>
      <x:c r="S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2" t="str">
        <x:f>IF(COUNTA(A57:O57)+COUNTA(R57:S57)=0,"",IF(AND(COUNT(F57:O57)&gt;0,OR(COUNTIF(F57:O57,"&gt;5")&gt;0,COUNTIF(F57:O57,"&lt;1")&gt;0)),"REVISAR",IF(AND(A57&lt;&gt;"",COUNTIF($A$5:$A$204,A57)&gt;1),"REVISAR",IF(AND(A57&lt;&gt;"",C57="Sí",D57="Sí",E57="Sí",COUNT(F57:O57)=10,MIN(F57:O57)&gt;=1,MAX(F57:O57)&lt;=5,R57&lt;&gt;""),"VÁLIDO","INCOMPLETO"))))</x:f>
      </x:c>
      <x:c r="Q57" s="32" t="str">
        <x:f>IF(P57&lt;&gt;"VÁLIDO","",(SUM(F57,H57,J57,L57,N57)-5+25-SUM(G57,I57,K57,M57,O57))*2.5)</x:f>
      </x:c>
      <x:c r="R57" s="20"/>
      <x:c r="S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2" t="str">
        <x:f>IF(COUNTA(A58:O58)+COUNTA(R58:S58)=0,"",IF(AND(COUNT(F58:O58)&gt;0,OR(COUNTIF(F58:O58,"&gt;5")&gt;0,COUNTIF(F58:O58,"&lt;1")&gt;0)),"REVISAR",IF(AND(A58&lt;&gt;"",COUNTIF($A$5:$A$204,A58)&gt;1),"REVISAR",IF(AND(A58&lt;&gt;"",C58="Sí",D58="Sí",E58="Sí",COUNT(F58:O58)=10,MIN(F58:O58)&gt;=1,MAX(F58:O58)&lt;=5,R58&lt;&gt;""),"VÁLIDO","INCOMPLETO"))))</x:f>
      </x:c>
      <x:c r="Q58" s="32" t="str">
        <x:f>IF(P58&lt;&gt;"VÁLIDO","",(SUM(F58,H58,J58,L58,N58)-5+25-SUM(G58,I58,K58,M58,O58))*2.5)</x:f>
      </x:c>
      <x:c r="R58" s="20"/>
      <x:c r="S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2" t="str">
        <x:f>IF(COUNTA(A59:O59)+COUNTA(R59:S59)=0,"",IF(AND(COUNT(F59:O59)&gt;0,OR(COUNTIF(F59:O59,"&gt;5")&gt;0,COUNTIF(F59:O59,"&lt;1")&gt;0)),"REVISAR",IF(AND(A59&lt;&gt;"",COUNTIF($A$5:$A$204,A59)&gt;1),"REVISAR",IF(AND(A59&lt;&gt;"",C59="Sí",D59="Sí",E59="Sí",COUNT(F59:O59)=10,MIN(F59:O59)&gt;=1,MAX(F59:O59)&lt;=5,R59&lt;&gt;""),"VÁLIDO","INCOMPLETO"))))</x:f>
      </x:c>
      <x:c r="Q59" s="32" t="str">
        <x:f>IF(P59&lt;&gt;"VÁLIDO","",(SUM(F59,H59,J59,L59,N59)-5+25-SUM(G59,I59,K59,M59,O59))*2.5)</x:f>
      </x:c>
      <x:c r="R59" s="20"/>
      <x:c r="S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2" t="str">
        <x:f>IF(COUNTA(A60:O60)+COUNTA(R60:S60)=0,"",IF(AND(COUNT(F60:O60)&gt;0,OR(COUNTIF(F60:O60,"&gt;5")&gt;0,COUNTIF(F60:O60,"&lt;1")&gt;0)),"REVISAR",IF(AND(A60&lt;&gt;"",COUNTIF($A$5:$A$204,A60)&gt;1),"REVISAR",IF(AND(A60&lt;&gt;"",C60="Sí",D60="Sí",E60="Sí",COUNT(F60:O60)=10,MIN(F60:O60)&gt;=1,MAX(F60:O60)&lt;=5,R60&lt;&gt;""),"VÁLIDO","INCOMPLETO"))))</x:f>
      </x:c>
      <x:c r="Q60" s="32" t="str">
        <x:f>IF(P60&lt;&gt;"VÁLIDO","",(SUM(F60,H60,J60,L60,N60)-5+25-SUM(G60,I60,K60,M60,O60))*2.5)</x:f>
      </x:c>
      <x:c r="R60" s="20"/>
      <x:c r="S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2" t="str">
        <x:f>IF(COUNTA(A61:O61)+COUNTA(R61:S61)=0,"",IF(AND(COUNT(F61:O61)&gt;0,OR(COUNTIF(F61:O61,"&gt;5")&gt;0,COUNTIF(F61:O61,"&lt;1")&gt;0)),"REVISAR",IF(AND(A61&lt;&gt;"",COUNTIF($A$5:$A$204,A61)&gt;1),"REVISAR",IF(AND(A61&lt;&gt;"",C61="Sí",D61="Sí",E61="Sí",COUNT(F61:O61)=10,MIN(F61:O61)&gt;=1,MAX(F61:O61)&lt;=5,R61&lt;&gt;""),"VÁLIDO","INCOMPLETO"))))</x:f>
      </x:c>
      <x:c r="Q61" s="32" t="str">
        <x:f>IF(P61&lt;&gt;"VÁLIDO","",(SUM(F61,H61,J61,L61,N61)-5+25-SUM(G61,I61,K61,M61,O61))*2.5)</x:f>
      </x:c>
      <x:c r="R61" s="20"/>
      <x:c r="S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2" t="str">
        <x:f>IF(COUNTA(A62:O62)+COUNTA(R62:S62)=0,"",IF(AND(COUNT(F62:O62)&gt;0,OR(COUNTIF(F62:O62,"&gt;5")&gt;0,COUNTIF(F62:O62,"&lt;1")&gt;0)),"REVISAR",IF(AND(A62&lt;&gt;"",COUNTIF($A$5:$A$204,A62)&gt;1),"REVISAR",IF(AND(A62&lt;&gt;"",C62="Sí",D62="Sí",E62="Sí",COUNT(F62:O62)=10,MIN(F62:O62)&gt;=1,MAX(F62:O62)&lt;=5,R62&lt;&gt;""),"VÁLIDO","INCOMPLETO"))))</x:f>
      </x:c>
      <x:c r="Q62" s="32" t="str">
        <x:f>IF(P62&lt;&gt;"VÁLIDO","",(SUM(F62,H62,J62,L62,N62)-5+25-SUM(G62,I62,K62,M62,O62))*2.5)</x:f>
      </x:c>
      <x:c r="R62" s="20"/>
      <x:c r="S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2" t="str">
        <x:f>IF(COUNTA(A63:O63)+COUNTA(R63:S63)=0,"",IF(AND(COUNT(F63:O63)&gt;0,OR(COUNTIF(F63:O63,"&gt;5")&gt;0,COUNTIF(F63:O63,"&lt;1")&gt;0)),"REVISAR",IF(AND(A63&lt;&gt;"",COUNTIF($A$5:$A$204,A63)&gt;1),"REVISAR",IF(AND(A63&lt;&gt;"",C63="Sí",D63="Sí",E63="Sí",COUNT(F63:O63)=10,MIN(F63:O63)&gt;=1,MAX(F63:O63)&lt;=5,R63&lt;&gt;""),"VÁLIDO","INCOMPLETO"))))</x:f>
      </x:c>
      <x:c r="Q63" s="32" t="str">
        <x:f>IF(P63&lt;&gt;"VÁLIDO","",(SUM(F63,H63,J63,L63,N63)-5+25-SUM(G63,I63,K63,M63,O63))*2.5)</x:f>
      </x:c>
      <x:c r="R63" s="20"/>
      <x:c r="S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2" t="str">
        <x:f>IF(COUNTA(A64:O64)+COUNTA(R64:S64)=0,"",IF(AND(COUNT(F64:O64)&gt;0,OR(COUNTIF(F64:O64,"&gt;5")&gt;0,COUNTIF(F64:O64,"&lt;1")&gt;0)),"REVISAR",IF(AND(A64&lt;&gt;"",COUNTIF($A$5:$A$204,A64)&gt;1),"REVISAR",IF(AND(A64&lt;&gt;"",C64="Sí",D64="Sí",E64="Sí",COUNT(F64:O64)=10,MIN(F64:O64)&gt;=1,MAX(F64:O64)&lt;=5,R64&lt;&gt;""),"VÁLIDO","INCOMPLETO"))))</x:f>
      </x:c>
      <x:c r="Q64" s="32" t="str">
        <x:f>IF(P64&lt;&gt;"VÁLIDO","",(SUM(F64,H64,J64,L64,N64)-5+25-SUM(G64,I64,K64,M64,O64))*2.5)</x:f>
      </x:c>
      <x:c r="R64" s="20"/>
      <x:c r="S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2" t="str">
        <x:f>IF(COUNTA(A65:O65)+COUNTA(R65:S65)=0,"",IF(AND(COUNT(F65:O65)&gt;0,OR(COUNTIF(F65:O65,"&gt;5")&gt;0,COUNTIF(F65:O65,"&lt;1")&gt;0)),"REVISAR",IF(AND(A65&lt;&gt;"",COUNTIF($A$5:$A$204,A65)&gt;1),"REVISAR",IF(AND(A65&lt;&gt;"",C65="Sí",D65="Sí",E65="Sí",COUNT(F65:O65)=10,MIN(F65:O65)&gt;=1,MAX(F65:O65)&lt;=5,R65&lt;&gt;""),"VÁLIDO","INCOMPLETO"))))</x:f>
      </x:c>
      <x:c r="Q65" s="32" t="str">
        <x:f>IF(P65&lt;&gt;"VÁLIDO","",(SUM(F65,H65,J65,L65,N65)-5+25-SUM(G65,I65,K65,M65,O65))*2.5)</x:f>
      </x:c>
      <x:c r="R65" s="20"/>
      <x:c r="S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2" t="str">
        <x:f>IF(COUNTA(A66:O66)+COUNTA(R66:S66)=0,"",IF(AND(COUNT(F66:O66)&gt;0,OR(COUNTIF(F66:O66,"&gt;5")&gt;0,COUNTIF(F66:O66,"&lt;1")&gt;0)),"REVISAR",IF(AND(A66&lt;&gt;"",COUNTIF($A$5:$A$204,A66)&gt;1),"REVISAR",IF(AND(A66&lt;&gt;"",C66="Sí",D66="Sí",E66="Sí",COUNT(F66:O66)=10,MIN(F66:O66)&gt;=1,MAX(F66:O66)&lt;=5,R66&lt;&gt;""),"VÁLIDO","INCOMPLETO"))))</x:f>
      </x:c>
      <x:c r="Q66" s="32" t="str">
        <x:f>IF(P66&lt;&gt;"VÁLIDO","",(SUM(F66,H66,J66,L66,N66)-5+25-SUM(G66,I66,K66,M66,O66))*2.5)</x:f>
      </x:c>
      <x:c r="R66" s="20"/>
      <x:c r="S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2" t="str">
        <x:f>IF(COUNTA(A67:O67)+COUNTA(R67:S67)=0,"",IF(AND(COUNT(F67:O67)&gt;0,OR(COUNTIF(F67:O67,"&gt;5")&gt;0,COUNTIF(F67:O67,"&lt;1")&gt;0)),"REVISAR",IF(AND(A67&lt;&gt;"",COUNTIF($A$5:$A$204,A67)&gt;1),"REVISAR",IF(AND(A67&lt;&gt;"",C67="Sí",D67="Sí",E67="Sí",COUNT(F67:O67)=10,MIN(F67:O67)&gt;=1,MAX(F67:O67)&lt;=5,R67&lt;&gt;""),"VÁLIDO","INCOMPLETO"))))</x:f>
      </x:c>
      <x:c r="Q67" s="32" t="str">
        <x:f>IF(P67&lt;&gt;"VÁLIDO","",(SUM(F67,H67,J67,L67,N67)-5+25-SUM(G67,I67,K67,M67,O67))*2.5)</x:f>
      </x:c>
      <x:c r="R67" s="20"/>
      <x:c r="S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2" t="str">
        <x:f>IF(COUNTA(A68:O68)+COUNTA(R68:S68)=0,"",IF(AND(COUNT(F68:O68)&gt;0,OR(COUNTIF(F68:O68,"&gt;5")&gt;0,COUNTIF(F68:O68,"&lt;1")&gt;0)),"REVISAR",IF(AND(A68&lt;&gt;"",COUNTIF($A$5:$A$204,A68)&gt;1),"REVISAR",IF(AND(A68&lt;&gt;"",C68="Sí",D68="Sí",E68="Sí",COUNT(F68:O68)=10,MIN(F68:O68)&gt;=1,MAX(F68:O68)&lt;=5,R68&lt;&gt;""),"VÁLIDO","INCOMPLETO"))))</x:f>
      </x:c>
      <x:c r="Q68" s="32" t="str">
        <x:f>IF(P68&lt;&gt;"VÁLIDO","",(SUM(F68,H68,J68,L68,N68)-5+25-SUM(G68,I68,K68,M68,O68))*2.5)</x:f>
      </x:c>
      <x:c r="R68" s="20"/>
      <x:c r="S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2" t="str">
        <x:f>IF(COUNTA(A69:O69)+COUNTA(R69:S69)=0,"",IF(AND(COUNT(F69:O69)&gt;0,OR(COUNTIF(F69:O69,"&gt;5")&gt;0,COUNTIF(F69:O69,"&lt;1")&gt;0)),"REVISAR",IF(AND(A69&lt;&gt;"",COUNTIF($A$5:$A$204,A69)&gt;1),"REVISAR",IF(AND(A69&lt;&gt;"",C69="Sí",D69="Sí",E69="Sí",COUNT(F69:O69)=10,MIN(F69:O69)&gt;=1,MAX(F69:O69)&lt;=5,R69&lt;&gt;""),"VÁLIDO","INCOMPLETO"))))</x:f>
      </x:c>
      <x:c r="Q69" s="32" t="str">
        <x:f>IF(P69&lt;&gt;"VÁLIDO","",(SUM(F69,H69,J69,L69,N69)-5+25-SUM(G69,I69,K69,M69,O69))*2.5)</x:f>
      </x:c>
      <x:c r="R69" s="20"/>
      <x:c r="S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2" t="str">
        <x:f>IF(COUNTA(A70:O70)+COUNTA(R70:S70)=0,"",IF(AND(COUNT(F70:O70)&gt;0,OR(COUNTIF(F70:O70,"&gt;5")&gt;0,COUNTIF(F70:O70,"&lt;1")&gt;0)),"REVISAR",IF(AND(A70&lt;&gt;"",COUNTIF($A$5:$A$204,A70)&gt;1),"REVISAR",IF(AND(A70&lt;&gt;"",C70="Sí",D70="Sí",E70="Sí",COUNT(F70:O70)=10,MIN(F70:O70)&gt;=1,MAX(F70:O70)&lt;=5,R70&lt;&gt;""),"VÁLIDO","INCOMPLETO"))))</x:f>
      </x:c>
      <x:c r="Q70" s="32" t="str">
        <x:f>IF(P70&lt;&gt;"VÁLIDO","",(SUM(F70,H70,J70,L70,N70)-5+25-SUM(G70,I70,K70,M70,O70))*2.5)</x:f>
      </x:c>
      <x:c r="R70" s="20"/>
      <x:c r="S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2" t="str">
        <x:f>IF(COUNTA(A71:O71)+COUNTA(R71:S71)=0,"",IF(AND(COUNT(F71:O71)&gt;0,OR(COUNTIF(F71:O71,"&gt;5")&gt;0,COUNTIF(F71:O71,"&lt;1")&gt;0)),"REVISAR",IF(AND(A71&lt;&gt;"",COUNTIF($A$5:$A$204,A71)&gt;1),"REVISAR",IF(AND(A71&lt;&gt;"",C71="Sí",D71="Sí",E71="Sí",COUNT(F71:O71)=10,MIN(F71:O71)&gt;=1,MAX(F71:O71)&lt;=5,R71&lt;&gt;""),"VÁLIDO","INCOMPLETO"))))</x:f>
      </x:c>
      <x:c r="Q71" s="32" t="str">
        <x:f>IF(P71&lt;&gt;"VÁLIDO","",(SUM(F71,H71,J71,L71,N71)-5+25-SUM(G71,I71,K71,M71,O71))*2.5)</x:f>
      </x:c>
      <x:c r="R71" s="20"/>
      <x:c r="S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2" t="str">
        <x:f>IF(COUNTA(A72:O72)+COUNTA(R72:S72)=0,"",IF(AND(COUNT(F72:O72)&gt;0,OR(COUNTIF(F72:O72,"&gt;5")&gt;0,COUNTIF(F72:O72,"&lt;1")&gt;0)),"REVISAR",IF(AND(A72&lt;&gt;"",COUNTIF($A$5:$A$204,A72)&gt;1),"REVISAR",IF(AND(A72&lt;&gt;"",C72="Sí",D72="Sí",E72="Sí",COUNT(F72:O72)=10,MIN(F72:O72)&gt;=1,MAX(F72:O72)&lt;=5,R72&lt;&gt;""),"VÁLIDO","INCOMPLETO"))))</x:f>
      </x:c>
      <x:c r="Q72" s="32" t="str">
        <x:f>IF(P72&lt;&gt;"VÁLIDO","",(SUM(F72,H72,J72,L72,N72)-5+25-SUM(G72,I72,K72,M72,O72))*2.5)</x:f>
      </x:c>
      <x:c r="R72" s="20"/>
      <x:c r="S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2" t="str">
        <x:f>IF(COUNTA(A73:O73)+COUNTA(R73:S73)=0,"",IF(AND(COUNT(F73:O73)&gt;0,OR(COUNTIF(F73:O73,"&gt;5")&gt;0,COUNTIF(F73:O73,"&lt;1")&gt;0)),"REVISAR",IF(AND(A73&lt;&gt;"",COUNTIF($A$5:$A$204,A73)&gt;1),"REVISAR",IF(AND(A73&lt;&gt;"",C73="Sí",D73="Sí",E73="Sí",COUNT(F73:O73)=10,MIN(F73:O73)&gt;=1,MAX(F73:O73)&lt;=5,R73&lt;&gt;""),"VÁLIDO","INCOMPLETO"))))</x:f>
      </x:c>
      <x:c r="Q73" s="32" t="str">
        <x:f>IF(P73&lt;&gt;"VÁLIDO","",(SUM(F73,H73,J73,L73,N73)-5+25-SUM(G73,I73,K73,M73,O73))*2.5)</x:f>
      </x:c>
      <x:c r="R73" s="20"/>
      <x:c r="S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2" t="str">
        <x:f>IF(COUNTA(A74:O74)+COUNTA(R74:S74)=0,"",IF(AND(COUNT(F74:O74)&gt;0,OR(COUNTIF(F74:O74,"&gt;5")&gt;0,COUNTIF(F74:O74,"&lt;1")&gt;0)),"REVISAR",IF(AND(A74&lt;&gt;"",COUNTIF($A$5:$A$204,A74)&gt;1),"REVISAR",IF(AND(A74&lt;&gt;"",C74="Sí",D74="Sí",E74="Sí",COUNT(F74:O74)=10,MIN(F74:O74)&gt;=1,MAX(F74:O74)&lt;=5,R74&lt;&gt;""),"VÁLIDO","INCOMPLETO"))))</x:f>
      </x:c>
      <x:c r="Q74" s="32" t="str">
        <x:f>IF(P74&lt;&gt;"VÁLIDO","",(SUM(F74,H74,J74,L74,N74)-5+25-SUM(G74,I74,K74,M74,O74))*2.5)</x:f>
      </x:c>
      <x:c r="R74" s="20"/>
      <x:c r="S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2" t="str">
        <x:f>IF(COUNTA(A75:O75)+COUNTA(R75:S75)=0,"",IF(AND(COUNT(F75:O75)&gt;0,OR(COUNTIF(F75:O75,"&gt;5")&gt;0,COUNTIF(F75:O75,"&lt;1")&gt;0)),"REVISAR",IF(AND(A75&lt;&gt;"",COUNTIF($A$5:$A$204,A75)&gt;1),"REVISAR",IF(AND(A75&lt;&gt;"",C75="Sí",D75="Sí",E75="Sí",COUNT(F75:O75)=10,MIN(F75:O75)&gt;=1,MAX(F75:O75)&lt;=5,R75&lt;&gt;""),"VÁLIDO","INCOMPLETO"))))</x:f>
      </x:c>
      <x:c r="Q75" s="32" t="str">
        <x:f>IF(P75&lt;&gt;"VÁLIDO","",(SUM(F75,H75,J75,L75,N75)-5+25-SUM(G75,I75,K75,M75,O75))*2.5)</x:f>
      </x:c>
      <x:c r="R75" s="20"/>
      <x:c r="S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2" t="str">
        <x:f>IF(COUNTA(A76:O76)+COUNTA(R76:S76)=0,"",IF(AND(COUNT(F76:O76)&gt;0,OR(COUNTIF(F76:O76,"&gt;5")&gt;0,COUNTIF(F76:O76,"&lt;1")&gt;0)),"REVISAR",IF(AND(A76&lt;&gt;"",COUNTIF($A$5:$A$204,A76)&gt;1),"REVISAR",IF(AND(A76&lt;&gt;"",C76="Sí",D76="Sí",E76="Sí",COUNT(F76:O76)=10,MIN(F76:O76)&gt;=1,MAX(F76:O76)&lt;=5,R76&lt;&gt;""),"VÁLIDO","INCOMPLETO"))))</x:f>
      </x:c>
      <x:c r="Q76" s="32" t="str">
        <x:f>IF(P76&lt;&gt;"VÁLIDO","",(SUM(F76,H76,J76,L76,N76)-5+25-SUM(G76,I76,K76,M76,O76))*2.5)</x:f>
      </x:c>
      <x:c r="R76" s="20"/>
      <x:c r="S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2" t="str">
        <x:f>IF(COUNTA(A77:O77)+COUNTA(R77:S77)=0,"",IF(AND(COUNT(F77:O77)&gt;0,OR(COUNTIF(F77:O77,"&gt;5")&gt;0,COUNTIF(F77:O77,"&lt;1")&gt;0)),"REVISAR",IF(AND(A77&lt;&gt;"",COUNTIF($A$5:$A$204,A77)&gt;1),"REVISAR",IF(AND(A77&lt;&gt;"",C77="Sí",D77="Sí",E77="Sí",COUNT(F77:O77)=10,MIN(F77:O77)&gt;=1,MAX(F77:O77)&lt;=5,R77&lt;&gt;""),"VÁLIDO","INCOMPLETO"))))</x:f>
      </x:c>
      <x:c r="Q77" s="32" t="str">
        <x:f>IF(P77&lt;&gt;"VÁLIDO","",(SUM(F77,H77,J77,L77,N77)-5+25-SUM(G77,I77,K77,M77,O77))*2.5)</x:f>
      </x:c>
      <x:c r="R77" s="20"/>
      <x:c r="S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2" t="str">
        <x:f>IF(COUNTA(A78:O78)+COUNTA(R78:S78)=0,"",IF(AND(COUNT(F78:O78)&gt;0,OR(COUNTIF(F78:O78,"&gt;5")&gt;0,COUNTIF(F78:O78,"&lt;1")&gt;0)),"REVISAR",IF(AND(A78&lt;&gt;"",COUNTIF($A$5:$A$204,A78)&gt;1),"REVISAR",IF(AND(A78&lt;&gt;"",C78="Sí",D78="Sí",E78="Sí",COUNT(F78:O78)=10,MIN(F78:O78)&gt;=1,MAX(F78:O78)&lt;=5,R78&lt;&gt;""),"VÁLIDO","INCOMPLETO"))))</x:f>
      </x:c>
      <x:c r="Q78" s="32" t="str">
        <x:f>IF(P78&lt;&gt;"VÁLIDO","",(SUM(F78,H78,J78,L78,N78)-5+25-SUM(G78,I78,K78,M78,O78))*2.5)</x:f>
      </x:c>
      <x:c r="R78" s="20"/>
      <x:c r="S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2" t="str">
        <x:f>IF(COUNTA(A79:O79)+COUNTA(R79:S79)=0,"",IF(AND(COUNT(F79:O79)&gt;0,OR(COUNTIF(F79:O79,"&gt;5")&gt;0,COUNTIF(F79:O79,"&lt;1")&gt;0)),"REVISAR",IF(AND(A79&lt;&gt;"",COUNTIF($A$5:$A$204,A79)&gt;1),"REVISAR",IF(AND(A79&lt;&gt;"",C79="Sí",D79="Sí",E79="Sí",COUNT(F79:O79)=10,MIN(F79:O79)&gt;=1,MAX(F79:O79)&lt;=5,R79&lt;&gt;""),"VÁLIDO","INCOMPLETO"))))</x:f>
      </x:c>
      <x:c r="Q79" s="32" t="str">
        <x:f>IF(P79&lt;&gt;"VÁLIDO","",(SUM(F79,H79,J79,L79,N79)-5+25-SUM(G79,I79,K79,M79,O79))*2.5)</x:f>
      </x:c>
      <x:c r="R79" s="20"/>
      <x:c r="S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2" t="str">
        <x:f>IF(COUNTA(A80:O80)+COUNTA(R80:S80)=0,"",IF(AND(COUNT(F80:O80)&gt;0,OR(COUNTIF(F80:O80,"&gt;5")&gt;0,COUNTIF(F80:O80,"&lt;1")&gt;0)),"REVISAR",IF(AND(A80&lt;&gt;"",COUNTIF($A$5:$A$204,A80)&gt;1),"REVISAR",IF(AND(A80&lt;&gt;"",C80="Sí",D80="Sí",E80="Sí",COUNT(F80:O80)=10,MIN(F80:O80)&gt;=1,MAX(F80:O80)&lt;=5,R80&lt;&gt;""),"VÁLIDO","INCOMPLETO"))))</x:f>
      </x:c>
      <x:c r="Q80" s="32" t="str">
        <x:f>IF(P80&lt;&gt;"VÁLIDO","",(SUM(F80,H80,J80,L80,N80)-5+25-SUM(G80,I80,K80,M80,O80))*2.5)</x:f>
      </x:c>
      <x:c r="R80" s="20"/>
      <x:c r="S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2" t="str">
        <x:f>IF(COUNTA(A81:O81)+COUNTA(R81:S81)=0,"",IF(AND(COUNT(F81:O81)&gt;0,OR(COUNTIF(F81:O81,"&gt;5")&gt;0,COUNTIF(F81:O81,"&lt;1")&gt;0)),"REVISAR",IF(AND(A81&lt;&gt;"",COUNTIF($A$5:$A$204,A81)&gt;1),"REVISAR",IF(AND(A81&lt;&gt;"",C81="Sí",D81="Sí",E81="Sí",COUNT(F81:O81)=10,MIN(F81:O81)&gt;=1,MAX(F81:O81)&lt;=5,R81&lt;&gt;""),"VÁLIDO","INCOMPLETO"))))</x:f>
      </x:c>
      <x:c r="Q81" s="32" t="str">
        <x:f>IF(P81&lt;&gt;"VÁLIDO","",(SUM(F81,H81,J81,L81,N81)-5+25-SUM(G81,I81,K81,M81,O81))*2.5)</x:f>
      </x:c>
      <x:c r="R81" s="20"/>
      <x:c r="S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2" t="str">
        <x:f>IF(COUNTA(A82:O82)+COUNTA(R82:S82)=0,"",IF(AND(COUNT(F82:O82)&gt;0,OR(COUNTIF(F82:O82,"&gt;5")&gt;0,COUNTIF(F82:O82,"&lt;1")&gt;0)),"REVISAR",IF(AND(A82&lt;&gt;"",COUNTIF($A$5:$A$204,A82)&gt;1),"REVISAR",IF(AND(A82&lt;&gt;"",C82="Sí",D82="Sí",E82="Sí",COUNT(F82:O82)=10,MIN(F82:O82)&gt;=1,MAX(F82:O82)&lt;=5,R82&lt;&gt;""),"VÁLIDO","INCOMPLETO"))))</x:f>
      </x:c>
      <x:c r="Q82" s="32" t="str">
        <x:f>IF(P82&lt;&gt;"VÁLIDO","",(SUM(F82,H82,J82,L82,N82)-5+25-SUM(G82,I82,K82,M82,O82))*2.5)</x:f>
      </x:c>
      <x:c r="R82" s="20"/>
      <x:c r="S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2" t="str">
        <x:f>IF(COUNTA(A83:O83)+COUNTA(R83:S83)=0,"",IF(AND(COUNT(F83:O83)&gt;0,OR(COUNTIF(F83:O83,"&gt;5")&gt;0,COUNTIF(F83:O83,"&lt;1")&gt;0)),"REVISAR",IF(AND(A83&lt;&gt;"",COUNTIF($A$5:$A$204,A83)&gt;1),"REVISAR",IF(AND(A83&lt;&gt;"",C83="Sí",D83="Sí",E83="Sí",COUNT(F83:O83)=10,MIN(F83:O83)&gt;=1,MAX(F83:O83)&lt;=5,R83&lt;&gt;""),"VÁLIDO","INCOMPLETO"))))</x:f>
      </x:c>
      <x:c r="Q83" s="32" t="str">
        <x:f>IF(P83&lt;&gt;"VÁLIDO","",(SUM(F83,H83,J83,L83,N83)-5+25-SUM(G83,I83,K83,M83,O83))*2.5)</x:f>
      </x:c>
      <x:c r="R83" s="20"/>
      <x:c r="S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2" t="str">
        <x:f>IF(COUNTA(A84:O84)+COUNTA(R84:S84)=0,"",IF(AND(COUNT(F84:O84)&gt;0,OR(COUNTIF(F84:O84,"&gt;5")&gt;0,COUNTIF(F84:O84,"&lt;1")&gt;0)),"REVISAR",IF(AND(A84&lt;&gt;"",COUNTIF($A$5:$A$204,A84)&gt;1),"REVISAR",IF(AND(A84&lt;&gt;"",C84="Sí",D84="Sí",E84="Sí",COUNT(F84:O84)=10,MIN(F84:O84)&gt;=1,MAX(F84:O84)&lt;=5,R84&lt;&gt;""),"VÁLIDO","INCOMPLETO"))))</x:f>
      </x:c>
      <x:c r="Q84" s="32" t="str">
        <x:f>IF(P84&lt;&gt;"VÁLIDO","",(SUM(F84,H84,J84,L84,N84)-5+25-SUM(G84,I84,K84,M84,O84))*2.5)</x:f>
      </x:c>
      <x:c r="R84" s="20"/>
      <x:c r="S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2" t="str">
        <x:f>IF(COUNTA(A85:O85)+COUNTA(R85:S85)=0,"",IF(AND(COUNT(F85:O85)&gt;0,OR(COUNTIF(F85:O85,"&gt;5")&gt;0,COUNTIF(F85:O85,"&lt;1")&gt;0)),"REVISAR",IF(AND(A85&lt;&gt;"",COUNTIF($A$5:$A$204,A85)&gt;1),"REVISAR",IF(AND(A85&lt;&gt;"",C85="Sí",D85="Sí",E85="Sí",COUNT(F85:O85)=10,MIN(F85:O85)&gt;=1,MAX(F85:O85)&lt;=5,R85&lt;&gt;""),"VÁLIDO","INCOMPLETO"))))</x:f>
      </x:c>
      <x:c r="Q85" s="32" t="str">
        <x:f>IF(P85&lt;&gt;"VÁLIDO","",(SUM(F85,H85,J85,L85,N85)-5+25-SUM(G85,I85,K85,M85,O85))*2.5)</x:f>
      </x:c>
      <x:c r="R85" s="20"/>
      <x:c r="S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2" t="str">
        <x:f>IF(COUNTA(A86:O86)+COUNTA(R86:S86)=0,"",IF(AND(COUNT(F86:O86)&gt;0,OR(COUNTIF(F86:O86,"&gt;5")&gt;0,COUNTIF(F86:O86,"&lt;1")&gt;0)),"REVISAR",IF(AND(A86&lt;&gt;"",COUNTIF($A$5:$A$204,A86)&gt;1),"REVISAR",IF(AND(A86&lt;&gt;"",C86="Sí",D86="Sí",E86="Sí",COUNT(F86:O86)=10,MIN(F86:O86)&gt;=1,MAX(F86:O86)&lt;=5,R86&lt;&gt;""),"VÁLIDO","INCOMPLETO"))))</x:f>
      </x:c>
      <x:c r="Q86" s="32" t="str">
        <x:f>IF(P86&lt;&gt;"VÁLIDO","",(SUM(F86,H86,J86,L86,N86)-5+25-SUM(G86,I86,K86,M86,O86))*2.5)</x:f>
      </x:c>
      <x:c r="R86" s="20"/>
      <x:c r="S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2" t="str">
        <x:f>IF(COUNTA(A87:O87)+COUNTA(R87:S87)=0,"",IF(AND(COUNT(F87:O87)&gt;0,OR(COUNTIF(F87:O87,"&gt;5")&gt;0,COUNTIF(F87:O87,"&lt;1")&gt;0)),"REVISAR",IF(AND(A87&lt;&gt;"",COUNTIF($A$5:$A$204,A87)&gt;1),"REVISAR",IF(AND(A87&lt;&gt;"",C87="Sí",D87="Sí",E87="Sí",COUNT(F87:O87)=10,MIN(F87:O87)&gt;=1,MAX(F87:O87)&lt;=5,R87&lt;&gt;""),"VÁLIDO","INCOMPLETO"))))</x:f>
      </x:c>
      <x:c r="Q87" s="32" t="str">
        <x:f>IF(P87&lt;&gt;"VÁLIDO","",(SUM(F87,H87,J87,L87,N87)-5+25-SUM(G87,I87,K87,M87,O87))*2.5)</x:f>
      </x:c>
      <x:c r="R87" s="20"/>
      <x:c r="S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2" t="str">
        <x:f>IF(COUNTA(A88:O88)+COUNTA(R88:S88)=0,"",IF(AND(COUNT(F88:O88)&gt;0,OR(COUNTIF(F88:O88,"&gt;5")&gt;0,COUNTIF(F88:O88,"&lt;1")&gt;0)),"REVISAR",IF(AND(A88&lt;&gt;"",COUNTIF($A$5:$A$204,A88)&gt;1),"REVISAR",IF(AND(A88&lt;&gt;"",C88="Sí",D88="Sí",E88="Sí",COUNT(F88:O88)=10,MIN(F88:O88)&gt;=1,MAX(F88:O88)&lt;=5,R88&lt;&gt;""),"VÁLIDO","INCOMPLETO"))))</x:f>
      </x:c>
      <x:c r="Q88" s="32" t="str">
        <x:f>IF(P88&lt;&gt;"VÁLIDO","",(SUM(F88,H88,J88,L88,N88)-5+25-SUM(G88,I88,K88,M88,O88))*2.5)</x:f>
      </x:c>
      <x:c r="R88" s="20"/>
      <x:c r="S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2" t="str">
        <x:f>IF(COUNTA(A89:O89)+COUNTA(R89:S89)=0,"",IF(AND(COUNT(F89:O89)&gt;0,OR(COUNTIF(F89:O89,"&gt;5")&gt;0,COUNTIF(F89:O89,"&lt;1")&gt;0)),"REVISAR",IF(AND(A89&lt;&gt;"",COUNTIF($A$5:$A$204,A89)&gt;1),"REVISAR",IF(AND(A89&lt;&gt;"",C89="Sí",D89="Sí",E89="Sí",COUNT(F89:O89)=10,MIN(F89:O89)&gt;=1,MAX(F89:O89)&lt;=5,R89&lt;&gt;""),"VÁLIDO","INCOMPLETO"))))</x:f>
      </x:c>
      <x:c r="Q89" s="32" t="str">
        <x:f>IF(P89&lt;&gt;"VÁLIDO","",(SUM(F89,H89,J89,L89,N89)-5+25-SUM(G89,I89,K89,M89,O89))*2.5)</x:f>
      </x:c>
      <x:c r="R89" s="20"/>
      <x:c r="S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2" t="str">
        <x:f>IF(COUNTA(A90:O90)+COUNTA(R90:S90)=0,"",IF(AND(COUNT(F90:O90)&gt;0,OR(COUNTIF(F90:O90,"&gt;5")&gt;0,COUNTIF(F90:O90,"&lt;1")&gt;0)),"REVISAR",IF(AND(A90&lt;&gt;"",COUNTIF($A$5:$A$204,A90)&gt;1),"REVISAR",IF(AND(A90&lt;&gt;"",C90="Sí",D90="Sí",E90="Sí",COUNT(F90:O90)=10,MIN(F90:O90)&gt;=1,MAX(F90:O90)&lt;=5,R90&lt;&gt;""),"VÁLIDO","INCOMPLETO"))))</x:f>
      </x:c>
      <x:c r="Q90" s="32" t="str">
        <x:f>IF(P90&lt;&gt;"VÁLIDO","",(SUM(F90,H90,J90,L90,N90)-5+25-SUM(G90,I90,K90,M90,O90))*2.5)</x:f>
      </x:c>
      <x:c r="R90" s="20"/>
      <x:c r="S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2" t="str">
        <x:f>IF(COUNTA(A91:O91)+COUNTA(R91:S91)=0,"",IF(AND(COUNT(F91:O91)&gt;0,OR(COUNTIF(F91:O91,"&gt;5")&gt;0,COUNTIF(F91:O91,"&lt;1")&gt;0)),"REVISAR",IF(AND(A91&lt;&gt;"",COUNTIF($A$5:$A$204,A91)&gt;1),"REVISAR",IF(AND(A91&lt;&gt;"",C91="Sí",D91="Sí",E91="Sí",COUNT(F91:O91)=10,MIN(F91:O91)&gt;=1,MAX(F91:O91)&lt;=5,R91&lt;&gt;""),"VÁLIDO","INCOMPLETO"))))</x:f>
      </x:c>
      <x:c r="Q91" s="32" t="str">
        <x:f>IF(P91&lt;&gt;"VÁLIDO","",(SUM(F91,H91,J91,L91,N91)-5+25-SUM(G91,I91,K91,M91,O91))*2.5)</x:f>
      </x:c>
      <x:c r="R91" s="20"/>
      <x:c r="S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2" t="str">
        <x:f>IF(COUNTA(A92:O92)+COUNTA(R92:S92)=0,"",IF(AND(COUNT(F92:O92)&gt;0,OR(COUNTIF(F92:O92,"&gt;5")&gt;0,COUNTIF(F92:O92,"&lt;1")&gt;0)),"REVISAR",IF(AND(A92&lt;&gt;"",COUNTIF($A$5:$A$204,A92)&gt;1),"REVISAR",IF(AND(A92&lt;&gt;"",C92="Sí",D92="Sí",E92="Sí",COUNT(F92:O92)=10,MIN(F92:O92)&gt;=1,MAX(F92:O92)&lt;=5,R92&lt;&gt;""),"VÁLIDO","INCOMPLETO"))))</x:f>
      </x:c>
      <x:c r="Q92" s="32" t="str">
        <x:f>IF(P92&lt;&gt;"VÁLIDO","",(SUM(F92,H92,J92,L92,N92)-5+25-SUM(G92,I92,K92,M92,O92))*2.5)</x:f>
      </x:c>
      <x:c r="R92" s="20"/>
      <x:c r="S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2" t="str">
        <x:f>IF(COUNTA(A93:O93)+COUNTA(R93:S93)=0,"",IF(AND(COUNT(F93:O93)&gt;0,OR(COUNTIF(F93:O93,"&gt;5")&gt;0,COUNTIF(F93:O93,"&lt;1")&gt;0)),"REVISAR",IF(AND(A93&lt;&gt;"",COUNTIF($A$5:$A$204,A93)&gt;1),"REVISAR",IF(AND(A93&lt;&gt;"",C93="Sí",D93="Sí",E93="Sí",COUNT(F93:O93)=10,MIN(F93:O93)&gt;=1,MAX(F93:O93)&lt;=5,R93&lt;&gt;""),"VÁLIDO","INCOMPLETO"))))</x:f>
      </x:c>
      <x:c r="Q93" s="32" t="str">
        <x:f>IF(P93&lt;&gt;"VÁLIDO","",(SUM(F93,H93,J93,L93,N93)-5+25-SUM(G93,I93,K93,M93,O93))*2.5)</x:f>
      </x:c>
      <x:c r="R93" s="20"/>
      <x:c r="S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2" t="str">
        <x:f>IF(COUNTA(A94:O94)+COUNTA(R94:S94)=0,"",IF(AND(COUNT(F94:O94)&gt;0,OR(COUNTIF(F94:O94,"&gt;5")&gt;0,COUNTIF(F94:O94,"&lt;1")&gt;0)),"REVISAR",IF(AND(A94&lt;&gt;"",COUNTIF($A$5:$A$204,A94)&gt;1),"REVISAR",IF(AND(A94&lt;&gt;"",C94="Sí",D94="Sí",E94="Sí",COUNT(F94:O94)=10,MIN(F94:O94)&gt;=1,MAX(F94:O94)&lt;=5,R94&lt;&gt;""),"VÁLIDO","INCOMPLETO"))))</x:f>
      </x:c>
      <x:c r="Q94" s="32" t="str">
        <x:f>IF(P94&lt;&gt;"VÁLIDO","",(SUM(F94,H94,J94,L94,N94)-5+25-SUM(G94,I94,K94,M94,O94))*2.5)</x:f>
      </x:c>
      <x:c r="R94" s="20"/>
      <x:c r="S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2" t="str">
        <x:f>IF(COUNTA(A95:O95)+COUNTA(R95:S95)=0,"",IF(AND(COUNT(F95:O95)&gt;0,OR(COUNTIF(F95:O95,"&gt;5")&gt;0,COUNTIF(F95:O95,"&lt;1")&gt;0)),"REVISAR",IF(AND(A95&lt;&gt;"",COUNTIF($A$5:$A$204,A95)&gt;1),"REVISAR",IF(AND(A95&lt;&gt;"",C95="Sí",D95="Sí",E95="Sí",COUNT(F95:O95)=10,MIN(F95:O95)&gt;=1,MAX(F95:O95)&lt;=5,R95&lt;&gt;""),"VÁLIDO","INCOMPLETO"))))</x:f>
      </x:c>
      <x:c r="Q95" s="32" t="str">
        <x:f>IF(P95&lt;&gt;"VÁLIDO","",(SUM(F95,H95,J95,L95,N95)-5+25-SUM(G95,I95,K95,M95,O95))*2.5)</x:f>
      </x:c>
      <x:c r="R95" s="20"/>
      <x:c r="S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2" t="str">
        <x:f>IF(COUNTA(A96:O96)+COUNTA(R96:S96)=0,"",IF(AND(COUNT(F96:O96)&gt;0,OR(COUNTIF(F96:O96,"&gt;5")&gt;0,COUNTIF(F96:O96,"&lt;1")&gt;0)),"REVISAR",IF(AND(A96&lt;&gt;"",COUNTIF($A$5:$A$204,A96)&gt;1),"REVISAR",IF(AND(A96&lt;&gt;"",C96="Sí",D96="Sí",E96="Sí",COUNT(F96:O96)=10,MIN(F96:O96)&gt;=1,MAX(F96:O96)&lt;=5,R96&lt;&gt;""),"VÁLIDO","INCOMPLETO"))))</x:f>
      </x:c>
      <x:c r="Q96" s="32" t="str">
        <x:f>IF(P96&lt;&gt;"VÁLIDO","",(SUM(F96,H96,J96,L96,N96)-5+25-SUM(G96,I96,K96,M96,O96))*2.5)</x:f>
      </x:c>
      <x:c r="R96" s="20"/>
      <x:c r="S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2" t="str">
        <x:f>IF(COUNTA(A97:O97)+COUNTA(R97:S97)=0,"",IF(AND(COUNT(F97:O97)&gt;0,OR(COUNTIF(F97:O97,"&gt;5")&gt;0,COUNTIF(F97:O97,"&lt;1")&gt;0)),"REVISAR",IF(AND(A97&lt;&gt;"",COUNTIF($A$5:$A$204,A97)&gt;1),"REVISAR",IF(AND(A97&lt;&gt;"",C97="Sí",D97="Sí",E97="Sí",COUNT(F97:O97)=10,MIN(F97:O97)&gt;=1,MAX(F97:O97)&lt;=5,R97&lt;&gt;""),"VÁLIDO","INCOMPLETO"))))</x:f>
      </x:c>
      <x:c r="Q97" s="32" t="str">
        <x:f>IF(P97&lt;&gt;"VÁLIDO","",(SUM(F97,H97,J97,L97,N97)-5+25-SUM(G97,I97,K97,M97,O97))*2.5)</x:f>
      </x:c>
      <x:c r="R97" s="20"/>
      <x:c r="S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2" t="str">
        <x:f>IF(COUNTA(A98:O98)+COUNTA(R98:S98)=0,"",IF(AND(COUNT(F98:O98)&gt;0,OR(COUNTIF(F98:O98,"&gt;5")&gt;0,COUNTIF(F98:O98,"&lt;1")&gt;0)),"REVISAR",IF(AND(A98&lt;&gt;"",COUNTIF($A$5:$A$204,A98)&gt;1),"REVISAR",IF(AND(A98&lt;&gt;"",C98="Sí",D98="Sí",E98="Sí",COUNT(F98:O98)=10,MIN(F98:O98)&gt;=1,MAX(F98:O98)&lt;=5,R98&lt;&gt;""),"VÁLIDO","INCOMPLETO"))))</x:f>
      </x:c>
      <x:c r="Q98" s="32" t="str">
        <x:f>IF(P98&lt;&gt;"VÁLIDO","",(SUM(F98,H98,J98,L98,N98)-5+25-SUM(G98,I98,K98,M98,O98))*2.5)</x:f>
      </x:c>
      <x:c r="R98" s="20"/>
      <x:c r="S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2" t="str">
        <x:f>IF(COUNTA(A99:O99)+COUNTA(R99:S99)=0,"",IF(AND(COUNT(F99:O99)&gt;0,OR(COUNTIF(F99:O99,"&gt;5")&gt;0,COUNTIF(F99:O99,"&lt;1")&gt;0)),"REVISAR",IF(AND(A99&lt;&gt;"",COUNTIF($A$5:$A$204,A99)&gt;1),"REVISAR",IF(AND(A99&lt;&gt;"",C99="Sí",D99="Sí",E99="Sí",COUNT(F99:O99)=10,MIN(F99:O99)&gt;=1,MAX(F99:O99)&lt;=5,R99&lt;&gt;""),"VÁLIDO","INCOMPLETO"))))</x:f>
      </x:c>
      <x:c r="Q99" s="32" t="str">
        <x:f>IF(P99&lt;&gt;"VÁLIDO","",(SUM(F99,H99,J99,L99,N99)-5+25-SUM(G99,I99,K99,M99,O99))*2.5)</x:f>
      </x:c>
      <x:c r="R99" s="20"/>
      <x:c r="S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2" t="str">
        <x:f>IF(COUNTA(A100:O100)+COUNTA(R100:S100)=0,"",IF(AND(COUNT(F100:O100)&gt;0,OR(COUNTIF(F100:O100,"&gt;5")&gt;0,COUNTIF(F100:O100,"&lt;1")&gt;0)),"REVISAR",IF(AND(A100&lt;&gt;"",COUNTIF($A$5:$A$204,A100)&gt;1),"REVISAR",IF(AND(A100&lt;&gt;"",C100="Sí",D100="Sí",E100="Sí",COUNT(F100:O100)=10,MIN(F100:O100)&gt;=1,MAX(F100:O100)&lt;=5,R100&lt;&gt;""),"VÁLIDO","INCOMPLETO"))))</x:f>
      </x:c>
      <x:c r="Q100" s="32" t="str">
        <x:f>IF(P100&lt;&gt;"VÁLIDO","",(SUM(F100,H100,J100,L100,N100)-5+25-SUM(G100,I100,K100,M100,O100))*2.5)</x:f>
      </x:c>
      <x:c r="R100" s="20"/>
      <x:c r="S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2" t="str">
        <x:f>IF(COUNTA(A101:O101)+COUNTA(R101:S101)=0,"",IF(AND(COUNT(F101:O101)&gt;0,OR(COUNTIF(F101:O101,"&gt;5")&gt;0,COUNTIF(F101:O101,"&lt;1")&gt;0)),"REVISAR",IF(AND(A101&lt;&gt;"",COUNTIF($A$5:$A$204,A101)&gt;1),"REVISAR",IF(AND(A101&lt;&gt;"",C101="Sí",D101="Sí",E101="Sí",COUNT(F101:O101)=10,MIN(F101:O101)&gt;=1,MAX(F101:O101)&lt;=5,R101&lt;&gt;""),"VÁLIDO","INCOMPLETO"))))</x:f>
      </x:c>
      <x:c r="Q101" s="32" t="str">
        <x:f>IF(P101&lt;&gt;"VÁLIDO","",(SUM(F101,H101,J101,L101,N101)-5+25-SUM(G101,I101,K101,M101,O101))*2.5)</x:f>
      </x:c>
      <x:c r="R101" s="20"/>
      <x:c r="S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2" t="str">
        <x:f>IF(COUNTA(A102:O102)+COUNTA(R102:S102)=0,"",IF(AND(COUNT(F102:O102)&gt;0,OR(COUNTIF(F102:O102,"&gt;5")&gt;0,COUNTIF(F102:O102,"&lt;1")&gt;0)),"REVISAR",IF(AND(A102&lt;&gt;"",COUNTIF($A$5:$A$204,A102)&gt;1),"REVISAR",IF(AND(A102&lt;&gt;"",C102="Sí",D102="Sí",E102="Sí",COUNT(F102:O102)=10,MIN(F102:O102)&gt;=1,MAX(F102:O102)&lt;=5,R102&lt;&gt;""),"VÁLIDO","INCOMPLETO"))))</x:f>
      </x:c>
      <x:c r="Q102" s="32" t="str">
        <x:f>IF(P102&lt;&gt;"VÁLIDO","",(SUM(F102,H102,J102,L102,N102)-5+25-SUM(G102,I102,K102,M102,O102))*2.5)</x:f>
      </x:c>
      <x:c r="R102" s="20"/>
      <x:c r="S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2" t="str">
        <x:f>IF(COUNTA(A103:O103)+COUNTA(R103:S103)=0,"",IF(AND(COUNT(F103:O103)&gt;0,OR(COUNTIF(F103:O103,"&gt;5")&gt;0,COUNTIF(F103:O103,"&lt;1")&gt;0)),"REVISAR",IF(AND(A103&lt;&gt;"",COUNTIF($A$5:$A$204,A103)&gt;1),"REVISAR",IF(AND(A103&lt;&gt;"",C103="Sí",D103="Sí",E103="Sí",COUNT(F103:O103)=10,MIN(F103:O103)&gt;=1,MAX(F103:O103)&lt;=5,R103&lt;&gt;""),"VÁLIDO","INCOMPLETO"))))</x:f>
      </x:c>
      <x:c r="Q103" s="32" t="str">
        <x:f>IF(P103&lt;&gt;"VÁLIDO","",(SUM(F103,H103,J103,L103,N103)-5+25-SUM(G103,I103,K103,M103,O103))*2.5)</x:f>
      </x:c>
      <x:c r="R103" s="20"/>
      <x:c r="S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2" t="str">
        <x:f>IF(COUNTA(A104:O104)+COUNTA(R104:S104)=0,"",IF(AND(COUNT(F104:O104)&gt;0,OR(COUNTIF(F104:O104,"&gt;5")&gt;0,COUNTIF(F104:O104,"&lt;1")&gt;0)),"REVISAR",IF(AND(A104&lt;&gt;"",COUNTIF($A$5:$A$204,A104)&gt;1),"REVISAR",IF(AND(A104&lt;&gt;"",C104="Sí",D104="Sí",E104="Sí",COUNT(F104:O104)=10,MIN(F104:O104)&gt;=1,MAX(F104:O104)&lt;=5,R104&lt;&gt;""),"VÁLIDO","INCOMPLETO"))))</x:f>
      </x:c>
      <x:c r="Q104" s="32" t="str">
        <x:f>IF(P104&lt;&gt;"VÁLIDO","",(SUM(F104,H104,J104,L104,N104)-5+25-SUM(G104,I104,K104,M104,O104))*2.5)</x:f>
      </x:c>
      <x:c r="R104" s="20"/>
      <x:c r="S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2" t="str">
        <x:f>IF(COUNTA(A105:O105)+COUNTA(R105:S105)=0,"",IF(AND(COUNT(F105:O105)&gt;0,OR(COUNTIF(F105:O105,"&gt;5")&gt;0,COUNTIF(F105:O105,"&lt;1")&gt;0)),"REVISAR",IF(AND(A105&lt;&gt;"",COUNTIF($A$5:$A$204,A105)&gt;1),"REVISAR",IF(AND(A105&lt;&gt;"",C105="Sí",D105="Sí",E105="Sí",COUNT(F105:O105)=10,MIN(F105:O105)&gt;=1,MAX(F105:O105)&lt;=5,R105&lt;&gt;""),"VÁLIDO","INCOMPLETO"))))</x:f>
      </x:c>
      <x:c r="Q105" s="32" t="str">
        <x:f>IF(P105&lt;&gt;"VÁLIDO","",(SUM(F105,H105,J105,L105,N105)-5+25-SUM(G105,I105,K105,M105,O105))*2.5)</x:f>
      </x:c>
      <x:c r="R105" s="20"/>
      <x:c r="S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2" t="str">
        <x:f>IF(COUNTA(A106:O106)+COUNTA(R106:S106)=0,"",IF(AND(COUNT(F106:O106)&gt;0,OR(COUNTIF(F106:O106,"&gt;5")&gt;0,COUNTIF(F106:O106,"&lt;1")&gt;0)),"REVISAR",IF(AND(A106&lt;&gt;"",COUNTIF($A$5:$A$204,A106)&gt;1),"REVISAR",IF(AND(A106&lt;&gt;"",C106="Sí",D106="Sí",E106="Sí",COUNT(F106:O106)=10,MIN(F106:O106)&gt;=1,MAX(F106:O106)&lt;=5,R106&lt;&gt;""),"VÁLIDO","INCOMPLETO"))))</x:f>
      </x:c>
      <x:c r="Q106" s="32" t="str">
        <x:f>IF(P106&lt;&gt;"VÁLIDO","",(SUM(F106,H106,J106,L106,N106)-5+25-SUM(G106,I106,K106,M106,O106))*2.5)</x:f>
      </x:c>
      <x:c r="R106" s="20"/>
      <x:c r="S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2" t="str">
        <x:f>IF(COUNTA(A107:O107)+COUNTA(R107:S107)=0,"",IF(AND(COUNT(F107:O107)&gt;0,OR(COUNTIF(F107:O107,"&gt;5")&gt;0,COUNTIF(F107:O107,"&lt;1")&gt;0)),"REVISAR",IF(AND(A107&lt;&gt;"",COUNTIF($A$5:$A$204,A107)&gt;1),"REVISAR",IF(AND(A107&lt;&gt;"",C107="Sí",D107="Sí",E107="Sí",COUNT(F107:O107)=10,MIN(F107:O107)&gt;=1,MAX(F107:O107)&lt;=5,R107&lt;&gt;""),"VÁLIDO","INCOMPLETO"))))</x:f>
      </x:c>
      <x:c r="Q107" s="32" t="str">
        <x:f>IF(P107&lt;&gt;"VÁLIDO","",(SUM(F107,H107,J107,L107,N107)-5+25-SUM(G107,I107,K107,M107,O107))*2.5)</x:f>
      </x:c>
      <x:c r="R107" s="20"/>
      <x:c r="S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2" t="str">
        <x:f>IF(COUNTA(A108:O108)+COUNTA(R108:S108)=0,"",IF(AND(COUNT(F108:O108)&gt;0,OR(COUNTIF(F108:O108,"&gt;5")&gt;0,COUNTIF(F108:O108,"&lt;1")&gt;0)),"REVISAR",IF(AND(A108&lt;&gt;"",COUNTIF($A$5:$A$204,A108)&gt;1),"REVISAR",IF(AND(A108&lt;&gt;"",C108="Sí",D108="Sí",E108="Sí",COUNT(F108:O108)=10,MIN(F108:O108)&gt;=1,MAX(F108:O108)&lt;=5,R108&lt;&gt;""),"VÁLIDO","INCOMPLETO"))))</x:f>
      </x:c>
      <x:c r="Q108" s="32" t="str">
        <x:f>IF(P108&lt;&gt;"VÁLIDO","",(SUM(F108,H108,J108,L108,N108)-5+25-SUM(G108,I108,K108,M108,O108))*2.5)</x:f>
      </x:c>
      <x:c r="R108" s="20"/>
      <x:c r="S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2" t="str">
        <x:f>IF(COUNTA(A109:O109)+COUNTA(R109:S109)=0,"",IF(AND(COUNT(F109:O109)&gt;0,OR(COUNTIF(F109:O109,"&gt;5")&gt;0,COUNTIF(F109:O109,"&lt;1")&gt;0)),"REVISAR",IF(AND(A109&lt;&gt;"",COUNTIF($A$5:$A$204,A109)&gt;1),"REVISAR",IF(AND(A109&lt;&gt;"",C109="Sí",D109="Sí",E109="Sí",COUNT(F109:O109)=10,MIN(F109:O109)&gt;=1,MAX(F109:O109)&lt;=5,R109&lt;&gt;""),"VÁLIDO","INCOMPLETO"))))</x:f>
      </x:c>
      <x:c r="Q109" s="32" t="str">
        <x:f>IF(P109&lt;&gt;"VÁLIDO","",(SUM(F109,H109,J109,L109,N109)-5+25-SUM(G109,I109,K109,M109,O109))*2.5)</x:f>
      </x:c>
      <x:c r="R109" s="20"/>
      <x:c r="S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2" t="str">
        <x:f>IF(COUNTA(A110:O110)+COUNTA(R110:S110)=0,"",IF(AND(COUNT(F110:O110)&gt;0,OR(COUNTIF(F110:O110,"&gt;5")&gt;0,COUNTIF(F110:O110,"&lt;1")&gt;0)),"REVISAR",IF(AND(A110&lt;&gt;"",COUNTIF($A$5:$A$204,A110)&gt;1),"REVISAR",IF(AND(A110&lt;&gt;"",C110="Sí",D110="Sí",E110="Sí",COUNT(F110:O110)=10,MIN(F110:O110)&gt;=1,MAX(F110:O110)&lt;=5,R110&lt;&gt;""),"VÁLIDO","INCOMPLETO"))))</x:f>
      </x:c>
      <x:c r="Q110" s="32" t="str">
        <x:f>IF(P110&lt;&gt;"VÁLIDO","",(SUM(F110,H110,J110,L110,N110)-5+25-SUM(G110,I110,K110,M110,O110))*2.5)</x:f>
      </x:c>
      <x:c r="R110" s="20"/>
      <x:c r="S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2" t="str">
        <x:f>IF(COUNTA(A111:O111)+COUNTA(R111:S111)=0,"",IF(AND(COUNT(F111:O111)&gt;0,OR(COUNTIF(F111:O111,"&gt;5")&gt;0,COUNTIF(F111:O111,"&lt;1")&gt;0)),"REVISAR",IF(AND(A111&lt;&gt;"",COUNTIF($A$5:$A$204,A111)&gt;1),"REVISAR",IF(AND(A111&lt;&gt;"",C111="Sí",D111="Sí",E111="Sí",COUNT(F111:O111)=10,MIN(F111:O111)&gt;=1,MAX(F111:O111)&lt;=5,R111&lt;&gt;""),"VÁLIDO","INCOMPLETO"))))</x:f>
      </x:c>
      <x:c r="Q111" s="32" t="str">
        <x:f>IF(P111&lt;&gt;"VÁLIDO","",(SUM(F111,H111,J111,L111,N111)-5+25-SUM(G111,I111,K111,M111,O111))*2.5)</x:f>
      </x:c>
      <x:c r="R111" s="20"/>
      <x:c r="S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2" t="str">
        <x:f>IF(COUNTA(A112:O112)+COUNTA(R112:S112)=0,"",IF(AND(COUNT(F112:O112)&gt;0,OR(COUNTIF(F112:O112,"&gt;5")&gt;0,COUNTIF(F112:O112,"&lt;1")&gt;0)),"REVISAR",IF(AND(A112&lt;&gt;"",COUNTIF($A$5:$A$204,A112)&gt;1),"REVISAR",IF(AND(A112&lt;&gt;"",C112="Sí",D112="Sí",E112="Sí",COUNT(F112:O112)=10,MIN(F112:O112)&gt;=1,MAX(F112:O112)&lt;=5,R112&lt;&gt;""),"VÁLIDO","INCOMPLETO"))))</x:f>
      </x:c>
      <x:c r="Q112" s="32" t="str">
        <x:f>IF(P112&lt;&gt;"VÁLIDO","",(SUM(F112,H112,J112,L112,N112)-5+25-SUM(G112,I112,K112,M112,O112))*2.5)</x:f>
      </x:c>
      <x:c r="R112" s="20"/>
      <x:c r="S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2" t="str">
        <x:f>IF(COUNTA(A113:O113)+COUNTA(R113:S113)=0,"",IF(AND(COUNT(F113:O113)&gt;0,OR(COUNTIF(F113:O113,"&gt;5")&gt;0,COUNTIF(F113:O113,"&lt;1")&gt;0)),"REVISAR",IF(AND(A113&lt;&gt;"",COUNTIF($A$5:$A$204,A113)&gt;1),"REVISAR",IF(AND(A113&lt;&gt;"",C113="Sí",D113="Sí",E113="Sí",COUNT(F113:O113)=10,MIN(F113:O113)&gt;=1,MAX(F113:O113)&lt;=5,R113&lt;&gt;""),"VÁLIDO","INCOMPLETO"))))</x:f>
      </x:c>
      <x:c r="Q113" s="32" t="str">
        <x:f>IF(P113&lt;&gt;"VÁLIDO","",(SUM(F113,H113,J113,L113,N113)-5+25-SUM(G113,I113,K113,M113,O113))*2.5)</x:f>
      </x:c>
      <x:c r="R113" s="20"/>
      <x:c r="S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2" t="str">
        <x:f>IF(COUNTA(A114:O114)+COUNTA(R114:S114)=0,"",IF(AND(COUNT(F114:O114)&gt;0,OR(COUNTIF(F114:O114,"&gt;5")&gt;0,COUNTIF(F114:O114,"&lt;1")&gt;0)),"REVISAR",IF(AND(A114&lt;&gt;"",COUNTIF($A$5:$A$204,A114)&gt;1),"REVISAR",IF(AND(A114&lt;&gt;"",C114="Sí",D114="Sí",E114="Sí",COUNT(F114:O114)=10,MIN(F114:O114)&gt;=1,MAX(F114:O114)&lt;=5,R114&lt;&gt;""),"VÁLIDO","INCOMPLETO"))))</x:f>
      </x:c>
      <x:c r="Q114" s="32" t="str">
        <x:f>IF(P114&lt;&gt;"VÁLIDO","",(SUM(F114,H114,J114,L114,N114)-5+25-SUM(G114,I114,K114,M114,O114))*2.5)</x:f>
      </x:c>
      <x:c r="R114" s="20"/>
      <x:c r="S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2" t="str">
        <x:f>IF(COUNTA(A115:O115)+COUNTA(R115:S115)=0,"",IF(AND(COUNT(F115:O115)&gt;0,OR(COUNTIF(F115:O115,"&gt;5")&gt;0,COUNTIF(F115:O115,"&lt;1")&gt;0)),"REVISAR",IF(AND(A115&lt;&gt;"",COUNTIF($A$5:$A$204,A115)&gt;1),"REVISAR",IF(AND(A115&lt;&gt;"",C115="Sí",D115="Sí",E115="Sí",COUNT(F115:O115)=10,MIN(F115:O115)&gt;=1,MAX(F115:O115)&lt;=5,R115&lt;&gt;""),"VÁLIDO","INCOMPLETO"))))</x:f>
      </x:c>
      <x:c r="Q115" s="32" t="str">
        <x:f>IF(P115&lt;&gt;"VÁLIDO","",(SUM(F115,H115,J115,L115,N115)-5+25-SUM(G115,I115,K115,M115,O115))*2.5)</x:f>
      </x:c>
      <x:c r="R115" s="20"/>
      <x:c r="S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2" t="str">
        <x:f>IF(COUNTA(A116:O116)+COUNTA(R116:S116)=0,"",IF(AND(COUNT(F116:O116)&gt;0,OR(COUNTIF(F116:O116,"&gt;5")&gt;0,COUNTIF(F116:O116,"&lt;1")&gt;0)),"REVISAR",IF(AND(A116&lt;&gt;"",COUNTIF($A$5:$A$204,A116)&gt;1),"REVISAR",IF(AND(A116&lt;&gt;"",C116="Sí",D116="Sí",E116="Sí",COUNT(F116:O116)=10,MIN(F116:O116)&gt;=1,MAX(F116:O116)&lt;=5,R116&lt;&gt;""),"VÁLIDO","INCOMPLETO"))))</x:f>
      </x:c>
      <x:c r="Q116" s="32" t="str">
        <x:f>IF(P116&lt;&gt;"VÁLIDO","",(SUM(F116,H116,J116,L116,N116)-5+25-SUM(G116,I116,K116,M116,O116))*2.5)</x:f>
      </x:c>
      <x:c r="R116" s="20"/>
      <x:c r="S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2" t="str">
        <x:f>IF(COUNTA(A117:O117)+COUNTA(R117:S117)=0,"",IF(AND(COUNT(F117:O117)&gt;0,OR(COUNTIF(F117:O117,"&gt;5")&gt;0,COUNTIF(F117:O117,"&lt;1")&gt;0)),"REVISAR",IF(AND(A117&lt;&gt;"",COUNTIF($A$5:$A$204,A117)&gt;1),"REVISAR",IF(AND(A117&lt;&gt;"",C117="Sí",D117="Sí",E117="Sí",COUNT(F117:O117)=10,MIN(F117:O117)&gt;=1,MAX(F117:O117)&lt;=5,R117&lt;&gt;""),"VÁLIDO","INCOMPLETO"))))</x:f>
      </x:c>
      <x:c r="Q117" s="32" t="str">
        <x:f>IF(P117&lt;&gt;"VÁLIDO","",(SUM(F117,H117,J117,L117,N117)-5+25-SUM(G117,I117,K117,M117,O117))*2.5)</x:f>
      </x:c>
      <x:c r="R117" s="20"/>
      <x:c r="S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2" t="str">
        <x:f>IF(COUNTA(A118:O118)+COUNTA(R118:S118)=0,"",IF(AND(COUNT(F118:O118)&gt;0,OR(COUNTIF(F118:O118,"&gt;5")&gt;0,COUNTIF(F118:O118,"&lt;1")&gt;0)),"REVISAR",IF(AND(A118&lt;&gt;"",COUNTIF($A$5:$A$204,A118)&gt;1),"REVISAR",IF(AND(A118&lt;&gt;"",C118="Sí",D118="Sí",E118="Sí",COUNT(F118:O118)=10,MIN(F118:O118)&gt;=1,MAX(F118:O118)&lt;=5,R118&lt;&gt;""),"VÁLIDO","INCOMPLETO"))))</x:f>
      </x:c>
      <x:c r="Q118" s="32" t="str">
        <x:f>IF(P118&lt;&gt;"VÁLIDO","",(SUM(F118,H118,J118,L118,N118)-5+25-SUM(G118,I118,K118,M118,O118))*2.5)</x:f>
      </x:c>
      <x:c r="R118" s="20"/>
      <x:c r="S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2" t="str">
        <x:f>IF(COUNTA(A119:O119)+COUNTA(R119:S119)=0,"",IF(AND(COUNT(F119:O119)&gt;0,OR(COUNTIF(F119:O119,"&gt;5")&gt;0,COUNTIF(F119:O119,"&lt;1")&gt;0)),"REVISAR",IF(AND(A119&lt;&gt;"",COUNTIF($A$5:$A$204,A119)&gt;1),"REVISAR",IF(AND(A119&lt;&gt;"",C119="Sí",D119="Sí",E119="Sí",COUNT(F119:O119)=10,MIN(F119:O119)&gt;=1,MAX(F119:O119)&lt;=5,R119&lt;&gt;""),"VÁLIDO","INCOMPLETO"))))</x:f>
      </x:c>
      <x:c r="Q119" s="32" t="str">
        <x:f>IF(P119&lt;&gt;"VÁLIDO","",(SUM(F119,H119,J119,L119,N119)-5+25-SUM(G119,I119,K119,M119,O119))*2.5)</x:f>
      </x:c>
      <x:c r="R119" s="20"/>
      <x:c r="S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2" t="str">
        <x:f>IF(COUNTA(A120:O120)+COUNTA(R120:S120)=0,"",IF(AND(COUNT(F120:O120)&gt;0,OR(COUNTIF(F120:O120,"&gt;5")&gt;0,COUNTIF(F120:O120,"&lt;1")&gt;0)),"REVISAR",IF(AND(A120&lt;&gt;"",COUNTIF($A$5:$A$204,A120)&gt;1),"REVISAR",IF(AND(A120&lt;&gt;"",C120="Sí",D120="Sí",E120="Sí",COUNT(F120:O120)=10,MIN(F120:O120)&gt;=1,MAX(F120:O120)&lt;=5,R120&lt;&gt;""),"VÁLIDO","INCOMPLETO"))))</x:f>
      </x:c>
      <x:c r="Q120" s="32" t="str">
        <x:f>IF(P120&lt;&gt;"VÁLIDO","",(SUM(F120,H120,J120,L120,N120)-5+25-SUM(G120,I120,K120,M120,O120))*2.5)</x:f>
      </x:c>
      <x:c r="R120" s="20"/>
      <x:c r="S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2" t="str">
        <x:f>IF(COUNTA(A121:O121)+COUNTA(R121:S121)=0,"",IF(AND(COUNT(F121:O121)&gt;0,OR(COUNTIF(F121:O121,"&gt;5")&gt;0,COUNTIF(F121:O121,"&lt;1")&gt;0)),"REVISAR",IF(AND(A121&lt;&gt;"",COUNTIF($A$5:$A$204,A121)&gt;1),"REVISAR",IF(AND(A121&lt;&gt;"",C121="Sí",D121="Sí",E121="Sí",COUNT(F121:O121)=10,MIN(F121:O121)&gt;=1,MAX(F121:O121)&lt;=5,R121&lt;&gt;""),"VÁLIDO","INCOMPLETO"))))</x:f>
      </x:c>
      <x:c r="Q121" s="32" t="str">
        <x:f>IF(P121&lt;&gt;"VÁLIDO","",(SUM(F121,H121,J121,L121,N121)-5+25-SUM(G121,I121,K121,M121,O121))*2.5)</x:f>
      </x:c>
      <x:c r="R121" s="20"/>
      <x:c r="S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2" t="str">
        <x:f>IF(COUNTA(A122:O122)+COUNTA(R122:S122)=0,"",IF(AND(COUNT(F122:O122)&gt;0,OR(COUNTIF(F122:O122,"&gt;5")&gt;0,COUNTIF(F122:O122,"&lt;1")&gt;0)),"REVISAR",IF(AND(A122&lt;&gt;"",COUNTIF($A$5:$A$204,A122)&gt;1),"REVISAR",IF(AND(A122&lt;&gt;"",C122="Sí",D122="Sí",E122="Sí",COUNT(F122:O122)=10,MIN(F122:O122)&gt;=1,MAX(F122:O122)&lt;=5,R122&lt;&gt;""),"VÁLIDO","INCOMPLETO"))))</x:f>
      </x:c>
      <x:c r="Q122" s="32" t="str">
        <x:f>IF(P122&lt;&gt;"VÁLIDO","",(SUM(F122,H122,J122,L122,N122)-5+25-SUM(G122,I122,K122,M122,O122))*2.5)</x:f>
      </x:c>
      <x:c r="R122" s="20"/>
      <x:c r="S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2" t="str">
        <x:f>IF(COUNTA(A123:O123)+COUNTA(R123:S123)=0,"",IF(AND(COUNT(F123:O123)&gt;0,OR(COUNTIF(F123:O123,"&gt;5")&gt;0,COUNTIF(F123:O123,"&lt;1")&gt;0)),"REVISAR",IF(AND(A123&lt;&gt;"",COUNTIF($A$5:$A$204,A123)&gt;1),"REVISAR",IF(AND(A123&lt;&gt;"",C123="Sí",D123="Sí",E123="Sí",COUNT(F123:O123)=10,MIN(F123:O123)&gt;=1,MAX(F123:O123)&lt;=5,R123&lt;&gt;""),"VÁLIDO","INCOMPLETO"))))</x:f>
      </x:c>
      <x:c r="Q123" s="32" t="str">
        <x:f>IF(P123&lt;&gt;"VÁLIDO","",(SUM(F123,H123,J123,L123,N123)-5+25-SUM(G123,I123,K123,M123,O123))*2.5)</x:f>
      </x:c>
      <x:c r="R123" s="20"/>
      <x:c r="S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2" t="str">
        <x:f>IF(COUNTA(A124:O124)+COUNTA(R124:S124)=0,"",IF(AND(COUNT(F124:O124)&gt;0,OR(COUNTIF(F124:O124,"&gt;5")&gt;0,COUNTIF(F124:O124,"&lt;1")&gt;0)),"REVISAR",IF(AND(A124&lt;&gt;"",COUNTIF($A$5:$A$204,A124)&gt;1),"REVISAR",IF(AND(A124&lt;&gt;"",C124="Sí",D124="Sí",E124="Sí",COUNT(F124:O124)=10,MIN(F124:O124)&gt;=1,MAX(F124:O124)&lt;=5,R124&lt;&gt;""),"VÁLIDO","INCOMPLETO"))))</x:f>
      </x:c>
      <x:c r="Q124" s="32" t="str">
        <x:f>IF(P124&lt;&gt;"VÁLIDO","",(SUM(F124,H124,J124,L124,N124)-5+25-SUM(G124,I124,K124,M124,O124))*2.5)</x:f>
      </x:c>
      <x:c r="R124" s="20"/>
      <x:c r="S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2" t="str">
        <x:f>IF(COUNTA(A125:O125)+COUNTA(R125:S125)=0,"",IF(AND(COUNT(F125:O125)&gt;0,OR(COUNTIF(F125:O125,"&gt;5")&gt;0,COUNTIF(F125:O125,"&lt;1")&gt;0)),"REVISAR",IF(AND(A125&lt;&gt;"",COUNTIF($A$5:$A$204,A125)&gt;1),"REVISAR",IF(AND(A125&lt;&gt;"",C125="Sí",D125="Sí",E125="Sí",COUNT(F125:O125)=10,MIN(F125:O125)&gt;=1,MAX(F125:O125)&lt;=5,R125&lt;&gt;""),"VÁLIDO","INCOMPLETO"))))</x:f>
      </x:c>
      <x:c r="Q125" s="32" t="str">
        <x:f>IF(P125&lt;&gt;"VÁLIDO","",(SUM(F125,H125,J125,L125,N125)-5+25-SUM(G125,I125,K125,M125,O125))*2.5)</x:f>
      </x:c>
      <x:c r="R125" s="20"/>
      <x:c r="S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2" t="str">
        <x:f>IF(COUNTA(A126:O126)+COUNTA(R126:S126)=0,"",IF(AND(COUNT(F126:O126)&gt;0,OR(COUNTIF(F126:O126,"&gt;5")&gt;0,COUNTIF(F126:O126,"&lt;1")&gt;0)),"REVISAR",IF(AND(A126&lt;&gt;"",COUNTIF($A$5:$A$204,A126)&gt;1),"REVISAR",IF(AND(A126&lt;&gt;"",C126="Sí",D126="Sí",E126="Sí",COUNT(F126:O126)=10,MIN(F126:O126)&gt;=1,MAX(F126:O126)&lt;=5,R126&lt;&gt;""),"VÁLIDO","INCOMPLETO"))))</x:f>
      </x:c>
      <x:c r="Q126" s="32" t="str">
        <x:f>IF(P126&lt;&gt;"VÁLIDO","",(SUM(F126,H126,J126,L126,N126)-5+25-SUM(G126,I126,K126,M126,O126))*2.5)</x:f>
      </x:c>
      <x:c r="R126" s="20"/>
      <x:c r="S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2" t="str">
        <x:f>IF(COUNTA(A127:O127)+COUNTA(R127:S127)=0,"",IF(AND(COUNT(F127:O127)&gt;0,OR(COUNTIF(F127:O127,"&gt;5")&gt;0,COUNTIF(F127:O127,"&lt;1")&gt;0)),"REVISAR",IF(AND(A127&lt;&gt;"",COUNTIF($A$5:$A$204,A127)&gt;1),"REVISAR",IF(AND(A127&lt;&gt;"",C127="Sí",D127="Sí",E127="Sí",COUNT(F127:O127)=10,MIN(F127:O127)&gt;=1,MAX(F127:O127)&lt;=5,R127&lt;&gt;""),"VÁLIDO","INCOMPLETO"))))</x:f>
      </x:c>
      <x:c r="Q127" s="32" t="str">
        <x:f>IF(P127&lt;&gt;"VÁLIDO","",(SUM(F127,H127,J127,L127,N127)-5+25-SUM(G127,I127,K127,M127,O127))*2.5)</x:f>
      </x:c>
      <x:c r="R127" s="20"/>
      <x:c r="S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2" t="str">
        <x:f>IF(COUNTA(A128:O128)+COUNTA(R128:S128)=0,"",IF(AND(COUNT(F128:O128)&gt;0,OR(COUNTIF(F128:O128,"&gt;5")&gt;0,COUNTIF(F128:O128,"&lt;1")&gt;0)),"REVISAR",IF(AND(A128&lt;&gt;"",COUNTIF($A$5:$A$204,A128)&gt;1),"REVISAR",IF(AND(A128&lt;&gt;"",C128="Sí",D128="Sí",E128="Sí",COUNT(F128:O128)=10,MIN(F128:O128)&gt;=1,MAX(F128:O128)&lt;=5,R128&lt;&gt;""),"VÁLIDO","INCOMPLETO"))))</x:f>
      </x:c>
      <x:c r="Q128" s="32" t="str">
        <x:f>IF(P128&lt;&gt;"VÁLIDO","",(SUM(F128,H128,J128,L128,N128)-5+25-SUM(G128,I128,K128,M128,O128))*2.5)</x:f>
      </x:c>
      <x:c r="R128" s="20"/>
      <x:c r="S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2" t="str">
        <x:f>IF(COUNTA(A129:O129)+COUNTA(R129:S129)=0,"",IF(AND(COUNT(F129:O129)&gt;0,OR(COUNTIF(F129:O129,"&gt;5")&gt;0,COUNTIF(F129:O129,"&lt;1")&gt;0)),"REVISAR",IF(AND(A129&lt;&gt;"",COUNTIF($A$5:$A$204,A129)&gt;1),"REVISAR",IF(AND(A129&lt;&gt;"",C129="Sí",D129="Sí",E129="Sí",COUNT(F129:O129)=10,MIN(F129:O129)&gt;=1,MAX(F129:O129)&lt;=5,R129&lt;&gt;""),"VÁLIDO","INCOMPLETO"))))</x:f>
      </x:c>
      <x:c r="Q129" s="32" t="str">
        <x:f>IF(P129&lt;&gt;"VÁLIDO","",(SUM(F129,H129,J129,L129,N129)-5+25-SUM(G129,I129,K129,M129,O129))*2.5)</x:f>
      </x:c>
      <x:c r="R129" s="20"/>
      <x:c r="S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2" t="str">
        <x:f>IF(COUNTA(A130:O130)+COUNTA(R130:S130)=0,"",IF(AND(COUNT(F130:O130)&gt;0,OR(COUNTIF(F130:O130,"&gt;5")&gt;0,COUNTIF(F130:O130,"&lt;1")&gt;0)),"REVISAR",IF(AND(A130&lt;&gt;"",COUNTIF($A$5:$A$204,A130)&gt;1),"REVISAR",IF(AND(A130&lt;&gt;"",C130="Sí",D130="Sí",E130="Sí",COUNT(F130:O130)=10,MIN(F130:O130)&gt;=1,MAX(F130:O130)&lt;=5,R130&lt;&gt;""),"VÁLIDO","INCOMPLETO"))))</x:f>
      </x:c>
      <x:c r="Q130" s="32" t="str">
        <x:f>IF(P130&lt;&gt;"VÁLIDO","",(SUM(F130,H130,J130,L130,N130)-5+25-SUM(G130,I130,K130,M130,O130))*2.5)</x:f>
      </x:c>
      <x:c r="R130" s="20"/>
      <x:c r="S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2" t="str">
        <x:f>IF(COUNTA(A131:O131)+COUNTA(R131:S131)=0,"",IF(AND(COUNT(F131:O131)&gt;0,OR(COUNTIF(F131:O131,"&gt;5")&gt;0,COUNTIF(F131:O131,"&lt;1")&gt;0)),"REVISAR",IF(AND(A131&lt;&gt;"",COUNTIF($A$5:$A$204,A131)&gt;1),"REVISAR",IF(AND(A131&lt;&gt;"",C131="Sí",D131="Sí",E131="Sí",COUNT(F131:O131)=10,MIN(F131:O131)&gt;=1,MAX(F131:O131)&lt;=5,R131&lt;&gt;""),"VÁLIDO","INCOMPLETO"))))</x:f>
      </x:c>
      <x:c r="Q131" s="32" t="str">
        <x:f>IF(P131&lt;&gt;"VÁLIDO","",(SUM(F131,H131,J131,L131,N131)-5+25-SUM(G131,I131,K131,M131,O131))*2.5)</x:f>
      </x:c>
      <x:c r="R131" s="20"/>
      <x:c r="S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2" t="str">
        <x:f>IF(COUNTA(A132:O132)+COUNTA(R132:S132)=0,"",IF(AND(COUNT(F132:O132)&gt;0,OR(COUNTIF(F132:O132,"&gt;5")&gt;0,COUNTIF(F132:O132,"&lt;1")&gt;0)),"REVISAR",IF(AND(A132&lt;&gt;"",COUNTIF($A$5:$A$204,A132)&gt;1),"REVISAR",IF(AND(A132&lt;&gt;"",C132="Sí",D132="Sí",E132="Sí",COUNT(F132:O132)=10,MIN(F132:O132)&gt;=1,MAX(F132:O132)&lt;=5,R132&lt;&gt;""),"VÁLIDO","INCOMPLETO"))))</x:f>
      </x:c>
      <x:c r="Q132" s="32" t="str">
        <x:f>IF(P132&lt;&gt;"VÁLIDO","",(SUM(F132,H132,J132,L132,N132)-5+25-SUM(G132,I132,K132,M132,O132))*2.5)</x:f>
      </x:c>
      <x:c r="R132" s="20"/>
      <x:c r="S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2" t="str">
        <x:f>IF(COUNTA(A133:O133)+COUNTA(R133:S133)=0,"",IF(AND(COUNT(F133:O133)&gt;0,OR(COUNTIF(F133:O133,"&gt;5")&gt;0,COUNTIF(F133:O133,"&lt;1")&gt;0)),"REVISAR",IF(AND(A133&lt;&gt;"",COUNTIF($A$5:$A$204,A133)&gt;1),"REVISAR",IF(AND(A133&lt;&gt;"",C133="Sí",D133="Sí",E133="Sí",COUNT(F133:O133)=10,MIN(F133:O133)&gt;=1,MAX(F133:O133)&lt;=5,R133&lt;&gt;""),"VÁLIDO","INCOMPLETO"))))</x:f>
      </x:c>
      <x:c r="Q133" s="32" t="str">
        <x:f>IF(P133&lt;&gt;"VÁLIDO","",(SUM(F133,H133,J133,L133,N133)-5+25-SUM(G133,I133,K133,M133,O133))*2.5)</x:f>
      </x:c>
      <x:c r="R133" s="20"/>
      <x:c r="S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2" t="str">
        <x:f>IF(COUNTA(A134:O134)+COUNTA(R134:S134)=0,"",IF(AND(COUNT(F134:O134)&gt;0,OR(COUNTIF(F134:O134,"&gt;5")&gt;0,COUNTIF(F134:O134,"&lt;1")&gt;0)),"REVISAR",IF(AND(A134&lt;&gt;"",COUNTIF($A$5:$A$204,A134)&gt;1),"REVISAR",IF(AND(A134&lt;&gt;"",C134="Sí",D134="Sí",E134="Sí",COUNT(F134:O134)=10,MIN(F134:O134)&gt;=1,MAX(F134:O134)&lt;=5,R134&lt;&gt;""),"VÁLIDO","INCOMPLETO"))))</x:f>
      </x:c>
      <x:c r="Q134" s="32" t="str">
        <x:f>IF(P134&lt;&gt;"VÁLIDO","",(SUM(F134,H134,J134,L134,N134)-5+25-SUM(G134,I134,K134,M134,O134))*2.5)</x:f>
      </x:c>
      <x:c r="R134" s="20"/>
      <x:c r="S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2" t="str">
        <x:f>IF(COUNTA(A135:O135)+COUNTA(R135:S135)=0,"",IF(AND(COUNT(F135:O135)&gt;0,OR(COUNTIF(F135:O135,"&gt;5")&gt;0,COUNTIF(F135:O135,"&lt;1")&gt;0)),"REVISAR",IF(AND(A135&lt;&gt;"",COUNTIF($A$5:$A$204,A135)&gt;1),"REVISAR",IF(AND(A135&lt;&gt;"",C135="Sí",D135="Sí",E135="Sí",COUNT(F135:O135)=10,MIN(F135:O135)&gt;=1,MAX(F135:O135)&lt;=5,R135&lt;&gt;""),"VÁLIDO","INCOMPLETO"))))</x:f>
      </x:c>
      <x:c r="Q135" s="32" t="str">
        <x:f>IF(P135&lt;&gt;"VÁLIDO","",(SUM(F135,H135,J135,L135,N135)-5+25-SUM(G135,I135,K135,M135,O135))*2.5)</x:f>
      </x:c>
      <x:c r="R135" s="20"/>
      <x:c r="S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2" t="str">
        <x:f>IF(COUNTA(A136:O136)+COUNTA(R136:S136)=0,"",IF(AND(COUNT(F136:O136)&gt;0,OR(COUNTIF(F136:O136,"&gt;5")&gt;0,COUNTIF(F136:O136,"&lt;1")&gt;0)),"REVISAR",IF(AND(A136&lt;&gt;"",COUNTIF($A$5:$A$204,A136)&gt;1),"REVISAR",IF(AND(A136&lt;&gt;"",C136="Sí",D136="Sí",E136="Sí",COUNT(F136:O136)=10,MIN(F136:O136)&gt;=1,MAX(F136:O136)&lt;=5,R136&lt;&gt;""),"VÁLIDO","INCOMPLETO"))))</x:f>
      </x:c>
      <x:c r="Q136" s="32" t="str">
        <x:f>IF(P136&lt;&gt;"VÁLIDO","",(SUM(F136,H136,J136,L136,N136)-5+25-SUM(G136,I136,K136,M136,O136))*2.5)</x:f>
      </x:c>
      <x:c r="R136" s="20"/>
      <x:c r="S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2" t="str">
        <x:f>IF(COUNTA(A137:O137)+COUNTA(R137:S137)=0,"",IF(AND(COUNT(F137:O137)&gt;0,OR(COUNTIF(F137:O137,"&gt;5")&gt;0,COUNTIF(F137:O137,"&lt;1")&gt;0)),"REVISAR",IF(AND(A137&lt;&gt;"",COUNTIF($A$5:$A$204,A137)&gt;1),"REVISAR",IF(AND(A137&lt;&gt;"",C137="Sí",D137="Sí",E137="Sí",COUNT(F137:O137)=10,MIN(F137:O137)&gt;=1,MAX(F137:O137)&lt;=5,R137&lt;&gt;""),"VÁLIDO","INCOMPLETO"))))</x:f>
      </x:c>
      <x:c r="Q137" s="32" t="str">
        <x:f>IF(P137&lt;&gt;"VÁLIDO","",(SUM(F137,H137,J137,L137,N137)-5+25-SUM(G137,I137,K137,M137,O137))*2.5)</x:f>
      </x:c>
      <x:c r="R137" s="20"/>
      <x:c r="S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2" t="str">
        <x:f>IF(COUNTA(A138:O138)+COUNTA(R138:S138)=0,"",IF(AND(COUNT(F138:O138)&gt;0,OR(COUNTIF(F138:O138,"&gt;5")&gt;0,COUNTIF(F138:O138,"&lt;1")&gt;0)),"REVISAR",IF(AND(A138&lt;&gt;"",COUNTIF($A$5:$A$204,A138)&gt;1),"REVISAR",IF(AND(A138&lt;&gt;"",C138="Sí",D138="Sí",E138="Sí",COUNT(F138:O138)=10,MIN(F138:O138)&gt;=1,MAX(F138:O138)&lt;=5,R138&lt;&gt;""),"VÁLIDO","INCOMPLETO"))))</x:f>
      </x:c>
      <x:c r="Q138" s="32" t="str">
        <x:f>IF(P138&lt;&gt;"VÁLIDO","",(SUM(F138,H138,J138,L138,N138)-5+25-SUM(G138,I138,K138,M138,O138))*2.5)</x:f>
      </x:c>
      <x:c r="R138" s="20"/>
      <x:c r="S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2" t="str">
        <x:f>IF(COUNTA(A139:O139)+COUNTA(R139:S139)=0,"",IF(AND(COUNT(F139:O139)&gt;0,OR(COUNTIF(F139:O139,"&gt;5")&gt;0,COUNTIF(F139:O139,"&lt;1")&gt;0)),"REVISAR",IF(AND(A139&lt;&gt;"",COUNTIF($A$5:$A$204,A139)&gt;1),"REVISAR",IF(AND(A139&lt;&gt;"",C139="Sí",D139="Sí",E139="Sí",COUNT(F139:O139)=10,MIN(F139:O139)&gt;=1,MAX(F139:O139)&lt;=5,R139&lt;&gt;""),"VÁLIDO","INCOMPLETO"))))</x:f>
      </x:c>
      <x:c r="Q139" s="32" t="str">
        <x:f>IF(P139&lt;&gt;"VÁLIDO","",(SUM(F139,H139,J139,L139,N139)-5+25-SUM(G139,I139,K139,M139,O139))*2.5)</x:f>
      </x:c>
      <x:c r="R139" s="20"/>
      <x:c r="S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2" t="str">
        <x:f>IF(COUNTA(A140:O140)+COUNTA(R140:S140)=0,"",IF(AND(COUNT(F140:O140)&gt;0,OR(COUNTIF(F140:O140,"&gt;5")&gt;0,COUNTIF(F140:O140,"&lt;1")&gt;0)),"REVISAR",IF(AND(A140&lt;&gt;"",COUNTIF($A$5:$A$204,A140)&gt;1),"REVISAR",IF(AND(A140&lt;&gt;"",C140="Sí",D140="Sí",E140="Sí",COUNT(F140:O140)=10,MIN(F140:O140)&gt;=1,MAX(F140:O140)&lt;=5,R140&lt;&gt;""),"VÁLIDO","INCOMPLETO"))))</x:f>
      </x:c>
      <x:c r="Q140" s="32" t="str">
        <x:f>IF(P140&lt;&gt;"VÁLIDO","",(SUM(F140,H140,J140,L140,N140)-5+25-SUM(G140,I140,K140,M140,O140))*2.5)</x:f>
      </x:c>
      <x:c r="R140" s="20"/>
      <x:c r="S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2" t="str">
        <x:f>IF(COUNTA(A141:O141)+COUNTA(R141:S141)=0,"",IF(AND(COUNT(F141:O141)&gt;0,OR(COUNTIF(F141:O141,"&gt;5")&gt;0,COUNTIF(F141:O141,"&lt;1")&gt;0)),"REVISAR",IF(AND(A141&lt;&gt;"",COUNTIF($A$5:$A$204,A141)&gt;1),"REVISAR",IF(AND(A141&lt;&gt;"",C141="Sí",D141="Sí",E141="Sí",COUNT(F141:O141)=10,MIN(F141:O141)&gt;=1,MAX(F141:O141)&lt;=5,R141&lt;&gt;""),"VÁLIDO","INCOMPLETO"))))</x:f>
      </x:c>
      <x:c r="Q141" s="32" t="str">
        <x:f>IF(P141&lt;&gt;"VÁLIDO","",(SUM(F141,H141,J141,L141,N141)-5+25-SUM(G141,I141,K141,M141,O141))*2.5)</x:f>
      </x:c>
      <x:c r="R141" s="20"/>
      <x:c r="S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2" t="str">
        <x:f>IF(COUNTA(A142:O142)+COUNTA(R142:S142)=0,"",IF(AND(COUNT(F142:O142)&gt;0,OR(COUNTIF(F142:O142,"&gt;5")&gt;0,COUNTIF(F142:O142,"&lt;1")&gt;0)),"REVISAR",IF(AND(A142&lt;&gt;"",COUNTIF($A$5:$A$204,A142)&gt;1),"REVISAR",IF(AND(A142&lt;&gt;"",C142="Sí",D142="Sí",E142="Sí",COUNT(F142:O142)=10,MIN(F142:O142)&gt;=1,MAX(F142:O142)&lt;=5,R142&lt;&gt;""),"VÁLIDO","INCOMPLETO"))))</x:f>
      </x:c>
      <x:c r="Q142" s="32" t="str">
        <x:f>IF(P142&lt;&gt;"VÁLIDO","",(SUM(F142,H142,J142,L142,N142)-5+25-SUM(G142,I142,K142,M142,O142))*2.5)</x:f>
      </x:c>
      <x:c r="R142" s="20"/>
      <x:c r="S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2" t="str">
        <x:f>IF(COUNTA(A143:O143)+COUNTA(R143:S143)=0,"",IF(AND(COUNT(F143:O143)&gt;0,OR(COUNTIF(F143:O143,"&gt;5")&gt;0,COUNTIF(F143:O143,"&lt;1")&gt;0)),"REVISAR",IF(AND(A143&lt;&gt;"",COUNTIF($A$5:$A$204,A143)&gt;1),"REVISAR",IF(AND(A143&lt;&gt;"",C143="Sí",D143="Sí",E143="Sí",COUNT(F143:O143)=10,MIN(F143:O143)&gt;=1,MAX(F143:O143)&lt;=5,R143&lt;&gt;""),"VÁLIDO","INCOMPLETO"))))</x:f>
      </x:c>
      <x:c r="Q143" s="32" t="str">
        <x:f>IF(P143&lt;&gt;"VÁLIDO","",(SUM(F143,H143,J143,L143,N143)-5+25-SUM(G143,I143,K143,M143,O143))*2.5)</x:f>
      </x:c>
      <x:c r="R143" s="20"/>
      <x:c r="S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2" t="str">
        <x:f>IF(COUNTA(A144:O144)+COUNTA(R144:S144)=0,"",IF(AND(COUNT(F144:O144)&gt;0,OR(COUNTIF(F144:O144,"&gt;5")&gt;0,COUNTIF(F144:O144,"&lt;1")&gt;0)),"REVISAR",IF(AND(A144&lt;&gt;"",COUNTIF($A$5:$A$204,A144)&gt;1),"REVISAR",IF(AND(A144&lt;&gt;"",C144="Sí",D144="Sí",E144="Sí",COUNT(F144:O144)=10,MIN(F144:O144)&gt;=1,MAX(F144:O144)&lt;=5,R144&lt;&gt;""),"VÁLIDO","INCOMPLETO"))))</x:f>
      </x:c>
      <x:c r="Q144" s="32" t="str">
        <x:f>IF(P144&lt;&gt;"VÁLIDO","",(SUM(F144,H144,J144,L144,N144)-5+25-SUM(G144,I144,K144,M144,O144))*2.5)</x:f>
      </x:c>
      <x:c r="R144" s="20"/>
      <x:c r="S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2" t="str">
        <x:f>IF(COUNTA(A145:O145)+COUNTA(R145:S145)=0,"",IF(AND(COUNT(F145:O145)&gt;0,OR(COUNTIF(F145:O145,"&gt;5")&gt;0,COUNTIF(F145:O145,"&lt;1")&gt;0)),"REVISAR",IF(AND(A145&lt;&gt;"",COUNTIF($A$5:$A$204,A145)&gt;1),"REVISAR",IF(AND(A145&lt;&gt;"",C145="Sí",D145="Sí",E145="Sí",COUNT(F145:O145)=10,MIN(F145:O145)&gt;=1,MAX(F145:O145)&lt;=5,R145&lt;&gt;""),"VÁLIDO","INCOMPLETO"))))</x:f>
      </x:c>
      <x:c r="Q145" s="32" t="str">
        <x:f>IF(P145&lt;&gt;"VÁLIDO","",(SUM(F145,H145,J145,L145,N145)-5+25-SUM(G145,I145,K145,M145,O145))*2.5)</x:f>
      </x:c>
      <x:c r="R145" s="20"/>
      <x:c r="S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2" t="str">
        <x:f>IF(COUNTA(A146:O146)+COUNTA(R146:S146)=0,"",IF(AND(COUNT(F146:O146)&gt;0,OR(COUNTIF(F146:O146,"&gt;5")&gt;0,COUNTIF(F146:O146,"&lt;1")&gt;0)),"REVISAR",IF(AND(A146&lt;&gt;"",COUNTIF($A$5:$A$204,A146)&gt;1),"REVISAR",IF(AND(A146&lt;&gt;"",C146="Sí",D146="Sí",E146="Sí",COUNT(F146:O146)=10,MIN(F146:O146)&gt;=1,MAX(F146:O146)&lt;=5,R146&lt;&gt;""),"VÁLIDO","INCOMPLETO"))))</x:f>
      </x:c>
      <x:c r="Q146" s="32" t="str">
        <x:f>IF(P146&lt;&gt;"VÁLIDO","",(SUM(F146,H146,J146,L146,N146)-5+25-SUM(G146,I146,K146,M146,O146))*2.5)</x:f>
      </x:c>
      <x:c r="R146" s="20"/>
      <x:c r="S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2" t="str">
        <x:f>IF(COUNTA(A147:O147)+COUNTA(R147:S147)=0,"",IF(AND(COUNT(F147:O147)&gt;0,OR(COUNTIF(F147:O147,"&gt;5")&gt;0,COUNTIF(F147:O147,"&lt;1")&gt;0)),"REVISAR",IF(AND(A147&lt;&gt;"",COUNTIF($A$5:$A$204,A147)&gt;1),"REVISAR",IF(AND(A147&lt;&gt;"",C147="Sí",D147="Sí",E147="Sí",COUNT(F147:O147)=10,MIN(F147:O147)&gt;=1,MAX(F147:O147)&lt;=5,R147&lt;&gt;""),"VÁLIDO","INCOMPLETO"))))</x:f>
      </x:c>
      <x:c r="Q147" s="32" t="str">
        <x:f>IF(P147&lt;&gt;"VÁLIDO","",(SUM(F147,H147,J147,L147,N147)-5+25-SUM(G147,I147,K147,M147,O147))*2.5)</x:f>
      </x:c>
      <x:c r="R147" s="20"/>
      <x:c r="S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2" t="str">
        <x:f>IF(COUNTA(A148:O148)+COUNTA(R148:S148)=0,"",IF(AND(COUNT(F148:O148)&gt;0,OR(COUNTIF(F148:O148,"&gt;5")&gt;0,COUNTIF(F148:O148,"&lt;1")&gt;0)),"REVISAR",IF(AND(A148&lt;&gt;"",COUNTIF($A$5:$A$204,A148)&gt;1),"REVISAR",IF(AND(A148&lt;&gt;"",C148="Sí",D148="Sí",E148="Sí",COUNT(F148:O148)=10,MIN(F148:O148)&gt;=1,MAX(F148:O148)&lt;=5,R148&lt;&gt;""),"VÁLIDO","INCOMPLETO"))))</x:f>
      </x:c>
      <x:c r="Q148" s="32" t="str">
        <x:f>IF(P148&lt;&gt;"VÁLIDO","",(SUM(F148,H148,J148,L148,N148)-5+25-SUM(G148,I148,K148,M148,O148))*2.5)</x:f>
      </x:c>
      <x:c r="R148" s="20"/>
      <x:c r="S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2" t="str">
        <x:f>IF(COUNTA(A149:O149)+COUNTA(R149:S149)=0,"",IF(AND(COUNT(F149:O149)&gt;0,OR(COUNTIF(F149:O149,"&gt;5")&gt;0,COUNTIF(F149:O149,"&lt;1")&gt;0)),"REVISAR",IF(AND(A149&lt;&gt;"",COUNTIF($A$5:$A$204,A149)&gt;1),"REVISAR",IF(AND(A149&lt;&gt;"",C149="Sí",D149="Sí",E149="Sí",COUNT(F149:O149)=10,MIN(F149:O149)&gt;=1,MAX(F149:O149)&lt;=5,R149&lt;&gt;""),"VÁLIDO","INCOMPLETO"))))</x:f>
      </x:c>
      <x:c r="Q149" s="32" t="str">
        <x:f>IF(P149&lt;&gt;"VÁLIDO","",(SUM(F149,H149,J149,L149,N149)-5+25-SUM(G149,I149,K149,M149,O149))*2.5)</x:f>
      </x:c>
      <x:c r="R149" s="20"/>
      <x:c r="S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2" t="str">
        <x:f>IF(COUNTA(A150:O150)+COUNTA(R150:S150)=0,"",IF(AND(COUNT(F150:O150)&gt;0,OR(COUNTIF(F150:O150,"&gt;5")&gt;0,COUNTIF(F150:O150,"&lt;1")&gt;0)),"REVISAR",IF(AND(A150&lt;&gt;"",COUNTIF($A$5:$A$204,A150)&gt;1),"REVISAR",IF(AND(A150&lt;&gt;"",C150="Sí",D150="Sí",E150="Sí",COUNT(F150:O150)=10,MIN(F150:O150)&gt;=1,MAX(F150:O150)&lt;=5,R150&lt;&gt;""),"VÁLIDO","INCOMPLETO"))))</x:f>
      </x:c>
      <x:c r="Q150" s="32" t="str">
        <x:f>IF(P150&lt;&gt;"VÁLIDO","",(SUM(F150,H150,J150,L150,N150)-5+25-SUM(G150,I150,K150,M150,O150))*2.5)</x:f>
      </x:c>
      <x:c r="R150" s="20"/>
      <x:c r="S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2" t="str">
        <x:f>IF(COUNTA(A151:O151)+COUNTA(R151:S151)=0,"",IF(AND(COUNT(F151:O151)&gt;0,OR(COUNTIF(F151:O151,"&gt;5")&gt;0,COUNTIF(F151:O151,"&lt;1")&gt;0)),"REVISAR",IF(AND(A151&lt;&gt;"",COUNTIF($A$5:$A$204,A151)&gt;1),"REVISAR",IF(AND(A151&lt;&gt;"",C151="Sí",D151="Sí",E151="Sí",COUNT(F151:O151)=10,MIN(F151:O151)&gt;=1,MAX(F151:O151)&lt;=5,R151&lt;&gt;""),"VÁLIDO","INCOMPLETO"))))</x:f>
      </x:c>
      <x:c r="Q151" s="32" t="str">
        <x:f>IF(P151&lt;&gt;"VÁLIDO","",(SUM(F151,H151,J151,L151,N151)-5+25-SUM(G151,I151,K151,M151,O151))*2.5)</x:f>
      </x:c>
      <x:c r="R151" s="20"/>
      <x:c r="S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2" t="str">
        <x:f>IF(COUNTA(A152:O152)+COUNTA(R152:S152)=0,"",IF(AND(COUNT(F152:O152)&gt;0,OR(COUNTIF(F152:O152,"&gt;5")&gt;0,COUNTIF(F152:O152,"&lt;1")&gt;0)),"REVISAR",IF(AND(A152&lt;&gt;"",COUNTIF($A$5:$A$204,A152)&gt;1),"REVISAR",IF(AND(A152&lt;&gt;"",C152="Sí",D152="Sí",E152="Sí",COUNT(F152:O152)=10,MIN(F152:O152)&gt;=1,MAX(F152:O152)&lt;=5,R152&lt;&gt;""),"VÁLIDO","INCOMPLETO"))))</x:f>
      </x:c>
      <x:c r="Q152" s="32" t="str">
        <x:f>IF(P152&lt;&gt;"VÁLIDO","",(SUM(F152,H152,J152,L152,N152)-5+25-SUM(G152,I152,K152,M152,O152))*2.5)</x:f>
      </x:c>
      <x:c r="R152" s="20"/>
      <x:c r="S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2" t="str">
        <x:f>IF(COUNTA(A153:O153)+COUNTA(R153:S153)=0,"",IF(AND(COUNT(F153:O153)&gt;0,OR(COUNTIF(F153:O153,"&gt;5")&gt;0,COUNTIF(F153:O153,"&lt;1")&gt;0)),"REVISAR",IF(AND(A153&lt;&gt;"",COUNTIF($A$5:$A$204,A153)&gt;1),"REVISAR",IF(AND(A153&lt;&gt;"",C153="Sí",D153="Sí",E153="Sí",COUNT(F153:O153)=10,MIN(F153:O153)&gt;=1,MAX(F153:O153)&lt;=5,R153&lt;&gt;""),"VÁLIDO","INCOMPLETO"))))</x:f>
      </x:c>
      <x:c r="Q153" s="32" t="str">
        <x:f>IF(P153&lt;&gt;"VÁLIDO","",(SUM(F153,H153,J153,L153,N153)-5+25-SUM(G153,I153,K153,M153,O153))*2.5)</x:f>
      </x:c>
      <x:c r="R153" s="20"/>
      <x:c r="S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2" t="str">
        <x:f>IF(COUNTA(A154:O154)+COUNTA(R154:S154)=0,"",IF(AND(COUNT(F154:O154)&gt;0,OR(COUNTIF(F154:O154,"&gt;5")&gt;0,COUNTIF(F154:O154,"&lt;1")&gt;0)),"REVISAR",IF(AND(A154&lt;&gt;"",COUNTIF($A$5:$A$204,A154)&gt;1),"REVISAR",IF(AND(A154&lt;&gt;"",C154="Sí",D154="Sí",E154="Sí",COUNT(F154:O154)=10,MIN(F154:O154)&gt;=1,MAX(F154:O154)&lt;=5,R154&lt;&gt;""),"VÁLIDO","INCOMPLETO"))))</x:f>
      </x:c>
      <x:c r="Q154" s="32" t="str">
        <x:f>IF(P154&lt;&gt;"VÁLIDO","",(SUM(F154,H154,J154,L154,N154)-5+25-SUM(G154,I154,K154,M154,O154))*2.5)</x:f>
      </x:c>
      <x:c r="R154" s="20"/>
      <x:c r="S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2" t="str">
        <x:f>IF(COUNTA(A155:O155)+COUNTA(R155:S155)=0,"",IF(AND(COUNT(F155:O155)&gt;0,OR(COUNTIF(F155:O155,"&gt;5")&gt;0,COUNTIF(F155:O155,"&lt;1")&gt;0)),"REVISAR",IF(AND(A155&lt;&gt;"",COUNTIF($A$5:$A$204,A155)&gt;1),"REVISAR",IF(AND(A155&lt;&gt;"",C155="Sí",D155="Sí",E155="Sí",COUNT(F155:O155)=10,MIN(F155:O155)&gt;=1,MAX(F155:O155)&lt;=5,R155&lt;&gt;""),"VÁLIDO","INCOMPLETO"))))</x:f>
      </x:c>
      <x:c r="Q155" s="32" t="str">
        <x:f>IF(P155&lt;&gt;"VÁLIDO","",(SUM(F155,H155,J155,L155,N155)-5+25-SUM(G155,I155,K155,M155,O155))*2.5)</x:f>
      </x:c>
      <x:c r="R155" s="20"/>
      <x:c r="S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2" t="str">
        <x:f>IF(COUNTA(A156:O156)+COUNTA(R156:S156)=0,"",IF(AND(COUNT(F156:O156)&gt;0,OR(COUNTIF(F156:O156,"&gt;5")&gt;0,COUNTIF(F156:O156,"&lt;1")&gt;0)),"REVISAR",IF(AND(A156&lt;&gt;"",COUNTIF($A$5:$A$204,A156)&gt;1),"REVISAR",IF(AND(A156&lt;&gt;"",C156="Sí",D156="Sí",E156="Sí",COUNT(F156:O156)=10,MIN(F156:O156)&gt;=1,MAX(F156:O156)&lt;=5,R156&lt;&gt;""),"VÁLIDO","INCOMPLETO"))))</x:f>
      </x:c>
      <x:c r="Q156" s="32" t="str">
        <x:f>IF(P156&lt;&gt;"VÁLIDO","",(SUM(F156,H156,J156,L156,N156)-5+25-SUM(G156,I156,K156,M156,O156))*2.5)</x:f>
      </x:c>
      <x:c r="R156" s="20"/>
      <x:c r="S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2" t="str">
        <x:f>IF(COUNTA(A157:O157)+COUNTA(R157:S157)=0,"",IF(AND(COUNT(F157:O157)&gt;0,OR(COUNTIF(F157:O157,"&gt;5")&gt;0,COUNTIF(F157:O157,"&lt;1")&gt;0)),"REVISAR",IF(AND(A157&lt;&gt;"",COUNTIF($A$5:$A$204,A157)&gt;1),"REVISAR",IF(AND(A157&lt;&gt;"",C157="Sí",D157="Sí",E157="Sí",COUNT(F157:O157)=10,MIN(F157:O157)&gt;=1,MAX(F157:O157)&lt;=5,R157&lt;&gt;""),"VÁLIDO","INCOMPLETO"))))</x:f>
      </x:c>
      <x:c r="Q157" s="32" t="str">
        <x:f>IF(P157&lt;&gt;"VÁLIDO","",(SUM(F157,H157,J157,L157,N157)-5+25-SUM(G157,I157,K157,M157,O157))*2.5)</x:f>
      </x:c>
      <x:c r="R157" s="20"/>
      <x:c r="S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2" t="str">
        <x:f>IF(COUNTA(A158:O158)+COUNTA(R158:S158)=0,"",IF(AND(COUNT(F158:O158)&gt;0,OR(COUNTIF(F158:O158,"&gt;5")&gt;0,COUNTIF(F158:O158,"&lt;1")&gt;0)),"REVISAR",IF(AND(A158&lt;&gt;"",COUNTIF($A$5:$A$204,A158)&gt;1),"REVISAR",IF(AND(A158&lt;&gt;"",C158="Sí",D158="Sí",E158="Sí",COUNT(F158:O158)=10,MIN(F158:O158)&gt;=1,MAX(F158:O158)&lt;=5,R158&lt;&gt;""),"VÁLIDO","INCOMPLETO"))))</x:f>
      </x:c>
      <x:c r="Q158" s="32" t="str">
        <x:f>IF(P158&lt;&gt;"VÁLIDO","",(SUM(F158,H158,J158,L158,N158)-5+25-SUM(G158,I158,K158,M158,O158))*2.5)</x:f>
      </x:c>
      <x:c r="R158" s="20"/>
      <x:c r="S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2" t="str">
        <x:f>IF(COUNTA(A159:O159)+COUNTA(R159:S159)=0,"",IF(AND(COUNT(F159:O159)&gt;0,OR(COUNTIF(F159:O159,"&gt;5")&gt;0,COUNTIF(F159:O159,"&lt;1")&gt;0)),"REVISAR",IF(AND(A159&lt;&gt;"",COUNTIF($A$5:$A$204,A159)&gt;1),"REVISAR",IF(AND(A159&lt;&gt;"",C159="Sí",D159="Sí",E159="Sí",COUNT(F159:O159)=10,MIN(F159:O159)&gt;=1,MAX(F159:O159)&lt;=5,R159&lt;&gt;""),"VÁLIDO","INCOMPLETO"))))</x:f>
      </x:c>
      <x:c r="Q159" s="32" t="str">
        <x:f>IF(P159&lt;&gt;"VÁLIDO","",(SUM(F159,H159,J159,L159,N159)-5+25-SUM(G159,I159,K159,M159,O159))*2.5)</x:f>
      </x:c>
      <x:c r="R159" s="20"/>
      <x:c r="S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2" t="str">
        <x:f>IF(COUNTA(A160:O160)+COUNTA(R160:S160)=0,"",IF(AND(COUNT(F160:O160)&gt;0,OR(COUNTIF(F160:O160,"&gt;5")&gt;0,COUNTIF(F160:O160,"&lt;1")&gt;0)),"REVISAR",IF(AND(A160&lt;&gt;"",COUNTIF($A$5:$A$204,A160)&gt;1),"REVISAR",IF(AND(A160&lt;&gt;"",C160="Sí",D160="Sí",E160="Sí",COUNT(F160:O160)=10,MIN(F160:O160)&gt;=1,MAX(F160:O160)&lt;=5,R160&lt;&gt;""),"VÁLIDO","INCOMPLETO"))))</x:f>
      </x:c>
      <x:c r="Q160" s="32" t="str">
        <x:f>IF(P160&lt;&gt;"VÁLIDO","",(SUM(F160,H160,J160,L160,N160)-5+25-SUM(G160,I160,K160,M160,O160))*2.5)</x:f>
      </x:c>
      <x:c r="R160" s="20"/>
      <x:c r="S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2" t="str">
        <x:f>IF(COUNTA(A161:O161)+COUNTA(R161:S161)=0,"",IF(AND(COUNT(F161:O161)&gt;0,OR(COUNTIF(F161:O161,"&gt;5")&gt;0,COUNTIF(F161:O161,"&lt;1")&gt;0)),"REVISAR",IF(AND(A161&lt;&gt;"",COUNTIF($A$5:$A$204,A161)&gt;1),"REVISAR",IF(AND(A161&lt;&gt;"",C161="Sí",D161="Sí",E161="Sí",COUNT(F161:O161)=10,MIN(F161:O161)&gt;=1,MAX(F161:O161)&lt;=5,R161&lt;&gt;""),"VÁLIDO","INCOMPLETO"))))</x:f>
      </x:c>
      <x:c r="Q161" s="32" t="str">
        <x:f>IF(P161&lt;&gt;"VÁLIDO","",(SUM(F161,H161,J161,L161,N161)-5+25-SUM(G161,I161,K161,M161,O161))*2.5)</x:f>
      </x:c>
      <x:c r="R161" s="20"/>
      <x:c r="S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2" t="str">
        <x:f>IF(COUNTA(A162:O162)+COUNTA(R162:S162)=0,"",IF(AND(COUNT(F162:O162)&gt;0,OR(COUNTIF(F162:O162,"&gt;5")&gt;0,COUNTIF(F162:O162,"&lt;1")&gt;0)),"REVISAR",IF(AND(A162&lt;&gt;"",COUNTIF($A$5:$A$204,A162)&gt;1),"REVISAR",IF(AND(A162&lt;&gt;"",C162="Sí",D162="Sí",E162="Sí",COUNT(F162:O162)=10,MIN(F162:O162)&gt;=1,MAX(F162:O162)&lt;=5,R162&lt;&gt;""),"VÁLIDO","INCOMPLETO"))))</x:f>
      </x:c>
      <x:c r="Q162" s="32" t="str">
        <x:f>IF(P162&lt;&gt;"VÁLIDO","",(SUM(F162,H162,J162,L162,N162)-5+25-SUM(G162,I162,K162,M162,O162))*2.5)</x:f>
      </x:c>
      <x:c r="R162" s="20"/>
      <x:c r="S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2" t="str">
        <x:f>IF(COUNTA(A163:O163)+COUNTA(R163:S163)=0,"",IF(AND(COUNT(F163:O163)&gt;0,OR(COUNTIF(F163:O163,"&gt;5")&gt;0,COUNTIF(F163:O163,"&lt;1")&gt;0)),"REVISAR",IF(AND(A163&lt;&gt;"",COUNTIF($A$5:$A$204,A163)&gt;1),"REVISAR",IF(AND(A163&lt;&gt;"",C163="Sí",D163="Sí",E163="Sí",COUNT(F163:O163)=10,MIN(F163:O163)&gt;=1,MAX(F163:O163)&lt;=5,R163&lt;&gt;""),"VÁLIDO","INCOMPLETO"))))</x:f>
      </x:c>
      <x:c r="Q163" s="32" t="str">
        <x:f>IF(P163&lt;&gt;"VÁLIDO","",(SUM(F163,H163,J163,L163,N163)-5+25-SUM(G163,I163,K163,M163,O163))*2.5)</x:f>
      </x:c>
      <x:c r="R163" s="20"/>
      <x:c r="S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2" t="str">
        <x:f>IF(COUNTA(A164:O164)+COUNTA(R164:S164)=0,"",IF(AND(COUNT(F164:O164)&gt;0,OR(COUNTIF(F164:O164,"&gt;5")&gt;0,COUNTIF(F164:O164,"&lt;1")&gt;0)),"REVISAR",IF(AND(A164&lt;&gt;"",COUNTIF($A$5:$A$204,A164)&gt;1),"REVISAR",IF(AND(A164&lt;&gt;"",C164="Sí",D164="Sí",E164="Sí",COUNT(F164:O164)=10,MIN(F164:O164)&gt;=1,MAX(F164:O164)&lt;=5,R164&lt;&gt;""),"VÁLIDO","INCOMPLETO"))))</x:f>
      </x:c>
      <x:c r="Q164" s="32" t="str">
        <x:f>IF(P164&lt;&gt;"VÁLIDO","",(SUM(F164,H164,J164,L164,N164)-5+25-SUM(G164,I164,K164,M164,O164))*2.5)</x:f>
      </x:c>
      <x:c r="R164" s="20"/>
      <x:c r="S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2" t="str">
        <x:f>IF(COUNTA(A165:O165)+COUNTA(R165:S165)=0,"",IF(AND(COUNT(F165:O165)&gt;0,OR(COUNTIF(F165:O165,"&gt;5")&gt;0,COUNTIF(F165:O165,"&lt;1")&gt;0)),"REVISAR",IF(AND(A165&lt;&gt;"",COUNTIF($A$5:$A$204,A165)&gt;1),"REVISAR",IF(AND(A165&lt;&gt;"",C165="Sí",D165="Sí",E165="Sí",COUNT(F165:O165)=10,MIN(F165:O165)&gt;=1,MAX(F165:O165)&lt;=5,R165&lt;&gt;""),"VÁLIDO","INCOMPLETO"))))</x:f>
      </x:c>
      <x:c r="Q165" s="32" t="str">
        <x:f>IF(P165&lt;&gt;"VÁLIDO","",(SUM(F165,H165,J165,L165,N165)-5+25-SUM(G165,I165,K165,M165,O165))*2.5)</x:f>
      </x:c>
      <x:c r="R165" s="20"/>
      <x:c r="S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2" t="str">
        <x:f>IF(COUNTA(A166:O166)+COUNTA(R166:S166)=0,"",IF(AND(COUNT(F166:O166)&gt;0,OR(COUNTIF(F166:O166,"&gt;5")&gt;0,COUNTIF(F166:O166,"&lt;1")&gt;0)),"REVISAR",IF(AND(A166&lt;&gt;"",COUNTIF($A$5:$A$204,A166)&gt;1),"REVISAR",IF(AND(A166&lt;&gt;"",C166="Sí",D166="Sí",E166="Sí",COUNT(F166:O166)=10,MIN(F166:O166)&gt;=1,MAX(F166:O166)&lt;=5,R166&lt;&gt;""),"VÁLIDO","INCOMPLETO"))))</x:f>
      </x:c>
      <x:c r="Q166" s="32" t="str">
        <x:f>IF(P166&lt;&gt;"VÁLIDO","",(SUM(F166,H166,J166,L166,N166)-5+25-SUM(G166,I166,K166,M166,O166))*2.5)</x:f>
      </x:c>
      <x:c r="R166" s="20"/>
      <x:c r="S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2" t="str">
        <x:f>IF(COUNTA(A167:O167)+COUNTA(R167:S167)=0,"",IF(AND(COUNT(F167:O167)&gt;0,OR(COUNTIF(F167:O167,"&gt;5")&gt;0,COUNTIF(F167:O167,"&lt;1")&gt;0)),"REVISAR",IF(AND(A167&lt;&gt;"",COUNTIF($A$5:$A$204,A167)&gt;1),"REVISAR",IF(AND(A167&lt;&gt;"",C167="Sí",D167="Sí",E167="Sí",COUNT(F167:O167)=10,MIN(F167:O167)&gt;=1,MAX(F167:O167)&lt;=5,R167&lt;&gt;""),"VÁLIDO","INCOMPLETO"))))</x:f>
      </x:c>
      <x:c r="Q167" s="32" t="str">
        <x:f>IF(P167&lt;&gt;"VÁLIDO","",(SUM(F167,H167,J167,L167,N167)-5+25-SUM(G167,I167,K167,M167,O167))*2.5)</x:f>
      </x:c>
      <x:c r="R167" s="20"/>
      <x:c r="S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2" t="str">
        <x:f>IF(COUNTA(A168:O168)+COUNTA(R168:S168)=0,"",IF(AND(COUNT(F168:O168)&gt;0,OR(COUNTIF(F168:O168,"&gt;5")&gt;0,COUNTIF(F168:O168,"&lt;1")&gt;0)),"REVISAR",IF(AND(A168&lt;&gt;"",COUNTIF($A$5:$A$204,A168)&gt;1),"REVISAR",IF(AND(A168&lt;&gt;"",C168="Sí",D168="Sí",E168="Sí",COUNT(F168:O168)=10,MIN(F168:O168)&gt;=1,MAX(F168:O168)&lt;=5,R168&lt;&gt;""),"VÁLIDO","INCOMPLETO"))))</x:f>
      </x:c>
      <x:c r="Q168" s="32" t="str">
        <x:f>IF(P168&lt;&gt;"VÁLIDO","",(SUM(F168,H168,J168,L168,N168)-5+25-SUM(G168,I168,K168,M168,O168))*2.5)</x:f>
      </x:c>
      <x:c r="R168" s="20"/>
      <x:c r="S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2" t="str">
        <x:f>IF(COUNTA(A169:O169)+COUNTA(R169:S169)=0,"",IF(AND(COUNT(F169:O169)&gt;0,OR(COUNTIF(F169:O169,"&gt;5")&gt;0,COUNTIF(F169:O169,"&lt;1")&gt;0)),"REVISAR",IF(AND(A169&lt;&gt;"",COUNTIF($A$5:$A$204,A169)&gt;1),"REVISAR",IF(AND(A169&lt;&gt;"",C169="Sí",D169="Sí",E169="Sí",COUNT(F169:O169)=10,MIN(F169:O169)&gt;=1,MAX(F169:O169)&lt;=5,R169&lt;&gt;""),"VÁLIDO","INCOMPLETO"))))</x:f>
      </x:c>
      <x:c r="Q169" s="32" t="str">
        <x:f>IF(P169&lt;&gt;"VÁLIDO","",(SUM(F169,H169,J169,L169,N169)-5+25-SUM(G169,I169,K169,M169,O169))*2.5)</x:f>
      </x:c>
      <x:c r="R169" s="20"/>
      <x:c r="S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2" t="str">
        <x:f>IF(COUNTA(A170:O170)+COUNTA(R170:S170)=0,"",IF(AND(COUNT(F170:O170)&gt;0,OR(COUNTIF(F170:O170,"&gt;5")&gt;0,COUNTIF(F170:O170,"&lt;1")&gt;0)),"REVISAR",IF(AND(A170&lt;&gt;"",COUNTIF($A$5:$A$204,A170)&gt;1),"REVISAR",IF(AND(A170&lt;&gt;"",C170="Sí",D170="Sí",E170="Sí",COUNT(F170:O170)=10,MIN(F170:O170)&gt;=1,MAX(F170:O170)&lt;=5,R170&lt;&gt;""),"VÁLIDO","INCOMPLETO"))))</x:f>
      </x:c>
      <x:c r="Q170" s="32" t="str">
        <x:f>IF(P170&lt;&gt;"VÁLIDO","",(SUM(F170,H170,J170,L170,N170)-5+25-SUM(G170,I170,K170,M170,O170))*2.5)</x:f>
      </x:c>
      <x:c r="R170" s="20"/>
      <x:c r="S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2" t="str">
        <x:f>IF(COUNTA(A171:O171)+COUNTA(R171:S171)=0,"",IF(AND(COUNT(F171:O171)&gt;0,OR(COUNTIF(F171:O171,"&gt;5")&gt;0,COUNTIF(F171:O171,"&lt;1")&gt;0)),"REVISAR",IF(AND(A171&lt;&gt;"",COUNTIF($A$5:$A$204,A171)&gt;1),"REVISAR",IF(AND(A171&lt;&gt;"",C171="Sí",D171="Sí",E171="Sí",COUNT(F171:O171)=10,MIN(F171:O171)&gt;=1,MAX(F171:O171)&lt;=5,R171&lt;&gt;""),"VÁLIDO","INCOMPLETO"))))</x:f>
      </x:c>
      <x:c r="Q171" s="32" t="str">
        <x:f>IF(P171&lt;&gt;"VÁLIDO","",(SUM(F171,H171,J171,L171,N171)-5+25-SUM(G171,I171,K171,M171,O171))*2.5)</x:f>
      </x:c>
      <x:c r="R171" s="20"/>
      <x:c r="S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2" t="str">
        <x:f>IF(COUNTA(A172:O172)+COUNTA(R172:S172)=0,"",IF(AND(COUNT(F172:O172)&gt;0,OR(COUNTIF(F172:O172,"&gt;5")&gt;0,COUNTIF(F172:O172,"&lt;1")&gt;0)),"REVISAR",IF(AND(A172&lt;&gt;"",COUNTIF($A$5:$A$204,A172)&gt;1),"REVISAR",IF(AND(A172&lt;&gt;"",C172="Sí",D172="Sí",E172="Sí",COUNT(F172:O172)=10,MIN(F172:O172)&gt;=1,MAX(F172:O172)&lt;=5,R172&lt;&gt;""),"VÁLIDO","INCOMPLETO"))))</x:f>
      </x:c>
      <x:c r="Q172" s="32" t="str">
        <x:f>IF(P172&lt;&gt;"VÁLIDO","",(SUM(F172,H172,J172,L172,N172)-5+25-SUM(G172,I172,K172,M172,O172))*2.5)</x:f>
      </x:c>
      <x:c r="R172" s="20"/>
      <x:c r="S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2" t="str">
        <x:f>IF(COUNTA(A173:O173)+COUNTA(R173:S173)=0,"",IF(AND(COUNT(F173:O173)&gt;0,OR(COUNTIF(F173:O173,"&gt;5")&gt;0,COUNTIF(F173:O173,"&lt;1")&gt;0)),"REVISAR",IF(AND(A173&lt;&gt;"",COUNTIF($A$5:$A$204,A173)&gt;1),"REVISAR",IF(AND(A173&lt;&gt;"",C173="Sí",D173="Sí",E173="Sí",COUNT(F173:O173)=10,MIN(F173:O173)&gt;=1,MAX(F173:O173)&lt;=5,R173&lt;&gt;""),"VÁLIDO","INCOMPLETO"))))</x:f>
      </x:c>
      <x:c r="Q173" s="32" t="str">
        <x:f>IF(P173&lt;&gt;"VÁLIDO","",(SUM(F173,H173,J173,L173,N173)-5+25-SUM(G173,I173,K173,M173,O173))*2.5)</x:f>
      </x:c>
      <x:c r="R173" s="20"/>
      <x:c r="S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2" t="str">
        <x:f>IF(COUNTA(A174:O174)+COUNTA(R174:S174)=0,"",IF(AND(COUNT(F174:O174)&gt;0,OR(COUNTIF(F174:O174,"&gt;5")&gt;0,COUNTIF(F174:O174,"&lt;1")&gt;0)),"REVISAR",IF(AND(A174&lt;&gt;"",COUNTIF($A$5:$A$204,A174)&gt;1),"REVISAR",IF(AND(A174&lt;&gt;"",C174="Sí",D174="Sí",E174="Sí",COUNT(F174:O174)=10,MIN(F174:O174)&gt;=1,MAX(F174:O174)&lt;=5,R174&lt;&gt;""),"VÁLIDO","INCOMPLETO"))))</x:f>
      </x:c>
      <x:c r="Q174" s="32" t="str">
        <x:f>IF(P174&lt;&gt;"VÁLIDO","",(SUM(F174,H174,J174,L174,N174)-5+25-SUM(G174,I174,K174,M174,O174))*2.5)</x:f>
      </x:c>
      <x:c r="R174" s="20"/>
      <x:c r="S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2" t="str">
        <x:f>IF(COUNTA(A175:O175)+COUNTA(R175:S175)=0,"",IF(AND(COUNT(F175:O175)&gt;0,OR(COUNTIF(F175:O175,"&gt;5")&gt;0,COUNTIF(F175:O175,"&lt;1")&gt;0)),"REVISAR",IF(AND(A175&lt;&gt;"",COUNTIF($A$5:$A$204,A175)&gt;1),"REVISAR",IF(AND(A175&lt;&gt;"",C175="Sí",D175="Sí",E175="Sí",COUNT(F175:O175)=10,MIN(F175:O175)&gt;=1,MAX(F175:O175)&lt;=5,R175&lt;&gt;""),"VÁLIDO","INCOMPLETO"))))</x:f>
      </x:c>
      <x:c r="Q175" s="32" t="str">
        <x:f>IF(P175&lt;&gt;"VÁLIDO","",(SUM(F175,H175,J175,L175,N175)-5+25-SUM(G175,I175,K175,M175,O175))*2.5)</x:f>
      </x:c>
      <x:c r="R175" s="20"/>
      <x:c r="S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2" t="str">
        <x:f>IF(COUNTA(A176:O176)+COUNTA(R176:S176)=0,"",IF(AND(COUNT(F176:O176)&gt;0,OR(COUNTIF(F176:O176,"&gt;5")&gt;0,COUNTIF(F176:O176,"&lt;1")&gt;0)),"REVISAR",IF(AND(A176&lt;&gt;"",COUNTIF($A$5:$A$204,A176)&gt;1),"REVISAR",IF(AND(A176&lt;&gt;"",C176="Sí",D176="Sí",E176="Sí",COUNT(F176:O176)=10,MIN(F176:O176)&gt;=1,MAX(F176:O176)&lt;=5,R176&lt;&gt;""),"VÁLIDO","INCOMPLETO"))))</x:f>
      </x:c>
      <x:c r="Q176" s="32" t="str">
        <x:f>IF(P176&lt;&gt;"VÁLIDO","",(SUM(F176,H176,J176,L176,N176)-5+25-SUM(G176,I176,K176,M176,O176))*2.5)</x:f>
      </x:c>
      <x:c r="R176" s="20"/>
      <x:c r="S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2" t="str">
        <x:f>IF(COUNTA(A177:O177)+COUNTA(R177:S177)=0,"",IF(AND(COUNT(F177:O177)&gt;0,OR(COUNTIF(F177:O177,"&gt;5")&gt;0,COUNTIF(F177:O177,"&lt;1")&gt;0)),"REVISAR",IF(AND(A177&lt;&gt;"",COUNTIF($A$5:$A$204,A177)&gt;1),"REVISAR",IF(AND(A177&lt;&gt;"",C177="Sí",D177="Sí",E177="Sí",COUNT(F177:O177)=10,MIN(F177:O177)&gt;=1,MAX(F177:O177)&lt;=5,R177&lt;&gt;""),"VÁLIDO","INCOMPLETO"))))</x:f>
      </x:c>
      <x:c r="Q177" s="32" t="str">
        <x:f>IF(P177&lt;&gt;"VÁLIDO","",(SUM(F177,H177,J177,L177,N177)-5+25-SUM(G177,I177,K177,M177,O177))*2.5)</x:f>
      </x:c>
      <x:c r="R177" s="20"/>
      <x:c r="S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2" t="str">
        <x:f>IF(COUNTA(A178:O178)+COUNTA(R178:S178)=0,"",IF(AND(COUNT(F178:O178)&gt;0,OR(COUNTIF(F178:O178,"&gt;5")&gt;0,COUNTIF(F178:O178,"&lt;1")&gt;0)),"REVISAR",IF(AND(A178&lt;&gt;"",COUNTIF($A$5:$A$204,A178)&gt;1),"REVISAR",IF(AND(A178&lt;&gt;"",C178="Sí",D178="Sí",E178="Sí",COUNT(F178:O178)=10,MIN(F178:O178)&gt;=1,MAX(F178:O178)&lt;=5,R178&lt;&gt;""),"VÁLIDO","INCOMPLETO"))))</x:f>
      </x:c>
      <x:c r="Q178" s="32" t="str">
        <x:f>IF(P178&lt;&gt;"VÁLIDO","",(SUM(F178,H178,J178,L178,N178)-5+25-SUM(G178,I178,K178,M178,O178))*2.5)</x:f>
      </x:c>
      <x:c r="R178" s="20"/>
      <x:c r="S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2" t="str">
        <x:f>IF(COUNTA(A179:O179)+COUNTA(R179:S179)=0,"",IF(AND(COUNT(F179:O179)&gt;0,OR(COUNTIF(F179:O179,"&gt;5")&gt;0,COUNTIF(F179:O179,"&lt;1")&gt;0)),"REVISAR",IF(AND(A179&lt;&gt;"",COUNTIF($A$5:$A$204,A179)&gt;1),"REVISAR",IF(AND(A179&lt;&gt;"",C179="Sí",D179="Sí",E179="Sí",COUNT(F179:O179)=10,MIN(F179:O179)&gt;=1,MAX(F179:O179)&lt;=5,R179&lt;&gt;""),"VÁLIDO","INCOMPLETO"))))</x:f>
      </x:c>
      <x:c r="Q179" s="32" t="str">
        <x:f>IF(P179&lt;&gt;"VÁLIDO","",(SUM(F179,H179,J179,L179,N179)-5+25-SUM(G179,I179,K179,M179,O179))*2.5)</x:f>
      </x:c>
      <x:c r="R179" s="20"/>
      <x:c r="S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2" t="str">
        <x:f>IF(COUNTA(A180:O180)+COUNTA(R180:S180)=0,"",IF(AND(COUNT(F180:O180)&gt;0,OR(COUNTIF(F180:O180,"&gt;5")&gt;0,COUNTIF(F180:O180,"&lt;1")&gt;0)),"REVISAR",IF(AND(A180&lt;&gt;"",COUNTIF($A$5:$A$204,A180)&gt;1),"REVISAR",IF(AND(A180&lt;&gt;"",C180="Sí",D180="Sí",E180="Sí",COUNT(F180:O180)=10,MIN(F180:O180)&gt;=1,MAX(F180:O180)&lt;=5,R180&lt;&gt;""),"VÁLIDO","INCOMPLETO"))))</x:f>
      </x:c>
      <x:c r="Q180" s="32" t="str">
        <x:f>IF(P180&lt;&gt;"VÁLIDO","",(SUM(F180,H180,J180,L180,N180)-5+25-SUM(G180,I180,K180,M180,O180))*2.5)</x:f>
      </x:c>
      <x:c r="R180" s="20"/>
      <x:c r="S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2" t="str">
        <x:f>IF(COUNTA(A181:O181)+COUNTA(R181:S181)=0,"",IF(AND(COUNT(F181:O181)&gt;0,OR(COUNTIF(F181:O181,"&gt;5")&gt;0,COUNTIF(F181:O181,"&lt;1")&gt;0)),"REVISAR",IF(AND(A181&lt;&gt;"",COUNTIF($A$5:$A$204,A181)&gt;1),"REVISAR",IF(AND(A181&lt;&gt;"",C181="Sí",D181="Sí",E181="Sí",COUNT(F181:O181)=10,MIN(F181:O181)&gt;=1,MAX(F181:O181)&lt;=5,R181&lt;&gt;""),"VÁLIDO","INCOMPLETO"))))</x:f>
      </x:c>
      <x:c r="Q181" s="32" t="str">
        <x:f>IF(P181&lt;&gt;"VÁLIDO","",(SUM(F181,H181,J181,L181,N181)-5+25-SUM(G181,I181,K181,M181,O181))*2.5)</x:f>
      </x:c>
      <x:c r="R181" s="20"/>
      <x:c r="S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2" t="str">
        <x:f>IF(COUNTA(A182:O182)+COUNTA(R182:S182)=0,"",IF(AND(COUNT(F182:O182)&gt;0,OR(COUNTIF(F182:O182,"&gt;5")&gt;0,COUNTIF(F182:O182,"&lt;1")&gt;0)),"REVISAR",IF(AND(A182&lt;&gt;"",COUNTIF($A$5:$A$204,A182)&gt;1),"REVISAR",IF(AND(A182&lt;&gt;"",C182="Sí",D182="Sí",E182="Sí",COUNT(F182:O182)=10,MIN(F182:O182)&gt;=1,MAX(F182:O182)&lt;=5,R182&lt;&gt;""),"VÁLIDO","INCOMPLETO"))))</x:f>
      </x:c>
      <x:c r="Q182" s="32" t="str">
        <x:f>IF(P182&lt;&gt;"VÁLIDO","",(SUM(F182,H182,J182,L182,N182)-5+25-SUM(G182,I182,K182,M182,O182))*2.5)</x:f>
      </x:c>
      <x:c r="R182" s="20"/>
      <x:c r="S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2" t="str">
        <x:f>IF(COUNTA(A183:O183)+COUNTA(R183:S183)=0,"",IF(AND(COUNT(F183:O183)&gt;0,OR(COUNTIF(F183:O183,"&gt;5")&gt;0,COUNTIF(F183:O183,"&lt;1")&gt;0)),"REVISAR",IF(AND(A183&lt;&gt;"",COUNTIF($A$5:$A$204,A183)&gt;1),"REVISAR",IF(AND(A183&lt;&gt;"",C183="Sí",D183="Sí",E183="Sí",COUNT(F183:O183)=10,MIN(F183:O183)&gt;=1,MAX(F183:O183)&lt;=5,R183&lt;&gt;""),"VÁLIDO","INCOMPLETO"))))</x:f>
      </x:c>
      <x:c r="Q183" s="32" t="str">
        <x:f>IF(P183&lt;&gt;"VÁLIDO","",(SUM(F183,H183,J183,L183,N183)-5+25-SUM(G183,I183,K183,M183,O183))*2.5)</x:f>
      </x:c>
      <x:c r="R183" s="20"/>
      <x:c r="S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2" t="str">
        <x:f>IF(COUNTA(A184:O184)+COUNTA(R184:S184)=0,"",IF(AND(COUNT(F184:O184)&gt;0,OR(COUNTIF(F184:O184,"&gt;5")&gt;0,COUNTIF(F184:O184,"&lt;1")&gt;0)),"REVISAR",IF(AND(A184&lt;&gt;"",COUNTIF($A$5:$A$204,A184)&gt;1),"REVISAR",IF(AND(A184&lt;&gt;"",C184="Sí",D184="Sí",E184="Sí",COUNT(F184:O184)=10,MIN(F184:O184)&gt;=1,MAX(F184:O184)&lt;=5,R184&lt;&gt;""),"VÁLIDO","INCOMPLETO"))))</x:f>
      </x:c>
      <x:c r="Q184" s="32" t="str">
        <x:f>IF(P184&lt;&gt;"VÁLIDO","",(SUM(F184,H184,J184,L184,N184)-5+25-SUM(G184,I184,K184,M184,O184))*2.5)</x:f>
      </x:c>
      <x:c r="R184" s="20"/>
      <x:c r="S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2" t="str">
        <x:f>IF(COUNTA(A185:O185)+COUNTA(R185:S185)=0,"",IF(AND(COUNT(F185:O185)&gt;0,OR(COUNTIF(F185:O185,"&gt;5")&gt;0,COUNTIF(F185:O185,"&lt;1")&gt;0)),"REVISAR",IF(AND(A185&lt;&gt;"",COUNTIF($A$5:$A$204,A185)&gt;1),"REVISAR",IF(AND(A185&lt;&gt;"",C185="Sí",D185="Sí",E185="Sí",COUNT(F185:O185)=10,MIN(F185:O185)&gt;=1,MAX(F185:O185)&lt;=5,R185&lt;&gt;""),"VÁLIDO","INCOMPLETO"))))</x:f>
      </x:c>
      <x:c r="Q185" s="32" t="str">
        <x:f>IF(P185&lt;&gt;"VÁLIDO","",(SUM(F185,H185,J185,L185,N185)-5+25-SUM(G185,I185,K185,M185,O185))*2.5)</x:f>
      </x:c>
      <x:c r="R185" s="20"/>
      <x:c r="S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2" t="str">
        <x:f>IF(COUNTA(A186:O186)+COUNTA(R186:S186)=0,"",IF(AND(COUNT(F186:O186)&gt;0,OR(COUNTIF(F186:O186,"&gt;5")&gt;0,COUNTIF(F186:O186,"&lt;1")&gt;0)),"REVISAR",IF(AND(A186&lt;&gt;"",COUNTIF($A$5:$A$204,A186)&gt;1),"REVISAR",IF(AND(A186&lt;&gt;"",C186="Sí",D186="Sí",E186="Sí",COUNT(F186:O186)=10,MIN(F186:O186)&gt;=1,MAX(F186:O186)&lt;=5,R186&lt;&gt;""),"VÁLIDO","INCOMPLETO"))))</x:f>
      </x:c>
      <x:c r="Q186" s="32" t="str">
        <x:f>IF(P186&lt;&gt;"VÁLIDO","",(SUM(F186,H186,J186,L186,N186)-5+25-SUM(G186,I186,K186,M186,O186))*2.5)</x:f>
      </x:c>
      <x:c r="R186" s="20"/>
      <x:c r="S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2" t="str">
        <x:f>IF(COUNTA(A187:O187)+COUNTA(R187:S187)=0,"",IF(AND(COUNT(F187:O187)&gt;0,OR(COUNTIF(F187:O187,"&gt;5")&gt;0,COUNTIF(F187:O187,"&lt;1")&gt;0)),"REVISAR",IF(AND(A187&lt;&gt;"",COUNTIF($A$5:$A$204,A187)&gt;1),"REVISAR",IF(AND(A187&lt;&gt;"",C187="Sí",D187="Sí",E187="Sí",COUNT(F187:O187)=10,MIN(F187:O187)&gt;=1,MAX(F187:O187)&lt;=5,R187&lt;&gt;""),"VÁLIDO","INCOMPLETO"))))</x:f>
      </x:c>
      <x:c r="Q187" s="32" t="str">
        <x:f>IF(P187&lt;&gt;"VÁLIDO","",(SUM(F187,H187,J187,L187,N187)-5+25-SUM(G187,I187,K187,M187,O187))*2.5)</x:f>
      </x:c>
      <x:c r="R187" s="20"/>
      <x:c r="S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2" t="str">
        <x:f>IF(COUNTA(A188:O188)+COUNTA(R188:S188)=0,"",IF(AND(COUNT(F188:O188)&gt;0,OR(COUNTIF(F188:O188,"&gt;5")&gt;0,COUNTIF(F188:O188,"&lt;1")&gt;0)),"REVISAR",IF(AND(A188&lt;&gt;"",COUNTIF($A$5:$A$204,A188)&gt;1),"REVISAR",IF(AND(A188&lt;&gt;"",C188="Sí",D188="Sí",E188="Sí",COUNT(F188:O188)=10,MIN(F188:O188)&gt;=1,MAX(F188:O188)&lt;=5,R188&lt;&gt;""),"VÁLIDO","INCOMPLETO"))))</x:f>
      </x:c>
      <x:c r="Q188" s="32" t="str">
        <x:f>IF(P188&lt;&gt;"VÁLIDO","",(SUM(F188,H188,J188,L188,N188)-5+25-SUM(G188,I188,K188,M188,O188))*2.5)</x:f>
      </x:c>
      <x:c r="R188" s="20"/>
      <x:c r="S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2" t="str">
        <x:f>IF(COUNTA(A189:O189)+COUNTA(R189:S189)=0,"",IF(AND(COUNT(F189:O189)&gt;0,OR(COUNTIF(F189:O189,"&gt;5")&gt;0,COUNTIF(F189:O189,"&lt;1")&gt;0)),"REVISAR",IF(AND(A189&lt;&gt;"",COUNTIF($A$5:$A$204,A189)&gt;1),"REVISAR",IF(AND(A189&lt;&gt;"",C189="Sí",D189="Sí",E189="Sí",COUNT(F189:O189)=10,MIN(F189:O189)&gt;=1,MAX(F189:O189)&lt;=5,R189&lt;&gt;""),"VÁLIDO","INCOMPLETO"))))</x:f>
      </x:c>
      <x:c r="Q189" s="32" t="str">
        <x:f>IF(P189&lt;&gt;"VÁLIDO","",(SUM(F189,H189,J189,L189,N189)-5+25-SUM(G189,I189,K189,M189,O189))*2.5)</x:f>
      </x:c>
      <x:c r="R189" s="20"/>
      <x:c r="S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2" t="str">
        <x:f>IF(COUNTA(A190:O190)+COUNTA(R190:S190)=0,"",IF(AND(COUNT(F190:O190)&gt;0,OR(COUNTIF(F190:O190,"&gt;5")&gt;0,COUNTIF(F190:O190,"&lt;1")&gt;0)),"REVISAR",IF(AND(A190&lt;&gt;"",COUNTIF($A$5:$A$204,A190)&gt;1),"REVISAR",IF(AND(A190&lt;&gt;"",C190="Sí",D190="Sí",E190="Sí",COUNT(F190:O190)=10,MIN(F190:O190)&gt;=1,MAX(F190:O190)&lt;=5,R190&lt;&gt;""),"VÁLIDO","INCOMPLETO"))))</x:f>
      </x:c>
      <x:c r="Q190" s="32" t="str">
        <x:f>IF(P190&lt;&gt;"VÁLIDO","",(SUM(F190,H190,J190,L190,N190)-5+25-SUM(G190,I190,K190,M190,O190))*2.5)</x:f>
      </x:c>
      <x:c r="R190" s="20"/>
      <x:c r="S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2" t="str">
        <x:f>IF(COUNTA(A191:O191)+COUNTA(R191:S191)=0,"",IF(AND(COUNT(F191:O191)&gt;0,OR(COUNTIF(F191:O191,"&gt;5")&gt;0,COUNTIF(F191:O191,"&lt;1")&gt;0)),"REVISAR",IF(AND(A191&lt;&gt;"",COUNTIF($A$5:$A$204,A191)&gt;1),"REVISAR",IF(AND(A191&lt;&gt;"",C191="Sí",D191="Sí",E191="Sí",COUNT(F191:O191)=10,MIN(F191:O191)&gt;=1,MAX(F191:O191)&lt;=5,R191&lt;&gt;""),"VÁLIDO","INCOMPLETO"))))</x:f>
      </x:c>
      <x:c r="Q191" s="32" t="str">
        <x:f>IF(P191&lt;&gt;"VÁLIDO","",(SUM(F191,H191,J191,L191,N191)-5+25-SUM(G191,I191,K191,M191,O191))*2.5)</x:f>
      </x:c>
      <x:c r="R191" s="20"/>
      <x:c r="S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2" t="str">
        <x:f>IF(COUNTA(A192:O192)+COUNTA(R192:S192)=0,"",IF(AND(COUNT(F192:O192)&gt;0,OR(COUNTIF(F192:O192,"&gt;5")&gt;0,COUNTIF(F192:O192,"&lt;1")&gt;0)),"REVISAR",IF(AND(A192&lt;&gt;"",COUNTIF($A$5:$A$204,A192)&gt;1),"REVISAR",IF(AND(A192&lt;&gt;"",C192="Sí",D192="Sí",E192="Sí",COUNT(F192:O192)=10,MIN(F192:O192)&gt;=1,MAX(F192:O192)&lt;=5,R192&lt;&gt;""),"VÁLIDO","INCOMPLETO"))))</x:f>
      </x:c>
      <x:c r="Q192" s="32" t="str">
        <x:f>IF(P192&lt;&gt;"VÁLIDO","",(SUM(F192,H192,J192,L192,N192)-5+25-SUM(G192,I192,K192,M192,O192))*2.5)</x:f>
      </x:c>
      <x:c r="R192" s="20"/>
      <x:c r="S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2" t="str">
        <x:f>IF(COUNTA(A193:O193)+COUNTA(R193:S193)=0,"",IF(AND(COUNT(F193:O193)&gt;0,OR(COUNTIF(F193:O193,"&gt;5")&gt;0,COUNTIF(F193:O193,"&lt;1")&gt;0)),"REVISAR",IF(AND(A193&lt;&gt;"",COUNTIF($A$5:$A$204,A193)&gt;1),"REVISAR",IF(AND(A193&lt;&gt;"",C193="Sí",D193="Sí",E193="Sí",COUNT(F193:O193)=10,MIN(F193:O193)&gt;=1,MAX(F193:O193)&lt;=5,R193&lt;&gt;""),"VÁLIDO","INCOMPLETO"))))</x:f>
      </x:c>
      <x:c r="Q193" s="32" t="str">
        <x:f>IF(P193&lt;&gt;"VÁLIDO","",(SUM(F193,H193,J193,L193,N193)-5+25-SUM(G193,I193,K193,M193,O193))*2.5)</x:f>
      </x:c>
      <x:c r="R193" s="20"/>
      <x:c r="S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2" t="str">
        <x:f>IF(COUNTA(A194:O194)+COUNTA(R194:S194)=0,"",IF(AND(COUNT(F194:O194)&gt;0,OR(COUNTIF(F194:O194,"&gt;5")&gt;0,COUNTIF(F194:O194,"&lt;1")&gt;0)),"REVISAR",IF(AND(A194&lt;&gt;"",COUNTIF($A$5:$A$204,A194)&gt;1),"REVISAR",IF(AND(A194&lt;&gt;"",C194="Sí",D194="Sí",E194="Sí",COUNT(F194:O194)=10,MIN(F194:O194)&gt;=1,MAX(F194:O194)&lt;=5,R194&lt;&gt;""),"VÁLIDO","INCOMPLETO"))))</x:f>
      </x:c>
      <x:c r="Q194" s="32" t="str">
        <x:f>IF(P194&lt;&gt;"VÁLIDO","",(SUM(F194,H194,J194,L194,N194)-5+25-SUM(G194,I194,K194,M194,O194))*2.5)</x:f>
      </x:c>
      <x:c r="R194" s="20"/>
      <x:c r="S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2" t="str">
        <x:f>IF(COUNTA(A195:O195)+COUNTA(R195:S195)=0,"",IF(AND(COUNT(F195:O195)&gt;0,OR(COUNTIF(F195:O195,"&gt;5")&gt;0,COUNTIF(F195:O195,"&lt;1")&gt;0)),"REVISAR",IF(AND(A195&lt;&gt;"",COUNTIF($A$5:$A$204,A195)&gt;1),"REVISAR",IF(AND(A195&lt;&gt;"",C195="Sí",D195="Sí",E195="Sí",COUNT(F195:O195)=10,MIN(F195:O195)&gt;=1,MAX(F195:O195)&lt;=5,R195&lt;&gt;""),"VÁLIDO","INCOMPLETO"))))</x:f>
      </x:c>
      <x:c r="Q195" s="32" t="str">
        <x:f>IF(P195&lt;&gt;"VÁLIDO","",(SUM(F195,H195,J195,L195,N195)-5+25-SUM(G195,I195,K195,M195,O195))*2.5)</x:f>
      </x:c>
      <x:c r="R195" s="20"/>
      <x:c r="S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2" t="str">
        <x:f>IF(COUNTA(A196:O196)+COUNTA(R196:S196)=0,"",IF(AND(COUNT(F196:O196)&gt;0,OR(COUNTIF(F196:O196,"&gt;5")&gt;0,COUNTIF(F196:O196,"&lt;1")&gt;0)),"REVISAR",IF(AND(A196&lt;&gt;"",COUNTIF($A$5:$A$204,A196)&gt;1),"REVISAR",IF(AND(A196&lt;&gt;"",C196="Sí",D196="Sí",E196="Sí",COUNT(F196:O196)=10,MIN(F196:O196)&gt;=1,MAX(F196:O196)&lt;=5,R196&lt;&gt;""),"VÁLIDO","INCOMPLETO"))))</x:f>
      </x:c>
      <x:c r="Q196" s="32" t="str">
        <x:f>IF(P196&lt;&gt;"VÁLIDO","",(SUM(F196,H196,J196,L196,N196)-5+25-SUM(G196,I196,K196,M196,O196))*2.5)</x:f>
      </x:c>
      <x:c r="R196" s="20"/>
      <x:c r="S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2" t="str">
        <x:f>IF(COUNTA(A197:O197)+COUNTA(R197:S197)=0,"",IF(AND(COUNT(F197:O197)&gt;0,OR(COUNTIF(F197:O197,"&gt;5")&gt;0,COUNTIF(F197:O197,"&lt;1")&gt;0)),"REVISAR",IF(AND(A197&lt;&gt;"",COUNTIF($A$5:$A$204,A197)&gt;1),"REVISAR",IF(AND(A197&lt;&gt;"",C197="Sí",D197="Sí",E197="Sí",COUNT(F197:O197)=10,MIN(F197:O197)&gt;=1,MAX(F197:O197)&lt;=5,R197&lt;&gt;""),"VÁLIDO","INCOMPLETO"))))</x:f>
      </x:c>
      <x:c r="Q197" s="32" t="str">
        <x:f>IF(P197&lt;&gt;"VÁLIDO","",(SUM(F197,H197,J197,L197,N197)-5+25-SUM(G197,I197,K197,M197,O197))*2.5)</x:f>
      </x:c>
      <x:c r="R197" s="20"/>
      <x:c r="S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2" t="str">
        <x:f>IF(COUNTA(A198:O198)+COUNTA(R198:S198)=0,"",IF(AND(COUNT(F198:O198)&gt;0,OR(COUNTIF(F198:O198,"&gt;5")&gt;0,COUNTIF(F198:O198,"&lt;1")&gt;0)),"REVISAR",IF(AND(A198&lt;&gt;"",COUNTIF($A$5:$A$204,A198)&gt;1),"REVISAR",IF(AND(A198&lt;&gt;"",C198="Sí",D198="Sí",E198="Sí",COUNT(F198:O198)=10,MIN(F198:O198)&gt;=1,MAX(F198:O198)&lt;=5,R198&lt;&gt;""),"VÁLIDO","INCOMPLETO"))))</x:f>
      </x:c>
      <x:c r="Q198" s="32" t="str">
        <x:f>IF(P198&lt;&gt;"VÁLIDO","",(SUM(F198,H198,J198,L198,N198)-5+25-SUM(G198,I198,K198,M198,O198))*2.5)</x:f>
      </x:c>
      <x:c r="R198" s="20"/>
      <x:c r="S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2" t="str">
        <x:f>IF(COUNTA(A199:O199)+COUNTA(R199:S199)=0,"",IF(AND(COUNT(F199:O199)&gt;0,OR(COUNTIF(F199:O199,"&gt;5")&gt;0,COUNTIF(F199:O199,"&lt;1")&gt;0)),"REVISAR",IF(AND(A199&lt;&gt;"",COUNTIF($A$5:$A$204,A199)&gt;1),"REVISAR",IF(AND(A199&lt;&gt;"",C199="Sí",D199="Sí",E199="Sí",COUNT(F199:O199)=10,MIN(F199:O199)&gt;=1,MAX(F199:O199)&lt;=5,R199&lt;&gt;""),"VÁLIDO","INCOMPLETO"))))</x:f>
      </x:c>
      <x:c r="Q199" s="32" t="str">
        <x:f>IF(P199&lt;&gt;"VÁLIDO","",(SUM(F199,H199,J199,L199,N199)-5+25-SUM(G199,I199,K199,M199,O199))*2.5)</x:f>
      </x:c>
      <x:c r="R199" s="20"/>
      <x:c r="S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2" t="str">
        <x:f>IF(COUNTA(A200:O200)+COUNTA(R200:S200)=0,"",IF(AND(COUNT(F200:O200)&gt;0,OR(COUNTIF(F200:O200,"&gt;5")&gt;0,COUNTIF(F200:O200,"&lt;1")&gt;0)),"REVISAR",IF(AND(A200&lt;&gt;"",COUNTIF($A$5:$A$204,A200)&gt;1),"REVISAR",IF(AND(A200&lt;&gt;"",C200="Sí",D200="Sí",E200="Sí",COUNT(F200:O200)=10,MIN(F200:O200)&gt;=1,MAX(F200:O200)&lt;=5,R200&lt;&gt;""),"VÁLIDO","INCOMPLETO"))))</x:f>
      </x:c>
      <x:c r="Q200" s="32" t="str">
        <x:f>IF(P200&lt;&gt;"VÁLIDO","",(SUM(F200,H200,J200,L200,N200)-5+25-SUM(G200,I200,K200,M200,O200))*2.5)</x:f>
      </x:c>
      <x:c r="R200" s="20"/>
      <x:c r="S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2" t="str">
        <x:f>IF(COUNTA(A201:O201)+COUNTA(R201:S201)=0,"",IF(AND(COUNT(F201:O201)&gt;0,OR(COUNTIF(F201:O201,"&gt;5")&gt;0,COUNTIF(F201:O201,"&lt;1")&gt;0)),"REVISAR",IF(AND(A201&lt;&gt;"",COUNTIF($A$5:$A$204,A201)&gt;1),"REVISAR",IF(AND(A201&lt;&gt;"",C201="Sí",D201="Sí",E201="Sí",COUNT(F201:O201)=10,MIN(F201:O201)&gt;=1,MAX(F201:O201)&lt;=5,R201&lt;&gt;""),"VÁLIDO","INCOMPLETO"))))</x:f>
      </x:c>
      <x:c r="Q201" s="32" t="str">
        <x:f>IF(P201&lt;&gt;"VÁLIDO","",(SUM(F201,H201,J201,L201,N201)-5+25-SUM(G201,I201,K201,M201,O201))*2.5)</x:f>
      </x:c>
      <x:c r="R201" s="20"/>
      <x:c r="S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2" t="str">
        <x:f>IF(COUNTA(A202:O202)+COUNTA(R202:S202)=0,"",IF(AND(COUNT(F202:O202)&gt;0,OR(COUNTIF(F202:O202,"&gt;5")&gt;0,COUNTIF(F202:O202,"&lt;1")&gt;0)),"REVISAR",IF(AND(A202&lt;&gt;"",COUNTIF($A$5:$A$204,A202)&gt;1),"REVISAR",IF(AND(A202&lt;&gt;"",C202="Sí",D202="Sí",E202="Sí",COUNT(F202:O202)=10,MIN(F202:O202)&gt;=1,MAX(F202:O202)&lt;=5,R202&lt;&gt;""),"VÁLIDO","INCOMPLETO"))))</x:f>
      </x:c>
      <x:c r="Q202" s="32" t="str">
        <x:f>IF(P202&lt;&gt;"VÁLIDO","",(SUM(F202,H202,J202,L202,N202)-5+25-SUM(G202,I202,K202,M202,O202))*2.5)</x:f>
      </x:c>
      <x:c r="R202" s="20"/>
      <x:c r="S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2" t="str">
        <x:f>IF(COUNTA(A203:O203)+COUNTA(R203:S203)=0,"",IF(AND(COUNT(F203:O203)&gt;0,OR(COUNTIF(F203:O203,"&gt;5")&gt;0,COUNTIF(F203:O203,"&lt;1")&gt;0)),"REVISAR",IF(AND(A203&lt;&gt;"",COUNTIF($A$5:$A$204,A203)&gt;1),"REVISAR",IF(AND(A203&lt;&gt;"",C203="Sí",D203="Sí",E203="Sí",COUNT(F203:O203)=10,MIN(F203:O203)&gt;=1,MAX(F203:O203)&lt;=5,R203&lt;&gt;""),"VÁLIDO","INCOMPLETO"))))</x:f>
      </x:c>
      <x:c r="Q203" s="32" t="str">
        <x:f>IF(P203&lt;&gt;"VÁLIDO","",(SUM(F203,H203,J203,L203,N203)-5+25-SUM(G203,I203,K203,M203,O203))*2.5)</x:f>
      </x:c>
      <x:c r="R203" s="20"/>
      <x:c r="S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2" t="str">
        <x:f>IF(COUNTA(A204:O204)+COUNTA(R204:S204)=0,"",IF(AND(COUNT(F204:O204)&gt;0,OR(COUNTIF(F204:O204,"&gt;5")&gt;0,COUNTIF(F204:O204,"&lt;1")&gt;0)),"REVISAR",IF(AND(A204&lt;&gt;"",COUNTIF($A$5:$A$204,A204)&gt;1),"REVISAR",IF(AND(A204&lt;&gt;"",C204="Sí",D204="Sí",E204="Sí",COUNT(F204:O204)=10,MIN(F204:O204)&gt;=1,MAX(F204:O204)&lt;=5,R204&lt;&gt;""),"VÁLIDO","INCOMPLETO"))))</x:f>
      </x:c>
      <x:c r="Q204" s="32" t="str">
        <x:f>IF(P204&lt;&gt;"VÁLIDO","",(SUM(F204,H204,J204,L204,N204)-5+25-SUM(G204,I204,K204,M204,O204))*2.5)</x:f>
      </x:c>
      <x:c r="R204" s="20"/>
      <x:c r="S204" s="20"/>
    </x:row>
  </x:sheetData>
  <x:mergeCells>
    <x:mergeCell ref="A1:S1"/>
    <x:mergeCell ref="A2:S2"/>
  </x:mergeCells>
  <x:conditionalFormatting sqref="P5:P204">
    <x:cfRule type="expression" dxfId="0" priority="1">
      <x:formula>P5="REVISAR"</x:formula>
    </x:cfRule>
  </x:conditionalFormatting>
  <x:dataValidations count="11">
    <x:dataValidation type="list" sqref="C5:E204">
      <x:formula1>"Sí,No,Pendiente"</x:formula1>
    </x:dataValidation>
    <x:dataValidation type="list" sqref="F5:F204">
      <x:formula1>"1,2,3,4,5"</x:formula1>
    </x:dataValidation>
    <x:dataValidation type="list" sqref="G5:G204">
      <x:formula1>"1,2,3,4,5"</x:formula1>
    </x:dataValidation>
    <x:dataValidation type="list" sqref="H5:H204">
      <x:formula1>"1,2,3,4,5"</x:formula1>
    </x:dataValidation>
    <x:dataValidation type="list" sqref="I5:I204">
      <x:formula1>"1,2,3,4,5"</x:formula1>
    </x:dataValidation>
    <x:dataValidation type="list" sqref="J5:J204">
      <x:formula1>"1,2,3,4,5"</x:formula1>
    </x:dataValidation>
    <x:dataValidation type="list" sqref="K5:K204">
      <x:formula1>"1,2,3,4,5"</x:formula1>
    </x:dataValidation>
    <x:dataValidation type="list" sqref="L5:L204">
      <x:formula1>"1,2,3,4,5"</x:formula1>
    </x:dataValidation>
    <x:dataValidation type="list" sqref="M5:M204">
      <x:formula1>"1,2,3,4,5"</x:formula1>
    </x:dataValidation>
    <x:dataValidation type="list" sqref="N5:N204">
      <x:formula1>"1,2,3,4,5"</x:formula1>
    </x:dataValidation>
    <x:dataValidation type="list" sqref="O5:O20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6faf3a5a394115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2" hidden="0" customWidth="1"/>
    <x:col min="5" max="5" width="18" hidden="0" customWidth="1"/>
    <x:col min="6" max="6" width="48" hidden="0" customWidth="1"/>
    <x:col min="7" max="7" width="48" hidden="0" customWidth="1"/>
    <x:col min="8" max="8" width="26" hidden="0" customWidth="1"/>
  </x:cols>
  <x:sheetData>
    <x:row r="1" ht="35" customHeight="1">
      <x:c r="A1" s="3" t="str">
        <x:v>OBSERVACIONES INDIVIDUALES DE TIEMPO</x:v>
      </x:c>
      <x:c r="B1" s="3"/>
      <x:c r="C1" s="3"/>
      <x:c r="D1" s="3"/>
      <x:c r="E1" s="3"/>
      <x:c r="F1" s="3"/>
      <x:c r="G1" s="3"/>
      <x:c r="H1" s="3"/>
    </x:row>
    <x:row r="2" ht="29" customHeight="1">
      <x:c r="A2" s="7" t="str">
        <x:v>Una duración por solicitud; respetar escenario, ejecución y evidencia.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3" t="str">
        <x:v>ID observación</x:v>
      </x:c>
      <x:c r="B4" s="13" t="str">
        <x:v>Escenario ET</x:v>
      </x:c>
      <x:c r="C4" s="13" t="str">
        <x:v>ID ejecución</x:v>
      </x:c>
      <x:c r="D4" s="13" t="str">
        <x:v>Duración (ms)</x:v>
      </x:c>
      <x:c r="E4" s="13" t="str">
        <x:v>Elegible</x:v>
      </x:c>
      <x:c r="F4" s="13" t="str">
        <x:v>Fuente/log</x:v>
      </x:c>
      <x:c r="G4" s="13" t="str">
        <x:v>Evidencia</x:v>
      </x:c>
      <x:c r="H4" s="13" t="str">
        <x:v>Estado control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2" t="str">
        <x:f>IF(COUNTA(A5:G5)=0,"",IF(AND(ISNUMBER(D5),D5&lt;0),"REVISAR",IF(AND(A5&lt;&gt;"",COUNTIF($A$5:$A$304,A5)&gt;1),"REVISAR",IF(AND(E5="No",G5&lt;&gt;""),"EXCLUIDO",IF(AND(A5&lt;&gt;"",B5&lt;&gt;"",C5&lt;&gt;"",ISNUMBER(D5),D5&gt;=0,E5="Sí",F5&lt;&gt;"",G5&lt;&gt;""),"VÁLIDO","INCOMPLETO")))))</x:f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2" t="str">
        <x:f>IF(COUNTA(A6:G6)=0,"",IF(AND(ISNUMBER(D6),D6&lt;0),"REVISAR",IF(AND(A6&lt;&gt;"",COUNTIF($A$5:$A$304,A6)&gt;1),"REVISAR",IF(AND(E6="No",G6&lt;&gt;""),"EXCLUIDO",IF(AND(A6&lt;&gt;"",B6&lt;&gt;"",C6&lt;&gt;"",ISNUMBER(D6),D6&gt;=0,E6="Sí",F6&lt;&gt;"",G6&lt;&gt;""),"VÁLIDO","INCOMPLETO"))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2" t="str">
        <x:f>IF(COUNTA(A7:G7)=0,"",IF(AND(ISNUMBER(D7),D7&lt;0),"REVISAR",IF(AND(A7&lt;&gt;"",COUNTIF($A$5:$A$304,A7)&gt;1),"REVISAR",IF(AND(E7="No",G7&lt;&gt;""),"EXCLUIDO",IF(AND(A7&lt;&gt;"",B7&lt;&gt;"",C7&lt;&gt;"",ISNUMBER(D7),D7&gt;=0,E7="Sí",F7&lt;&gt;"",G7&lt;&gt;""),"VÁLIDO","INCOMPLETO"))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2" t="str">
        <x:f>IF(COUNTA(A8:G8)=0,"",IF(AND(ISNUMBER(D8),D8&lt;0),"REVISAR",IF(AND(A8&lt;&gt;"",COUNTIF($A$5:$A$304,A8)&gt;1),"REVISAR",IF(AND(E8="No",G8&lt;&gt;""),"EXCLUIDO",IF(AND(A8&lt;&gt;"",B8&lt;&gt;"",C8&lt;&gt;"",ISNUMBER(D8),D8&gt;=0,E8="Sí",F8&lt;&gt;"",G8&lt;&gt;""),"VÁLIDO","INCOMPLETO"))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2" t="str">
        <x:f>IF(COUNTA(A9:G9)=0,"",IF(AND(ISNUMBER(D9),D9&lt;0),"REVISAR",IF(AND(A9&lt;&gt;"",COUNTIF($A$5:$A$304,A9)&gt;1),"REVISAR",IF(AND(E9="No",G9&lt;&gt;""),"EXCLUIDO",IF(AND(A9&lt;&gt;"",B9&lt;&gt;"",C9&lt;&gt;"",ISNUMBER(D9),D9&gt;=0,E9="Sí",F9&lt;&gt;"",G9&lt;&gt;""),"VÁLIDO","INCOMPLETO"))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2" t="str">
        <x:f>IF(COUNTA(A10:G10)=0,"",IF(AND(ISNUMBER(D10),D10&lt;0),"REVISAR",IF(AND(A10&lt;&gt;"",COUNTIF($A$5:$A$304,A10)&gt;1),"REVISAR",IF(AND(E10="No",G10&lt;&gt;""),"EXCLUIDO",IF(AND(A10&lt;&gt;"",B10&lt;&gt;"",C10&lt;&gt;"",ISNUMBER(D10),D10&gt;=0,E10="Sí",F10&lt;&gt;"",G10&lt;&gt;""),"VÁLIDO","INCOMPLETO"))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2" t="str">
        <x:f>IF(COUNTA(A11:G11)=0,"",IF(AND(ISNUMBER(D11),D11&lt;0),"REVISAR",IF(AND(A11&lt;&gt;"",COUNTIF($A$5:$A$304,A11)&gt;1),"REVISAR",IF(AND(E11="No",G11&lt;&gt;""),"EXCLUIDO",IF(AND(A11&lt;&gt;"",B11&lt;&gt;"",C11&lt;&gt;"",ISNUMBER(D11),D11&gt;=0,E11="Sí",F11&lt;&gt;"",G11&lt;&gt;""),"VÁLIDO","INCOMPLETO"))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2" t="str">
        <x:f>IF(COUNTA(A12:G12)=0,"",IF(AND(ISNUMBER(D12),D12&lt;0),"REVISAR",IF(AND(A12&lt;&gt;"",COUNTIF($A$5:$A$304,A12)&gt;1),"REVISAR",IF(AND(E12="No",G12&lt;&gt;""),"EXCLUIDO",IF(AND(A12&lt;&gt;"",B12&lt;&gt;"",C12&lt;&gt;"",ISNUMBER(D12),D12&gt;=0,E12="Sí",F12&lt;&gt;"",G12&lt;&gt;""),"VÁLIDO","INCOMPLETO"))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2" t="str">
        <x:f>IF(COUNTA(A13:G13)=0,"",IF(AND(ISNUMBER(D13),D13&lt;0),"REVISAR",IF(AND(A13&lt;&gt;"",COUNTIF($A$5:$A$304,A13)&gt;1),"REVISAR",IF(AND(E13="No",G13&lt;&gt;""),"EXCLUIDO",IF(AND(A13&lt;&gt;"",B13&lt;&gt;"",C13&lt;&gt;"",ISNUMBER(D13),D13&gt;=0,E13="Sí",F13&lt;&gt;"",G13&lt;&gt;""),"VÁLIDO","INCOMPLETO"))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2" t="str">
        <x:f>IF(COUNTA(A14:G14)=0,"",IF(AND(ISNUMBER(D14),D14&lt;0),"REVISAR",IF(AND(A14&lt;&gt;"",COUNTIF($A$5:$A$304,A14)&gt;1),"REVISAR",IF(AND(E14="No",G14&lt;&gt;""),"EXCLUIDO",IF(AND(A14&lt;&gt;"",B14&lt;&gt;"",C14&lt;&gt;"",ISNUMBER(D14),D14&gt;=0,E14="Sí",F14&lt;&gt;"",G14&lt;&gt;""),"VÁLIDO","INCOMPLETO"))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2" t="str">
        <x:f>IF(COUNTA(A15:G15)=0,"",IF(AND(ISNUMBER(D15),D15&lt;0),"REVISAR",IF(AND(A15&lt;&gt;"",COUNTIF($A$5:$A$304,A15)&gt;1),"REVISAR",IF(AND(E15="No",G15&lt;&gt;""),"EXCLUIDO",IF(AND(A15&lt;&gt;"",B15&lt;&gt;"",C15&lt;&gt;"",ISNUMBER(D15),D15&gt;=0,E15="Sí",F15&lt;&gt;"",G15&lt;&gt;""),"VÁLIDO","INCOMPLETO"))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2" t="str">
        <x:f>IF(COUNTA(A16:G16)=0,"",IF(AND(ISNUMBER(D16),D16&lt;0),"REVISAR",IF(AND(A16&lt;&gt;"",COUNTIF($A$5:$A$304,A16)&gt;1),"REVISAR",IF(AND(E16="No",G16&lt;&gt;""),"EXCLUIDO",IF(AND(A16&lt;&gt;"",B16&lt;&gt;"",C16&lt;&gt;"",ISNUMBER(D16),D16&gt;=0,E16="Sí",F16&lt;&gt;"",G16&lt;&gt;""),"VÁLIDO","INCOMPLETO"))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2" t="str">
        <x:f>IF(COUNTA(A17:G17)=0,"",IF(AND(ISNUMBER(D17),D17&lt;0),"REVISAR",IF(AND(A17&lt;&gt;"",COUNTIF($A$5:$A$304,A17)&gt;1),"REVISAR",IF(AND(E17="No",G17&lt;&gt;""),"EXCLUIDO",IF(AND(A17&lt;&gt;"",B17&lt;&gt;"",C17&lt;&gt;"",ISNUMBER(D17),D17&gt;=0,E17="Sí",F17&lt;&gt;"",G17&lt;&gt;""),"VÁLIDO","INCOMPLETO"))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2" t="str">
        <x:f>IF(COUNTA(A18:G18)=0,"",IF(AND(ISNUMBER(D18),D18&lt;0),"REVISAR",IF(AND(A18&lt;&gt;"",COUNTIF($A$5:$A$304,A18)&gt;1),"REVISAR",IF(AND(E18="No",G18&lt;&gt;""),"EXCLUIDO",IF(AND(A18&lt;&gt;"",B18&lt;&gt;"",C18&lt;&gt;"",ISNUMBER(D18),D18&gt;=0,E18="Sí",F18&lt;&gt;"",G18&lt;&gt;""),"VÁLIDO","INCOMPLETO"))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2" t="str">
        <x:f>IF(COUNTA(A19:G19)=0,"",IF(AND(ISNUMBER(D19),D19&lt;0),"REVISAR",IF(AND(A19&lt;&gt;"",COUNTIF($A$5:$A$304,A19)&gt;1),"REVISAR",IF(AND(E19="No",G19&lt;&gt;""),"EXCLUIDO",IF(AND(A19&lt;&gt;"",B19&lt;&gt;"",C19&lt;&gt;"",ISNUMBER(D19),D19&gt;=0,E19="Sí",F19&lt;&gt;"",G19&lt;&gt;""),"VÁLIDO","INCOMPLETO"))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2" t="str">
        <x:f>IF(COUNTA(A20:G20)=0,"",IF(AND(ISNUMBER(D20),D20&lt;0),"REVISAR",IF(AND(A20&lt;&gt;"",COUNTIF($A$5:$A$304,A20)&gt;1),"REVISAR",IF(AND(E20="No",G20&lt;&gt;""),"EXCLUIDO",IF(AND(A20&lt;&gt;"",B20&lt;&gt;"",C20&lt;&gt;"",ISNUMBER(D20),D20&gt;=0,E20="Sí",F20&lt;&gt;"",G20&lt;&gt;""),"VÁLIDO","INCOMPLETO"))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2" t="str">
        <x:f>IF(COUNTA(A21:G21)=0,"",IF(AND(ISNUMBER(D21),D21&lt;0),"REVISAR",IF(AND(A21&lt;&gt;"",COUNTIF($A$5:$A$304,A21)&gt;1),"REVISAR",IF(AND(E21="No",G21&lt;&gt;""),"EXCLUIDO",IF(AND(A21&lt;&gt;"",B21&lt;&gt;"",C21&lt;&gt;"",ISNUMBER(D21),D21&gt;=0,E21="Sí",F21&lt;&gt;"",G21&lt;&gt;""),"VÁLIDO","INCOMPLETO"))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2" t="str">
        <x:f>IF(COUNTA(A22:G22)=0,"",IF(AND(ISNUMBER(D22),D22&lt;0),"REVISAR",IF(AND(A22&lt;&gt;"",COUNTIF($A$5:$A$304,A22)&gt;1),"REVISAR",IF(AND(E22="No",G22&lt;&gt;""),"EXCLUIDO",IF(AND(A22&lt;&gt;"",B22&lt;&gt;"",C22&lt;&gt;"",ISNUMBER(D22),D22&gt;=0,E22="Sí",F22&lt;&gt;"",G22&lt;&gt;""),"VÁLIDO","INCOMPLETO"))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2" t="str">
        <x:f>IF(COUNTA(A23:G23)=0,"",IF(AND(ISNUMBER(D23),D23&lt;0),"REVISAR",IF(AND(A23&lt;&gt;"",COUNTIF($A$5:$A$304,A23)&gt;1),"REVISAR",IF(AND(E23="No",G23&lt;&gt;""),"EXCLUIDO",IF(AND(A23&lt;&gt;"",B23&lt;&gt;"",C23&lt;&gt;"",ISNUMBER(D23),D23&gt;=0,E23="Sí",F23&lt;&gt;"",G23&lt;&gt;""),"VÁLIDO","INCOMPLETO"))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2" t="str">
        <x:f>IF(COUNTA(A24:G24)=0,"",IF(AND(ISNUMBER(D24),D24&lt;0),"REVISAR",IF(AND(A24&lt;&gt;"",COUNTIF($A$5:$A$304,A24)&gt;1),"REVISAR",IF(AND(E24="No",G24&lt;&gt;""),"EXCLUIDO",IF(AND(A24&lt;&gt;"",B24&lt;&gt;"",C24&lt;&gt;"",ISNUMBER(D24),D24&gt;=0,E24="Sí",F24&lt;&gt;"",G24&lt;&gt;""),"VÁLIDO","INCOMPLETO"))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2" t="str">
        <x:f>IF(COUNTA(A25:G25)=0,"",IF(AND(ISNUMBER(D25),D25&lt;0),"REVISAR",IF(AND(A25&lt;&gt;"",COUNTIF($A$5:$A$304,A25)&gt;1),"REVISAR",IF(AND(E25="No",G25&lt;&gt;""),"EXCLUIDO",IF(AND(A25&lt;&gt;"",B25&lt;&gt;"",C25&lt;&gt;"",ISNUMBER(D25),D25&gt;=0,E25="Sí",F25&lt;&gt;"",G25&lt;&gt;""),"VÁLIDO","INCOMPLETO"))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2" t="str">
        <x:f>IF(COUNTA(A26:G26)=0,"",IF(AND(ISNUMBER(D26),D26&lt;0),"REVISAR",IF(AND(A26&lt;&gt;"",COUNTIF($A$5:$A$304,A26)&gt;1),"REVISAR",IF(AND(E26="No",G26&lt;&gt;""),"EXCLUIDO",IF(AND(A26&lt;&gt;"",B26&lt;&gt;"",C26&lt;&gt;"",ISNUMBER(D26),D26&gt;=0,E26="Sí",F26&lt;&gt;"",G26&lt;&gt;""),"VÁLIDO","INCOMPLETO"))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2" t="str">
        <x:f>IF(COUNTA(A27:G27)=0,"",IF(AND(ISNUMBER(D27),D27&lt;0),"REVISAR",IF(AND(A27&lt;&gt;"",COUNTIF($A$5:$A$304,A27)&gt;1),"REVISAR",IF(AND(E27="No",G27&lt;&gt;""),"EXCLUIDO",IF(AND(A27&lt;&gt;"",B27&lt;&gt;"",C27&lt;&gt;"",ISNUMBER(D27),D27&gt;=0,E27="Sí",F27&lt;&gt;"",G27&lt;&gt;""),"VÁLIDO","INCOMPLETO"))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2" t="str">
        <x:f>IF(COUNTA(A28:G28)=0,"",IF(AND(ISNUMBER(D28),D28&lt;0),"REVISAR",IF(AND(A28&lt;&gt;"",COUNTIF($A$5:$A$304,A28)&gt;1),"REVISAR",IF(AND(E28="No",G28&lt;&gt;""),"EXCLUIDO",IF(AND(A28&lt;&gt;"",B28&lt;&gt;"",C28&lt;&gt;"",ISNUMBER(D28),D28&gt;=0,E28="Sí",F28&lt;&gt;"",G28&lt;&gt;""),"VÁLIDO","INCOMPLETO"))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2" t="str">
        <x:f>IF(COUNTA(A29:G29)=0,"",IF(AND(ISNUMBER(D29),D29&lt;0),"REVISAR",IF(AND(A29&lt;&gt;"",COUNTIF($A$5:$A$304,A29)&gt;1),"REVISAR",IF(AND(E29="No",G29&lt;&gt;""),"EXCLUIDO",IF(AND(A29&lt;&gt;"",B29&lt;&gt;"",C29&lt;&gt;"",ISNUMBER(D29),D29&gt;=0,E29="Sí",F29&lt;&gt;"",G29&lt;&gt;""),"VÁLIDO","INCOMPLETO"))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2" t="str">
        <x:f>IF(COUNTA(A30:G30)=0,"",IF(AND(ISNUMBER(D30),D30&lt;0),"REVISAR",IF(AND(A30&lt;&gt;"",COUNTIF($A$5:$A$304,A30)&gt;1),"REVISAR",IF(AND(E30="No",G30&lt;&gt;""),"EXCLUIDO",IF(AND(A30&lt;&gt;"",B30&lt;&gt;"",C30&lt;&gt;"",ISNUMBER(D30),D30&gt;=0,E30="Sí",F30&lt;&gt;"",G30&lt;&gt;""),"VÁLIDO","INCOMPLETO")))))</x:f>
      </x:c>
    </x:row>
    <x:row r="31">
      <x:c r="A31" s="20"/>
      <x:c r="B31" s="20"/>
      <x:c r="C31" s="20"/>
      <x:c r="D31" s="20"/>
      <x:c r="E31" s="20"/>
      <x:c r="F31" s="20"/>
      <x:c r="G31" s="20"/>
      <x:c r="H31" s="22" t="str">
        <x:f>IF(COUNTA(A31:G31)=0,"",IF(AND(ISNUMBER(D31),D31&lt;0),"REVISAR",IF(AND(A31&lt;&gt;"",COUNTIF($A$5:$A$304,A31)&gt;1),"REVISAR",IF(AND(E31="No",G31&lt;&gt;""),"EXCLUIDO",IF(AND(A31&lt;&gt;"",B31&lt;&gt;"",C31&lt;&gt;"",ISNUMBER(D31),D31&gt;=0,E31="Sí",F31&lt;&gt;"",G31&lt;&gt;""),"VÁLIDO","INCOMPLETO")))))</x:f>
      </x:c>
    </x:row>
    <x:row r="32">
      <x:c r="A32" s="20"/>
      <x:c r="B32" s="20"/>
      <x:c r="C32" s="20"/>
      <x:c r="D32" s="20"/>
      <x:c r="E32" s="20"/>
      <x:c r="F32" s="20"/>
      <x:c r="G32" s="20"/>
      <x:c r="H32" s="22" t="str">
        <x:f>IF(COUNTA(A32:G32)=0,"",IF(AND(ISNUMBER(D32),D32&lt;0),"REVISAR",IF(AND(A32&lt;&gt;"",COUNTIF($A$5:$A$304,A32)&gt;1),"REVISAR",IF(AND(E32="No",G32&lt;&gt;""),"EXCLUIDO",IF(AND(A32&lt;&gt;"",B32&lt;&gt;"",C32&lt;&gt;"",ISNUMBER(D32),D32&gt;=0,E32="Sí",F32&lt;&gt;"",G32&lt;&gt;""),"VÁLIDO","INCOMPLETO")))))</x:f>
      </x:c>
    </x:row>
    <x:row r="33">
      <x:c r="A33" s="20"/>
      <x:c r="B33" s="20"/>
      <x:c r="C33" s="20"/>
      <x:c r="D33" s="20"/>
      <x:c r="E33" s="20"/>
      <x:c r="F33" s="20"/>
      <x:c r="G33" s="20"/>
      <x:c r="H33" s="22" t="str">
        <x:f>IF(COUNTA(A33:G33)=0,"",IF(AND(ISNUMBER(D33),D33&lt;0),"REVISAR",IF(AND(A33&lt;&gt;"",COUNTIF($A$5:$A$304,A33)&gt;1),"REVISAR",IF(AND(E33="No",G33&lt;&gt;""),"EXCLUIDO",IF(AND(A33&lt;&gt;"",B33&lt;&gt;"",C33&lt;&gt;"",ISNUMBER(D33),D33&gt;=0,E33="Sí",F33&lt;&gt;"",G33&lt;&gt;""),"VÁLIDO","INCOMPLETO")))))</x:f>
      </x:c>
    </x:row>
    <x:row r="34">
      <x:c r="A34" s="20"/>
      <x:c r="B34" s="20"/>
      <x:c r="C34" s="20"/>
      <x:c r="D34" s="20"/>
      <x:c r="E34" s="20"/>
      <x:c r="F34" s="20"/>
      <x:c r="G34" s="20"/>
      <x:c r="H34" s="22" t="str">
        <x:f>IF(COUNTA(A34:G34)=0,"",IF(AND(ISNUMBER(D34),D34&lt;0),"REVISAR",IF(AND(A34&lt;&gt;"",COUNTIF($A$5:$A$304,A34)&gt;1),"REVISAR",IF(AND(E34="No",G34&lt;&gt;""),"EXCLUIDO",IF(AND(A34&lt;&gt;"",B34&lt;&gt;"",C34&lt;&gt;"",ISNUMBER(D34),D34&gt;=0,E34="Sí",F34&lt;&gt;"",G34&lt;&gt;""),"VÁLIDO","INCOMPLETO")))))</x:f>
      </x:c>
    </x:row>
    <x:row r="35">
      <x:c r="A35" s="20"/>
      <x:c r="B35" s="20"/>
      <x:c r="C35" s="20"/>
      <x:c r="D35" s="20"/>
      <x:c r="E35" s="20"/>
      <x:c r="F35" s="20"/>
      <x:c r="G35" s="20"/>
      <x:c r="H35" s="22" t="str">
        <x:f>IF(COUNTA(A35:G35)=0,"",IF(AND(ISNUMBER(D35),D35&lt;0),"REVISAR",IF(AND(A35&lt;&gt;"",COUNTIF($A$5:$A$304,A35)&gt;1),"REVISAR",IF(AND(E35="No",G35&lt;&gt;""),"EXCLUIDO",IF(AND(A35&lt;&gt;"",B35&lt;&gt;"",C35&lt;&gt;"",ISNUMBER(D35),D35&gt;=0,E35="Sí",F35&lt;&gt;"",G35&lt;&gt;""),"VÁLIDO","INCOMPLETO")))))</x:f>
      </x:c>
    </x:row>
    <x:row r="36">
      <x:c r="A36" s="20"/>
      <x:c r="B36" s="20"/>
      <x:c r="C36" s="20"/>
      <x:c r="D36" s="20"/>
      <x:c r="E36" s="20"/>
      <x:c r="F36" s="20"/>
      <x:c r="G36" s="20"/>
      <x:c r="H36" s="22" t="str">
        <x:f>IF(COUNTA(A36:G36)=0,"",IF(AND(ISNUMBER(D36),D36&lt;0),"REVISAR",IF(AND(A36&lt;&gt;"",COUNTIF($A$5:$A$304,A36)&gt;1),"REVISAR",IF(AND(E36="No",G36&lt;&gt;""),"EXCLUIDO",IF(AND(A36&lt;&gt;"",B36&lt;&gt;"",C36&lt;&gt;"",ISNUMBER(D36),D36&gt;=0,E36="Sí",F36&lt;&gt;"",G36&lt;&gt;""),"VÁLIDO","INCOMPLETO")))))</x:f>
      </x:c>
    </x:row>
    <x:row r="37">
      <x:c r="A37" s="20"/>
      <x:c r="B37" s="20"/>
      <x:c r="C37" s="20"/>
      <x:c r="D37" s="20"/>
      <x:c r="E37" s="20"/>
      <x:c r="F37" s="20"/>
      <x:c r="G37" s="20"/>
      <x:c r="H37" s="22" t="str">
        <x:f>IF(COUNTA(A37:G37)=0,"",IF(AND(ISNUMBER(D37),D37&lt;0),"REVISAR",IF(AND(A37&lt;&gt;"",COUNTIF($A$5:$A$304,A37)&gt;1),"REVISAR",IF(AND(E37="No",G37&lt;&gt;""),"EXCLUIDO",IF(AND(A37&lt;&gt;"",B37&lt;&gt;"",C37&lt;&gt;"",ISNUMBER(D37),D37&gt;=0,E37="Sí",F37&lt;&gt;"",G37&lt;&gt;""),"VÁLIDO","INCOMPLETO")))))</x:f>
      </x:c>
    </x:row>
    <x:row r="38">
      <x:c r="A38" s="20"/>
      <x:c r="B38" s="20"/>
      <x:c r="C38" s="20"/>
      <x:c r="D38" s="20"/>
      <x:c r="E38" s="20"/>
      <x:c r="F38" s="20"/>
      <x:c r="G38" s="20"/>
      <x:c r="H38" s="22" t="str">
        <x:f>IF(COUNTA(A38:G38)=0,"",IF(AND(ISNUMBER(D38),D38&lt;0),"REVISAR",IF(AND(A38&lt;&gt;"",COUNTIF($A$5:$A$304,A38)&gt;1),"REVISAR",IF(AND(E38="No",G38&lt;&gt;""),"EXCLUIDO",IF(AND(A38&lt;&gt;"",B38&lt;&gt;"",C38&lt;&gt;"",ISNUMBER(D38),D38&gt;=0,E38="Sí",F38&lt;&gt;"",G38&lt;&gt;""),"VÁLIDO","INCOMPLETO")))))</x:f>
      </x:c>
    </x:row>
    <x:row r="39">
      <x:c r="A39" s="20"/>
      <x:c r="B39" s="20"/>
      <x:c r="C39" s="20"/>
      <x:c r="D39" s="20"/>
      <x:c r="E39" s="20"/>
      <x:c r="F39" s="20"/>
      <x:c r="G39" s="20"/>
      <x:c r="H39" s="22" t="str">
        <x:f>IF(COUNTA(A39:G39)=0,"",IF(AND(ISNUMBER(D39),D39&lt;0),"REVISAR",IF(AND(A39&lt;&gt;"",COUNTIF($A$5:$A$304,A39)&gt;1),"REVISAR",IF(AND(E39="No",G39&lt;&gt;""),"EXCLUIDO",IF(AND(A39&lt;&gt;"",B39&lt;&gt;"",C39&lt;&gt;"",ISNUMBER(D39),D39&gt;=0,E39="Sí",F39&lt;&gt;"",G39&lt;&gt;""),"VÁLIDO","INCOMPLETO")))))</x:f>
      </x:c>
    </x:row>
    <x:row r="40">
      <x:c r="A40" s="20"/>
      <x:c r="B40" s="20"/>
      <x:c r="C40" s="20"/>
      <x:c r="D40" s="20"/>
      <x:c r="E40" s="20"/>
      <x:c r="F40" s="20"/>
      <x:c r="G40" s="20"/>
      <x:c r="H40" s="22" t="str">
        <x:f>IF(COUNTA(A40:G40)=0,"",IF(AND(ISNUMBER(D40),D40&lt;0),"REVISAR",IF(AND(A40&lt;&gt;"",COUNTIF($A$5:$A$304,A40)&gt;1),"REVISAR",IF(AND(E40="No",G40&lt;&gt;""),"EXCLUIDO",IF(AND(A40&lt;&gt;"",B40&lt;&gt;"",C40&lt;&gt;"",ISNUMBER(D40),D40&gt;=0,E40="Sí",F40&lt;&gt;"",G40&lt;&gt;""),"VÁLIDO","INCOMPLETO")))))</x:f>
      </x:c>
    </x:row>
    <x:row r="41">
      <x:c r="A41" s="20"/>
      <x:c r="B41" s="20"/>
      <x:c r="C41" s="20"/>
      <x:c r="D41" s="20"/>
      <x:c r="E41" s="20"/>
      <x:c r="F41" s="20"/>
      <x:c r="G41" s="20"/>
      <x:c r="H41" s="22" t="str">
        <x:f>IF(COUNTA(A41:G41)=0,"",IF(AND(ISNUMBER(D41),D41&lt;0),"REVISAR",IF(AND(A41&lt;&gt;"",COUNTIF($A$5:$A$304,A41)&gt;1),"REVISAR",IF(AND(E41="No",G41&lt;&gt;""),"EXCLUIDO",IF(AND(A41&lt;&gt;"",B41&lt;&gt;"",C41&lt;&gt;"",ISNUMBER(D41),D41&gt;=0,E41="Sí",F41&lt;&gt;"",G41&lt;&gt;""),"VÁLIDO","INCOMPLETO")))))</x:f>
      </x:c>
    </x:row>
    <x:row r="42">
      <x:c r="A42" s="20"/>
      <x:c r="B42" s="20"/>
      <x:c r="C42" s="20"/>
      <x:c r="D42" s="20"/>
      <x:c r="E42" s="20"/>
      <x:c r="F42" s="20"/>
      <x:c r="G42" s="20"/>
      <x:c r="H42" s="22" t="str">
        <x:f>IF(COUNTA(A42:G42)=0,"",IF(AND(ISNUMBER(D42),D42&lt;0),"REVISAR",IF(AND(A42&lt;&gt;"",COUNTIF($A$5:$A$304,A42)&gt;1),"REVISAR",IF(AND(E42="No",G42&lt;&gt;""),"EXCLUIDO",IF(AND(A42&lt;&gt;"",B42&lt;&gt;"",C42&lt;&gt;"",ISNUMBER(D42),D42&gt;=0,E42="Sí",F42&lt;&gt;"",G42&lt;&gt;""),"VÁLIDO","INCOMPLETO")))))</x:f>
      </x:c>
    </x:row>
    <x:row r="43">
      <x:c r="A43" s="20"/>
      <x:c r="B43" s="20"/>
      <x:c r="C43" s="20"/>
      <x:c r="D43" s="20"/>
      <x:c r="E43" s="20"/>
      <x:c r="F43" s="20"/>
      <x:c r="G43" s="20"/>
      <x:c r="H43" s="22" t="str">
        <x:f>IF(COUNTA(A43:G43)=0,"",IF(AND(ISNUMBER(D43),D43&lt;0),"REVISAR",IF(AND(A43&lt;&gt;"",COUNTIF($A$5:$A$304,A43)&gt;1),"REVISAR",IF(AND(E43="No",G43&lt;&gt;""),"EXCLUIDO",IF(AND(A43&lt;&gt;"",B43&lt;&gt;"",C43&lt;&gt;"",ISNUMBER(D43),D43&gt;=0,E43="Sí",F43&lt;&gt;"",G43&lt;&gt;""),"VÁLIDO","INCOMPLETO")))))</x:f>
      </x:c>
    </x:row>
    <x:row r="44">
      <x:c r="A44" s="20"/>
      <x:c r="B44" s="20"/>
      <x:c r="C44" s="20"/>
      <x:c r="D44" s="20"/>
      <x:c r="E44" s="20"/>
      <x:c r="F44" s="20"/>
      <x:c r="G44" s="20"/>
      <x:c r="H44" s="22" t="str">
        <x:f>IF(COUNTA(A44:G44)=0,"",IF(AND(ISNUMBER(D44),D44&lt;0),"REVISAR",IF(AND(A44&lt;&gt;"",COUNTIF($A$5:$A$304,A44)&gt;1),"REVISAR",IF(AND(E44="No",G44&lt;&gt;""),"EXCLUIDO",IF(AND(A44&lt;&gt;"",B44&lt;&gt;"",C44&lt;&gt;"",ISNUMBER(D44),D44&gt;=0,E44="Sí",F44&lt;&gt;"",G44&lt;&gt;""),"VÁLIDO","INCOMPLETO")))))</x:f>
      </x:c>
    </x:row>
    <x:row r="45">
      <x:c r="A45" s="20"/>
      <x:c r="B45" s="20"/>
      <x:c r="C45" s="20"/>
      <x:c r="D45" s="20"/>
      <x:c r="E45" s="20"/>
      <x:c r="F45" s="20"/>
      <x:c r="G45" s="20"/>
      <x:c r="H45" s="22" t="str">
        <x:f>IF(COUNTA(A45:G45)=0,"",IF(AND(ISNUMBER(D45),D45&lt;0),"REVISAR",IF(AND(A45&lt;&gt;"",COUNTIF($A$5:$A$304,A45)&gt;1),"REVISAR",IF(AND(E45="No",G45&lt;&gt;""),"EXCLUIDO",IF(AND(A45&lt;&gt;"",B45&lt;&gt;"",C45&lt;&gt;"",ISNUMBER(D45),D45&gt;=0,E45="Sí",F45&lt;&gt;"",G45&lt;&gt;""),"VÁLIDO","INCOMPLETO")))))</x:f>
      </x:c>
    </x:row>
    <x:row r="46">
      <x:c r="A46" s="20"/>
      <x:c r="B46" s="20"/>
      <x:c r="C46" s="20"/>
      <x:c r="D46" s="20"/>
      <x:c r="E46" s="20"/>
      <x:c r="F46" s="20"/>
      <x:c r="G46" s="20"/>
      <x:c r="H46" s="22" t="str">
        <x:f>IF(COUNTA(A46:G46)=0,"",IF(AND(ISNUMBER(D46),D46&lt;0),"REVISAR",IF(AND(A46&lt;&gt;"",COUNTIF($A$5:$A$304,A46)&gt;1),"REVISAR",IF(AND(E46="No",G46&lt;&gt;""),"EXCLUIDO",IF(AND(A46&lt;&gt;"",B46&lt;&gt;"",C46&lt;&gt;"",ISNUMBER(D46),D46&gt;=0,E46="Sí",F46&lt;&gt;"",G46&lt;&gt;""),"VÁLIDO","INCOMPLETO")))))</x:f>
      </x:c>
    </x:row>
    <x:row r="47">
      <x:c r="A47" s="20"/>
      <x:c r="B47" s="20"/>
      <x:c r="C47" s="20"/>
      <x:c r="D47" s="20"/>
      <x:c r="E47" s="20"/>
      <x:c r="F47" s="20"/>
      <x:c r="G47" s="20"/>
      <x:c r="H47" s="22" t="str">
        <x:f>IF(COUNTA(A47:G47)=0,"",IF(AND(ISNUMBER(D47),D47&lt;0),"REVISAR",IF(AND(A47&lt;&gt;"",COUNTIF($A$5:$A$304,A47)&gt;1),"REVISAR",IF(AND(E47="No",G47&lt;&gt;""),"EXCLUIDO",IF(AND(A47&lt;&gt;"",B47&lt;&gt;"",C47&lt;&gt;"",ISNUMBER(D47),D47&gt;=0,E47="Sí",F47&lt;&gt;"",G47&lt;&gt;""),"VÁLIDO","INCOMPLETO")))))</x:f>
      </x:c>
    </x:row>
    <x:row r="48">
      <x:c r="A48" s="20"/>
      <x:c r="B48" s="20"/>
      <x:c r="C48" s="20"/>
      <x:c r="D48" s="20"/>
      <x:c r="E48" s="20"/>
      <x:c r="F48" s="20"/>
      <x:c r="G48" s="20"/>
      <x:c r="H48" s="22" t="str">
        <x:f>IF(COUNTA(A48:G48)=0,"",IF(AND(ISNUMBER(D48),D48&lt;0),"REVISAR",IF(AND(A48&lt;&gt;"",COUNTIF($A$5:$A$304,A48)&gt;1),"REVISAR",IF(AND(E48="No",G48&lt;&gt;""),"EXCLUIDO",IF(AND(A48&lt;&gt;"",B48&lt;&gt;"",C48&lt;&gt;"",ISNUMBER(D48),D48&gt;=0,E48="Sí",F48&lt;&gt;"",G48&lt;&gt;""),"VÁLIDO","INCOMPLETO")))))</x:f>
      </x:c>
    </x:row>
    <x:row r="49">
      <x:c r="A49" s="20"/>
      <x:c r="B49" s="20"/>
      <x:c r="C49" s="20"/>
      <x:c r="D49" s="20"/>
      <x:c r="E49" s="20"/>
      <x:c r="F49" s="20"/>
      <x:c r="G49" s="20"/>
      <x:c r="H49" s="22" t="str">
        <x:f>IF(COUNTA(A49:G49)=0,"",IF(AND(ISNUMBER(D49),D49&lt;0),"REVISAR",IF(AND(A49&lt;&gt;"",COUNTIF($A$5:$A$304,A49)&gt;1),"REVISAR",IF(AND(E49="No",G49&lt;&gt;""),"EXCLUIDO",IF(AND(A49&lt;&gt;"",B49&lt;&gt;"",C49&lt;&gt;"",ISNUMBER(D49),D49&gt;=0,E49="Sí",F49&lt;&gt;"",G49&lt;&gt;""),"VÁLIDO","INCOMPLETO")))))</x:f>
      </x:c>
    </x:row>
    <x:row r="50">
      <x:c r="A50" s="20"/>
      <x:c r="B50" s="20"/>
      <x:c r="C50" s="20"/>
      <x:c r="D50" s="20"/>
      <x:c r="E50" s="20"/>
      <x:c r="F50" s="20"/>
      <x:c r="G50" s="20"/>
      <x:c r="H50" s="22" t="str">
        <x:f>IF(COUNTA(A50:G50)=0,"",IF(AND(ISNUMBER(D50),D50&lt;0),"REVISAR",IF(AND(A50&lt;&gt;"",COUNTIF($A$5:$A$304,A50)&gt;1),"REVISAR",IF(AND(E50="No",G50&lt;&gt;""),"EXCLUIDO",IF(AND(A50&lt;&gt;"",B50&lt;&gt;"",C50&lt;&gt;"",ISNUMBER(D50),D50&gt;=0,E50="Sí",F50&lt;&gt;"",G50&lt;&gt;""),"VÁLIDO","INCOMPLETO")))))</x:f>
      </x:c>
    </x:row>
    <x:row r="51">
      <x:c r="A51" s="20"/>
      <x:c r="B51" s="20"/>
      <x:c r="C51" s="20"/>
      <x:c r="D51" s="20"/>
      <x:c r="E51" s="20"/>
      <x:c r="F51" s="20"/>
      <x:c r="G51" s="20"/>
      <x:c r="H51" s="22" t="str">
        <x:f>IF(COUNTA(A51:G51)=0,"",IF(AND(ISNUMBER(D51),D51&lt;0),"REVISAR",IF(AND(A51&lt;&gt;"",COUNTIF($A$5:$A$304,A51)&gt;1),"REVISAR",IF(AND(E51="No",G51&lt;&gt;""),"EXCLUIDO",IF(AND(A51&lt;&gt;"",B51&lt;&gt;"",C51&lt;&gt;"",ISNUMBER(D51),D51&gt;=0,E51="Sí",F51&lt;&gt;"",G51&lt;&gt;""),"VÁLIDO","INCOMPLETO")))))</x:f>
      </x:c>
    </x:row>
    <x:row r="52">
      <x:c r="A52" s="20"/>
      <x:c r="B52" s="20"/>
      <x:c r="C52" s="20"/>
      <x:c r="D52" s="20"/>
      <x:c r="E52" s="20"/>
      <x:c r="F52" s="20"/>
      <x:c r="G52" s="20"/>
      <x:c r="H52" s="22" t="str">
        <x:f>IF(COUNTA(A52:G52)=0,"",IF(AND(ISNUMBER(D52),D52&lt;0),"REVISAR",IF(AND(A52&lt;&gt;"",COUNTIF($A$5:$A$304,A52)&gt;1),"REVISAR",IF(AND(E52="No",G52&lt;&gt;""),"EXCLUIDO",IF(AND(A52&lt;&gt;"",B52&lt;&gt;"",C52&lt;&gt;"",ISNUMBER(D52),D52&gt;=0,E52="Sí",F52&lt;&gt;"",G52&lt;&gt;""),"VÁLIDO","INCOMPLETO")))))</x:f>
      </x:c>
    </x:row>
    <x:row r="53">
      <x:c r="A53" s="20"/>
      <x:c r="B53" s="20"/>
      <x:c r="C53" s="20"/>
      <x:c r="D53" s="20"/>
      <x:c r="E53" s="20"/>
      <x:c r="F53" s="20"/>
      <x:c r="G53" s="20"/>
      <x:c r="H53" s="22" t="str">
        <x:f>IF(COUNTA(A53:G53)=0,"",IF(AND(ISNUMBER(D53),D53&lt;0),"REVISAR",IF(AND(A53&lt;&gt;"",COUNTIF($A$5:$A$304,A53)&gt;1),"REVISAR",IF(AND(E53="No",G53&lt;&gt;""),"EXCLUIDO",IF(AND(A53&lt;&gt;"",B53&lt;&gt;"",C53&lt;&gt;"",ISNUMBER(D53),D53&gt;=0,E53="Sí",F53&lt;&gt;"",G53&lt;&gt;""),"VÁLIDO","INCOMPLETO")))))</x:f>
      </x:c>
    </x:row>
    <x:row r="54">
      <x:c r="A54" s="20"/>
      <x:c r="B54" s="20"/>
      <x:c r="C54" s="20"/>
      <x:c r="D54" s="20"/>
      <x:c r="E54" s="20"/>
      <x:c r="F54" s="20"/>
      <x:c r="G54" s="20"/>
      <x:c r="H54" s="22" t="str">
        <x:f>IF(COUNTA(A54:G54)=0,"",IF(AND(ISNUMBER(D54),D54&lt;0),"REVISAR",IF(AND(A54&lt;&gt;"",COUNTIF($A$5:$A$304,A54)&gt;1),"REVISAR",IF(AND(E54="No",G54&lt;&gt;""),"EXCLUIDO",IF(AND(A54&lt;&gt;"",B54&lt;&gt;"",C54&lt;&gt;"",ISNUMBER(D54),D54&gt;=0,E54="Sí",F54&lt;&gt;"",G54&lt;&gt;""),"VÁLIDO","INCOMPLETO")))))</x:f>
      </x:c>
    </x:row>
    <x:row r="55">
      <x:c r="A55" s="20"/>
      <x:c r="B55" s="20"/>
      <x:c r="C55" s="20"/>
      <x:c r="D55" s="20"/>
      <x:c r="E55" s="20"/>
      <x:c r="F55" s="20"/>
      <x:c r="G55" s="20"/>
      <x:c r="H55" s="22" t="str">
        <x:f>IF(COUNTA(A55:G55)=0,"",IF(AND(ISNUMBER(D55),D55&lt;0),"REVISAR",IF(AND(A55&lt;&gt;"",COUNTIF($A$5:$A$304,A55)&gt;1),"REVISAR",IF(AND(E55="No",G55&lt;&gt;""),"EXCLUIDO",IF(AND(A55&lt;&gt;"",B55&lt;&gt;"",C55&lt;&gt;"",ISNUMBER(D55),D55&gt;=0,E55="Sí",F55&lt;&gt;"",G55&lt;&gt;""),"VÁLIDO","INCOMPLETO")))))</x:f>
      </x:c>
    </x:row>
    <x:row r="56">
      <x:c r="A56" s="20"/>
      <x:c r="B56" s="20"/>
      <x:c r="C56" s="20"/>
      <x:c r="D56" s="20"/>
      <x:c r="E56" s="20"/>
      <x:c r="F56" s="20"/>
      <x:c r="G56" s="20"/>
      <x:c r="H56" s="22" t="str">
        <x:f>IF(COUNTA(A56:G56)=0,"",IF(AND(ISNUMBER(D56),D56&lt;0),"REVISAR",IF(AND(A56&lt;&gt;"",COUNTIF($A$5:$A$304,A56)&gt;1),"REVISAR",IF(AND(E56="No",G56&lt;&gt;""),"EXCLUIDO",IF(AND(A56&lt;&gt;"",B56&lt;&gt;"",C56&lt;&gt;"",ISNUMBER(D56),D56&gt;=0,E56="Sí",F56&lt;&gt;"",G56&lt;&gt;""),"VÁLIDO","INCOMPLETO")))))</x:f>
      </x:c>
    </x:row>
    <x:row r="57">
      <x:c r="A57" s="20"/>
      <x:c r="B57" s="20"/>
      <x:c r="C57" s="20"/>
      <x:c r="D57" s="20"/>
      <x:c r="E57" s="20"/>
      <x:c r="F57" s="20"/>
      <x:c r="G57" s="20"/>
      <x:c r="H57" s="22" t="str">
        <x:f>IF(COUNTA(A57:G57)=0,"",IF(AND(ISNUMBER(D57),D57&lt;0),"REVISAR",IF(AND(A57&lt;&gt;"",COUNTIF($A$5:$A$304,A57)&gt;1),"REVISAR",IF(AND(E57="No",G57&lt;&gt;""),"EXCLUIDO",IF(AND(A57&lt;&gt;"",B57&lt;&gt;"",C57&lt;&gt;"",ISNUMBER(D57),D57&gt;=0,E57="Sí",F57&lt;&gt;"",G57&lt;&gt;""),"VÁLIDO","INCOMPLETO")))))</x:f>
      </x:c>
    </x:row>
    <x:row r="58">
      <x:c r="A58" s="20"/>
      <x:c r="B58" s="20"/>
      <x:c r="C58" s="20"/>
      <x:c r="D58" s="20"/>
      <x:c r="E58" s="20"/>
      <x:c r="F58" s="20"/>
      <x:c r="G58" s="20"/>
      <x:c r="H58" s="22" t="str">
        <x:f>IF(COUNTA(A58:G58)=0,"",IF(AND(ISNUMBER(D58),D58&lt;0),"REVISAR",IF(AND(A58&lt;&gt;"",COUNTIF($A$5:$A$304,A58)&gt;1),"REVISAR",IF(AND(E58="No",G58&lt;&gt;""),"EXCLUIDO",IF(AND(A58&lt;&gt;"",B58&lt;&gt;"",C58&lt;&gt;"",ISNUMBER(D58),D58&gt;=0,E58="Sí",F58&lt;&gt;"",G58&lt;&gt;""),"VÁLIDO","INCOMPLETO")))))</x:f>
      </x:c>
    </x:row>
    <x:row r="59">
      <x:c r="A59" s="20"/>
      <x:c r="B59" s="20"/>
      <x:c r="C59" s="20"/>
      <x:c r="D59" s="20"/>
      <x:c r="E59" s="20"/>
      <x:c r="F59" s="20"/>
      <x:c r="G59" s="20"/>
      <x:c r="H59" s="22" t="str">
        <x:f>IF(COUNTA(A59:G59)=0,"",IF(AND(ISNUMBER(D59),D59&lt;0),"REVISAR",IF(AND(A59&lt;&gt;"",COUNTIF($A$5:$A$304,A59)&gt;1),"REVISAR",IF(AND(E59="No",G59&lt;&gt;""),"EXCLUIDO",IF(AND(A59&lt;&gt;"",B59&lt;&gt;"",C59&lt;&gt;"",ISNUMBER(D59),D59&gt;=0,E59="Sí",F59&lt;&gt;"",G59&lt;&gt;""),"VÁLIDO","INCOMPLETO")))))</x:f>
      </x:c>
    </x:row>
    <x:row r="60">
      <x:c r="A60" s="20"/>
      <x:c r="B60" s="20"/>
      <x:c r="C60" s="20"/>
      <x:c r="D60" s="20"/>
      <x:c r="E60" s="20"/>
      <x:c r="F60" s="20"/>
      <x:c r="G60" s="20"/>
      <x:c r="H60" s="22" t="str">
        <x:f>IF(COUNTA(A60:G60)=0,"",IF(AND(ISNUMBER(D60),D60&lt;0),"REVISAR",IF(AND(A60&lt;&gt;"",COUNTIF($A$5:$A$304,A60)&gt;1),"REVISAR",IF(AND(E60="No",G60&lt;&gt;""),"EXCLUIDO",IF(AND(A60&lt;&gt;"",B60&lt;&gt;"",C60&lt;&gt;"",ISNUMBER(D60),D60&gt;=0,E60="Sí",F60&lt;&gt;"",G60&lt;&gt;""),"VÁLIDO","INCOMPLETO")))))</x:f>
      </x:c>
    </x:row>
    <x:row r="61">
      <x:c r="A61" s="20"/>
      <x:c r="B61" s="20"/>
      <x:c r="C61" s="20"/>
      <x:c r="D61" s="20"/>
      <x:c r="E61" s="20"/>
      <x:c r="F61" s="20"/>
      <x:c r="G61" s="20"/>
      <x:c r="H61" s="22" t="str">
        <x:f>IF(COUNTA(A61:G61)=0,"",IF(AND(ISNUMBER(D61),D61&lt;0),"REVISAR",IF(AND(A61&lt;&gt;"",COUNTIF($A$5:$A$304,A61)&gt;1),"REVISAR",IF(AND(E61="No",G61&lt;&gt;""),"EXCLUIDO",IF(AND(A61&lt;&gt;"",B61&lt;&gt;"",C61&lt;&gt;"",ISNUMBER(D61),D61&gt;=0,E61="Sí",F61&lt;&gt;"",G61&lt;&gt;""),"VÁLIDO","INCOMPLETO")))))</x:f>
      </x:c>
    </x:row>
    <x:row r="62">
      <x:c r="A62" s="20"/>
      <x:c r="B62" s="20"/>
      <x:c r="C62" s="20"/>
      <x:c r="D62" s="20"/>
      <x:c r="E62" s="20"/>
      <x:c r="F62" s="20"/>
      <x:c r="G62" s="20"/>
      <x:c r="H62" s="22" t="str">
        <x:f>IF(COUNTA(A62:G62)=0,"",IF(AND(ISNUMBER(D62),D62&lt;0),"REVISAR",IF(AND(A62&lt;&gt;"",COUNTIF($A$5:$A$304,A62)&gt;1),"REVISAR",IF(AND(E62="No",G62&lt;&gt;""),"EXCLUIDO",IF(AND(A62&lt;&gt;"",B62&lt;&gt;"",C62&lt;&gt;"",ISNUMBER(D62),D62&gt;=0,E62="Sí",F62&lt;&gt;"",G62&lt;&gt;""),"VÁLIDO","INCOMPLETO")))))</x:f>
      </x:c>
    </x:row>
    <x:row r="63">
      <x:c r="A63" s="20"/>
      <x:c r="B63" s="20"/>
      <x:c r="C63" s="20"/>
      <x:c r="D63" s="20"/>
      <x:c r="E63" s="20"/>
      <x:c r="F63" s="20"/>
      <x:c r="G63" s="20"/>
      <x:c r="H63" s="22" t="str">
        <x:f>IF(COUNTA(A63:G63)=0,"",IF(AND(ISNUMBER(D63),D63&lt;0),"REVISAR",IF(AND(A63&lt;&gt;"",COUNTIF($A$5:$A$304,A63)&gt;1),"REVISAR",IF(AND(E63="No",G63&lt;&gt;""),"EXCLUIDO",IF(AND(A63&lt;&gt;"",B63&lt;&gt;"",C63&lt;&gt;"",ISNUMBER(D63),D63&gt;=0,E63="Sí",F63&lt;&gt;"",G63&lt;&gt;""),"VÁLIDO","INCOMPLETO")))))</x:f>
      </x:c>
    </x:row>
    <x:row r="64">
      <x:c r="A64" s="20"/>
      <x:c r="B64" s="20"/>
      <x:c r="C64" s="20"/>
      <x:c r="D64" s="20"/>
      <x:c r="E64" s="20"/>
      <x:c r="F64" s="20"/>
      <x:c r="G64" s="20"/>
      <x:c r="H64" s="22" t="str">
        <x:f>IF(COUNTA(A64:G64)=0,"",IF(AND(ISNUMBER(D64),D64&lt;0),"REVISAR",IF(AND(A64&lt;&gt;"",COUNTIF($A$5:$A$304,A64)&gt;1),"REVISAR",IF(AND(E64="No",G64&lt;&gt;""),"EXCLUIDO",IF(AND(A64&lt;&gt;"",B64&lt;&gt;"",C64&lt;&gt;"",ISNUMBER(D64),D64&gt;=0,E64="Sí",F64&lt;&gt;"",G64&lt;&gt;""),"VÁLIDO","INCOMPLETO")))))</x:f>
      </x:c>
    </x:row>
    <x:row r="65">
      <x:c r="A65" s="20"/>
      <x:c r="B65" s="20"/>
      <x:c r="C65" s="20"/>
      <x:c r="D65" s="20"/>
      <x:c r="E65" s="20"/>
      <x:c r="F65" s="20"/>
      <x:c r="G65" s="20"/>
      <x:c r="H65" s="22" t="str">
        <x:f>IF(COUNTA(A65:G65)=0,"",IF(AND(ISNUMBER(D65),D65&lt;0),"REVISAR",IF(AND(A65&lt;&gt;"",COUNTIF($A$5:$A$304,A65)&gt;1),"REVISAR",IF(AND(E65="No",G65&lt;&gt;""),"EXCLUIDO",IF(AND(A65&lt;&gt;"",B65&lt;&gt;"",C65&lt;&gt;"",ISNUMBER(D65),D65&gt;=0,E65="Sí",F65&lt;&gt;"",G65&lt;&gt;""),"VÁLIDO","INCOMPLETO")))))</x:f>
      </x:c>
    </x:row>
    <x:row r="66">
      <x:c r="A66" s="20"/>
      <x:c r="B66" s="20"/>
      <x:c r="C66" s="20"/>
      <x:c r="D66" s="20"/>
      <x:c r="E66" s="20"/>
      <x:c r="F66" s="20"/>
      <x:c r="G66" s="20"/>
      <x:c r="H66" s="22" t="str">
        <x:f>IF(COUNTA(A66:G66)=0,"",IF(AND(ISNUMBER(D66),D66&lt;0),"REVISAR",IF(AND(A66&lt;&gt;"",COUNTIF($A$5:$A$304,A66)&gt;1),"REVISAR",IF(AND(E66="No",G66&lt;&gt;""),"EXCLUIDO",IF(AND(A66&lt;&gt;"",B66&lt;&gt;"",C66&lt;&gt;"",ISNUMBER(D66),D66&gt;=0,E66="Sí",F66&lt;&gt;"",G66&lt;&gt;""),"VÁLIDO","INCOMPLETO")))))</x:f>
      </x:c>
    </x:row>
    <x:row r="67">
      <x:c r="A67" s="20"/>
      <x:c r="B67" s="20"/>
      <x:c r="C67" s="20"/>
      <x:c r="D67" s="20"/>
      <x:c r="E67" s="20"/>
      <x:c r="F67" s="20"/>
      <x:c r="G67" s="20"/>
      <x:c r="H67" s="22" t="str">
        <x:f>IF(COUNTA(A67:G67)=0,"",IF(AND(ISNUMBER(D67),D67&lt;0),"REVISAR",IF(AND(A67&lt;&gt;"",COUNTIF($A$5:$A$304,A67)&gt;1),"REVISAR",IF(AND(E67="No",G67&lt;&gt;""),"EXCLUIDO",IF(AND(A67&lt;&gt;"",B67&lt;&gt;"",C67&lt;&gt;"",ISNUMBER(D67),D67&gt;=0,E67="Sí",F67&lt;&gt;"",G67&lt;&gt;""),"VÁLIDO","INCOMPLETO")))))</x:f>
      </x:c>
    </x:row>
    <x:row r="68">
      <x:c r="A68" s="20"/>
      <x:c r="B68" s="20"/>
      <x:c r="C68" s="20"/>
      <x:c r="D68" s="20"/>
      <x:c r="E68" s="20"/>
      <x:c r="F68" s="20"/>
      <x:c r="G68" s="20"/>
      <x:c r="H68" s="22" t="str">
        <x:f>IF(COUNTA(A68:G68)=0,"",IF(AND(ISNUMBER(D68),D68&lt;0),"REVISAR",IF(AND(A68&lt;&gt;"",COUNTIF($A$5:$A$304,A68)&gt;1),"REVISAR",IF(AND(E68="No",G68&lt;&gt;""),"EXCLUIDO",IF(AND(A68&lt;&gt;"",B68&lt;&gt;"",C68&lt;&gt;"",ISNUMBER(D68),D68&gt;=0,E68="Sí",F68&lt;&gt;"",G68&lt;&gt;""),"VÁLIDO","INCOMPLETO")))))</x:f>
      </x:c>
    </x:row>
    <x:row r="69">
      <x:c r="A69" s="20"/>
      <x:c r="B69" s="20"/>
      <x:c r="C69" s="20"/>
      <x:c r="D69" s="20"/>
      <x:c r="E69" s="20"/>
      <x:c r="F69" s="20"/>
      <x:c r="G69" s="20"/>
      <x:c r="H69" s="22" t="str">
        <x:f>IF(COUNTA(A69:G69)=0,"",IF(AND(ISNUMBER(D69),D69&lt;0),"REVISAR",IF(AND(A69&lt;&gt;"",COUNTIF($A$5:$A$304,A69)&gt;1),"REVISAR",IF(AND(E69="No",G69&lt;&gt;""),"EXCLUIDO",IF(AND(A69&lt;&gt;"",B69&lt;&gt;"",C69&lt;&gt;"",ISNUMBER(D69),D69&gt;=0,E69="Sí",F69&lt;&gt;"",G69&lt;&gt;""),"VÁLIDO","INCOMPLETO")))))</x:f>
      </x:c>
    </x:row>
    <x:row r="70">
      <x:c r="A70" s="20"/>
      <x:c r="B70" s="20"/>
      <x:c r="C70" s="20"/>
      <x:c r="D70" s="20"/>
      <x:c r="E70" s="20"/>
      <x:c r="F70" s="20"/>
      <x:c r="G70" s="20"/>
      <x:c r="H70" s="22" t="str">
        <x:f>IF(COUNTA(A70:G70)=0,"",IF(AND(ISNUMBER(D70),D70&lt;0),"REVISAR",IF(AND(A70&lt;&gt;"",COUNTIF($A$5:$A$304,A70)&gt;1),"REVISAR",IF(AND(E70="No",G70&lt;&gt;""),"EXCLUIDO",IF(AND(A70&lt;&gt;"",B70&lt;&gt;"",C70&lt;&gt;"",ISNUMBER(D70),D70&gt;=0,E70="Sí",F70&lt;&gt;"",G70&lt;&gt;""),"VÁLIDO","INCOMPLETO")))))</x:f>
      </x:c>
    </x:row>
    <x:row r="71">
      <x:c r="A71" s="20"/>
      <x:c r="B71" s="20"/>
      <x:c r="C71" s="20"/>
      <x:c r="D71" s="20"/>
      <x:c r="E71" s="20"/>
      <x:c r="F71" s="20"/>
      <x:c r="G71" s="20"/>
      <x:c r="H71" s="22" t="str">
        <x:f>IF(COUNTA(A71:G71)=0,"",IF(AND(ISNUMBER(D71),D71&lt;0),"REVISAR",IF(AND(A71&lt;&gt;"",COUNTIF($A$5:$A$304,A71)&gt;1),"REVISAR",IF(AND(E71="No",G71&lt;&gt;""),"EXCLUIDO",IF(AND(A71&lt;&gt;"",B71&lt;&gt;"",C71&lt;&gt;"",ISNUMBER(D71),D71&gt;=0,E71="Sí",F71&lt;&gt;"",G71&lt;&gt;""),"VÁLIDO","INCOMPLETO")))))</x:f>
      </x:c>
    </x:row>
    <x:row r="72">
      <x:c r="A72" s="20"/>
      <x:c r="B72" s="20"/>
      <x:c r="C72" s="20"/>
      <x:c r="D72" s="20"/>
      <x:c r="E72" s="20"/>
      <x:c r="F72" s="20"/>
      <x:c r="G72" s="20"/>
      <x:c r="H72" s="22" t="str">
        <x:f>IF(COUNTA(A72:G72)=0,"",IF(AND(ISNUMBER(D72),D72&lt;0),"REVISAR",IF(AND(A72&lt;&gt;"",COUNTIF($A$5:$A$304,A72)&gt;1),"REVISAR",IF(AND(E72="No",G72&lt;&gt;""),"EXCLUIDO",IF(AND(A72&lt;&gt;"",B72&lt;&gt;"",C72&lt;&gt;"",ISNUMBER(D72),D72&gt;=0,E72="Sí",F72&lt;&gt;"",G72&lt;&gt;""),"VÁLIDO","INCOMPLETO")))))</x:f>
      </x:c>
    </x:row>
    <x:row r="73">
      <x:c r="A73" s="20"/>
      <x:c r="B73" s="20"/>
      <x:c r="C73" s="20"/>
      <x:c r="D73" s="20"/>
      <x:c r="E73" s="20"/>
      <x:c r="F73" s="20"/>
      <x:c r="G73" s="20"/>
      <x:c r="H73" s="22" t="str">
        <x:f>IF(COUNTA(A73:G73)=0,"",IF(AND(ISNUMBER(D73),D73&lt;0),"REVISAR",IF(AND(A73&lt;&gt;"",COUNTIF($A$5:$A$304,A73)&gt;1),"REVISAR",IF(AND(E73="No",G73&lt;&gt;""),"EXCLUIDO",IF(AND(A73&lt;&gt;"",B73&lt;&gt;"",C73&lt;&gt;"",ISNUMBER(D73),D73&gt;=0,E73="Sí",F73&lt;&gt;"",G73&lt;&gt;""),"VÁLIDO","INCOMPLETO")))))</x:f>
      </x:c>
    </x:row>
    <x:row r="74">
      <x:c r="A74" s="20"/>
      <x:c r="B74" s="20"/>
      <x:c r="C74" s="20"/>
      <x:c r="D74" s="20"/>
      <x:c r="E74" s="20"/>
      <x:c r="F74" s="20"/>
      <x:c r="G74" s="20"/>
      <x:c r="H74" s="22" t="str">
        <x:f>IF(COUNTA(A74:G74)=0,"",IF(AND(ISNUMBER(D74),D74&lt;0),"REVISAR",IF(AND(A74&lt;&gt;"",COUNTIF($A$5:$A$304,A74)&gt;1),"REVISAR",IF(AND(E74="No",G74&lt;&gt;""),"EXCLUIDO",IF(AND(A74&lt;&gt;"",B74&lt;&gt;"",C74&lt;&gt;"",ISNUMBER(D74),D74&gt;=0,E74="Sí",F74&lt;&gt;"",G74&lt;&gt;""),"VÁLIDO","INCOMPLETO")))))</x:f>
      </x:c>
    </x:row>
    <x:row r="75">
      <x:c r="A75" s="20"/>
      <x:c r="B75" s="20"/>
      <x:c r="C75" s="20"/>
      <x:c r="D75" s="20"/>
      <x:c r="E75" s="20"/>
      <x:c r="F75" s="20"/>
      <x:c r="G75" s="20"/>
      <x:c r="H75" s="22" t="str">
        <x:f>IF(COUNTA(A75:G75)=0,"",IF(AND(ISNUMBER(D75),D75&lt;0),"REVISAR",IF(AND(A75&lt;&gt;"",COUNTIF($A$5:$A$304,A75)&gt;1),"REVISAR",IF(AND(E75="No",G75&lt;&gt;""),"EXCLUIDO",IF(AND(A75&lt;&gt;"",B75&lt;&gt;"",C75&lt;&gt;"",ISNUMBER(D75),D75&gt;=0,E75="Sí",F75&lt;&gt;"",G75&lt;&gt;""),"VÁLIDO","INCOMPLETO")))))</x:f>
      </x:c>
    </x:row>
    <x:row r="76">
      <x:c r="A76" s="20"/>
      <x:c r="B76" s="20"/>
      <x:c r="C76" s="20"/>
      <x:c r="D76" s="20"/>
      <x:c r="E76" s="20"/>
      <x:c r="F76" s="20"/>
      <x:c r="G76" s="20"/>
      <x:c r="H76" s="22" t="str">
        <x:f>IF(COUNTA(A76:G76)=0,"",IF(AND(ISNUMBER(D76),D76&lt;0),"REVISAR",IF(AND(A76&lt;&gt;"",COUNTIF($A$5:$A$304,A76)&gt;1),"REVISAR",IF(AND(E76="No",G76&lt;&gt;""),"EXCLUIDO",IF(AND(A76&lt;&gt;"",B76&lt;&gt;"",C76&lt;&gt;"",ISNUMBER(D76),D76&gt;=0,E76="Sí",F76&lt;&gt;"",G76&lt;&gt;""),"VÁLIDO","INCOMPLETO")))))</x:f>
      </x:c>
    </x:row>
    <x:row r="77">
      <x:c r="A77" s="20"/>
      <x:c r="B77" s="20"/>
      <x:c r="C77" s="20"/>
      <x:c r="D77" s="20"/>
      <x:c r="E77" s="20"/>
      <x:c r="F77" s="20"/>
      <x:c r="G77" s="20"/>
      <x:c r="H77" s="22" t="str">
        <x:f>IF(COUNTA(A77:G77)=0,"",IF(AND(ISNUMBER(D77),D77&lt;0),"REVISAR",IF(AND(A77&lt;&gt;"",COUNTIF($A$5:$A$304,A77)&gt;1),"REVISAR",IF(AND(E77="No",G77&lt;&gt;""),"EXCLUIDO",IF(AND(A77&lt;&gt;"",B77&lt;&gt;"",C77&lt;&gt;"",ISNUMBER(D77),D77&gt;=0,E77="Sí",F77&lt;&gt;"",G77&lt;&gt;""),"VÁLIDO","INCOMPLETO")))))</x:f>
      </x:c>
    </x:row>
    <x:row r="78">
      <x:c r="A78" s="20"/>
      <x:c r="B78" s="20"/>
      <x:c r="C78" s="20"/>
      <x:c r="D78" s="20"/>
      <x:c r="E78" s="20"/>
      <x:c r="F78" s="20"/>
      <x:c r="G78" s="20"/>
      <x:c r="H78" s="22" t="str">
        <x:f>IF(COUNTA(A78:G78)=0,"",IF(AND(ISNUMBER(D78),D78&lt;0),"REVISAR",IF(AND(A78&lt;&gt;"",COUNTIF($A$5:$A$304,A78)&gt;1),"REVISAR",IF(AND(E78="No",G78&lt;&gt;""),"EXCLUIDO",IF(AND(A78&lt;&gt;"",B78&lt;&gt;"",C78&lt;&gt;"",ISNUMBER(D78),D78&gt;=0,E78="Sí",F78&lt;&gt;"",G78&lt;&gt;""),"VÁLIDO","INCOMPLETO")))))</x:f>
      </x:c>
    </x:row>
    <x:row r="79">
      <x:c r="A79" s="20"/>
      <x:c r="B79" s="20"/>
      <x:c r="C79" s="20"/>
      <x:c r="D79" s="20"/>
      <x:c r="E79" s="20"/>
      <x:c r="F79" s="20"/>
      <x:c r="G79" s="20"/>
      <x:c r="H79" s="22" t="str">
        <x:f>IF(COUNTA(A79:G79)=0,"",IF(AND(ISNUMBER(D79),D79&lt;0),"REVISAR",IF(AND(A79&lt;&gt;"",COUNTIF($A$5:$A$304,A79)&gt;1),"REVISAR",IF(AND(E79="No",G79&lt;&gt;""),"EXCLUIDO",IF(AND(A79&lt;&gt;"",B79&lt;&gt;"",C79&lt;&gt;"",ISNUMBER(D79),D79&gt;=0,E79="Sí",F79&lt;&gt;"",G79&lt;&gt;""),"VÁLIDO","INCOMPLETO")))))</x:f>
      </x:c>
    </x:row>
    <x:row r="80">
      <x:c r="A80" s="20"/>
      <x:c r="B80" s="20"/>
      <x:c r="C80" s="20"/>
      <x:c r="D80" s="20"/>
      <x:c r="E80" s="20"/>
      <x:c r="F80" s="20"/>
      <x:c r="G80" s="20"/>
      <x:c r="H80" s="22" t="str">
        <x:f>IF(COUNTA(A80:G80)=0,"",IF(AND(ISNUMBER(D80),D80&lt;0),"REVISAR",IF(AND(A80&lt;&gt;"",COUNTIF($A$5:$A$304,A80)&gt;1),"REVISAR",IF(AND(E80="No",G80&lt;&gt;""),"EXCLUIDO",IF(AND(A80&lt;&gt;"",B80&lt;&gt;"",C80&lt;&gt;"",ISNUMBER(D80),D80&gt;=0,E80="Sí",F80&lt;&gt;"",G80&lt;&gt;""),"VÁLIDO","INCOMPLETO")))))</x:f>
      </x:c>
    </x:row>
    <x:row r="81">
      <x:c r="A81" s="20"/>
      <x:c r="B81" s="20"/>
      <x:c r="C81" s="20"/>
      <x:c r="D81" s="20"/>
      <x:c r="E81" s="20"/>
      <x:c r="F81" s="20"/>
      <x:c r="G81" s="20"/>
      <x:c r="H81" s="22" t="str">
        <x:f>IF(COUNTA(A81:G81)=0,"",IF(AND(ISNUMBER(D81),D81&lt;0),"REVISAR",IF(AND(A81&lt;&gt;"",COUNTIF($A$5:$A$304,A81)&gt;1),"REVISAR",IF(AND(E81="No",G81&lt;&gt;""),"EXCLUIDO",IF(AND(A81&lt;&gt;"",B81&lt;&gt;"",C81&lt;&gt;"",ISNUMBER(D81),D81&gt;=0,E81="Sí",F81&lt;&gt;"",G81&lt;&gt;""),"VÁLIDO","INCOMPLETO")))))</x:f>
      </x:c>
    </x:row>
    <x:row r="82">
      <x:c r="A82" s="20"/>
      <x:c r="B82" s="20"/>
      <x:c r="C82" s="20"/>
      <x:c r="D82" s="20"/>
      <x:c r="E82" s="20"/>
      <x:c r="F82" s="20"/>
      <x:c r="G82" s="20"/>
      <x:c r="H82" s="22" t="str">
        <x:f>IF(COUNTA(A82:G82)=0,"",IF(AND(ISNUMBER(D82),D82&lt;0),"REVISAR",IF(AND(A82&lt;&gt;"",COUNTIF($A$5:$A$304,A82)&gt;1),"REVISAR",IF(AND(E82="No",G82&lt;&gt;""),"EXCLUIDO",IF(AND(A82&lt;&gt;"",B82&lt;&gt;"",C82&lt;&gt;"",ISNUMBER(D82),D82&gt;=0,E82="Sí",F82&lt;&gt;"",G82&lt;&gt;""),"VÁLIDO","INCOMPLETO")))))</x:f>
      </x:c>
    </x:row>
    <x:row r="83">
      <x:c r="A83" s="20"/>
      <x:c r="B83" s="20"/>
      <x:c r="C83" s="20"/>
      <x:c r="D83" s="20"/>
      <x:c r="E83" s="20"/>
      <x:c r="F83" s="20"/>
      <x:c r="G83" s="20"/>
      <x:c r="H83" s="22" t="str">
        <x:f>IF(COUNTA(A83:G83)=0,"",IF(AND(ISNUMBER(D83),D83&lt;0),"REVISAR",IF(AND(A83&lt;&gt;"",COUNTIF($A$5:$A$304,A83)&gt;1),"REVISAR",IF(AND(E83="No",G83&lt;&gt;""),"EXCLUIDO",IF(AND(A83&lt;&gt;"",B83&lt;&gt;"",C83&lt;&gt;"",ISNUMBER(D83),D83&gt;=0,E83="Sí",F83&lt;&gt;"",G83&lt;&gt;""),"VÁLIDO","INCOMPLETO")))))</x:f>
      </x:c>
    </x:row>
    <x:row r="84">
      <x:c r="A84" s="20"/>
      <x:c r="B84" s="20"/>
      <x:c r="C84" s="20"/>
      <x:c r="D84" s="20"/>
      <x:c r="E84" s="20"/>
      <x:c r="F84" s="20"/>
      <x:c r="G84" s="20"/>
      <x:c r="H84" s="22" t="str">
        <x:f>IF(COUNTA(A84:G84)=0,"",IF(AND(ISNUMBER(D84),D84&lt;0),"REVISAR",IF(AND(A84&lt;&gt;"",COUNTIF($A$5:$A$304,A84)&gt;1),"REVISAR",IF(AND(E84="No",G84&lt;&gt;""),"EXCLUIDO",IF(AND(A84&lt;&gt;"",B84&lt;&gt;"",C84&lt;&gt;"",ISNUMBER(D84),D84&gt;=0,E84="Sí",F84&lt;&gt;"",G84&lt;&gt;""),"VÁLIDO","INCOMPLETO")))))</x:f>
      </x:c>
    </x:row>
    <x:row r="85">
      <x:c r="A85" s="20"/>
      <x:c r="B85" s="20"/>
      <x:c r="C85" s="20"/>
      <x:c r="D85" s="20"/>
      <x:c r="E85" s="20"/>
      <x:c r="F85" s="20"/>
      <x:c r="G85" s="20"/>
      <x:c r="H85" s="22" t="str">
        <x:f>IF(COUNTA(A85:G85)=0,"",IF(AND(ISNUMBER(D85),D85&lt;0),"REVISAR",IF(AND(A85&lt;&gt;"",COUNTIF($A$5:$A$304,A85)&gt;1),"REVISAR",IF(AND(E85="No",G85&lt;&gt;""),"EXCLUIDO",IF(AND(A85&lt;&gt;"",B85&lt;&gt;"",C85&lt;&gt;"",ISNUMBER(D85),D85&gt;=0,E85="Sí",F85&lt;&gt;"",G85&lt;&gt;""),"VÁLIDO","INCOMPLETO")))))</x:f>
      </x:c>
    </x:row>
    <x:row r="86">
      <x:c r="A86" s="20"/>
      <x:c r="B86" s="20"/>
      <x:c r="C86" s="20"/>
      <x:c r="D86" s="20"/>
      <x:c r="E86" s="20"/>
      <x:c r="F86" s="20"/>
      <x:c r="G86" s="20"/>
      <x:c r="H86" s="22" t="str">
        <x:f>IF(COUNTA(A86:G86)=0,"",IF(AND(ISNUMBER(D86),D86&lt;0),"REVISAR",IF(AND(A86&lt;&gt;"",COUNTIF($A$5:$A$304,A86)&gt;1),"REVISAR",IF(AND(E86="No",G86&lt;&gt;""),"EXCLUIDO",IF(AND(A86&lt;&gt;"",B86&lt;&gt;"",C86&lt;&gt;"",ISNUMBER(D86),D86&gt;=0,E86="Sí",F86&lt;&gt;"",G86&lt;&gt;""),"VÁLIDO","INCOMPLETO")))))</x:f>
      </x:c>
    </x:row>
    <x:row r="87">
      <x:c r="A87" s="20"/>
      <x:c r="B87" s="20"/>
      <x:c r="C87" s="20"/>
      <x:c r="D87" s="20"/>
      <x:c r="E87" s="20"/>
      <x:c r="F87" s="20"/>
      <x:c r="G87" s="20"/>
      <x:c r="H87" s="22" t="str">
        <x:f>IF(COUNTA(A87:G87)=0,"",IF(AND(ISNUMBER(D87),D87&lt;0),"REVISAR",IF(AND(A87&lt;&gt;"",COUNTIF($A$5:$A$304,A87)&gt;1),"REVISAR",IF(AND(E87="No",G87&lt;&gt;""),"EXCLUIDO",IF(AND(A87&lt;&gt;"",B87&lt;&gt;"",C87&lt;&gt;"",ISNUMBER(D87),D87&gt;=0,E87="Sí",F87&lt;&gt;"",G87&lt;&gt;""),"VÁLIDO","INCOMPLETO")))))</x:f>
      </x:c>
    </x:row>
    <x:row r="88">
      <x:c r="A88" s="20"/>
      <x:c r="B88" s="20"/>
      <x:c r="C88" s="20"/>
      <x:c r="D88" s="20"/>
      <x:c r="E88" s="20"/>
      <x:c r="F88" s="20"/>
      <x:c r="G88" s="20"/>
      <x:c r="H88" s="22" t="str">
        <x:f>IF(COUNTA(A88:G88)=0,"",IF(AND(ISNUMBER(D88),D88&lt;0),"REVISAR",IF(AND(A88&lt;&gt;"",COUNTIF($A$5:$A$304,A88)&gt;1),"REVISAR",IF(AND(E88="No",G88&lt;&gt;""),"EXCLUIDO",IF(AND(A88&lt;&gt;"",B88&lt;&gt;"",C88&lt;&gt;"",ISNUMBER(D88),D88&gt;=0,E88="Sí",F88&lt;&gt;"",G88&lt;&gt;""),"VÁLIDO","INCOMPLETO")))))</x:f>
      </x:c>
    </x:row>
    <x:row r="89">
      <x:c r="A89" s="20"/>
      <x:c r="B89" s="20"/>
      <x:c r="C89" s="20"/>
      <x:c r="D89" s="20"/>
      <x:c r="E89" s="20"/>
      <x:c r="F89" s="20"/>
      <x:c r="G89" s="20"/>
      <x:c r="H89" s="22" t="str">
        <x:f>IF(COUNTA(A89:G89)=0,"",IF(AND(ISNUMBER(D89),D89&lt;0),"REVISAR",IF(AND(A89&lt;&gt;"",COUNTIF($A$5:$A$304,A89)&gt;1),"REVISAR",IF(AND(E89="No",G89&lt;&gt;""),"EXCLUIDO",IF(AND(A89&lt;&gt;"",B89&lt;&gt;"",C89&lt;&gt;"",ISNUMBER(D89),D89&gt;=0,E89="Sí",F89&lt;&gt;"",G89&lt;&gt;""),"VÁLIDO","INCOMPLETO")))))</x:f>
      </x:c>
    </x:row>
    <x:row r="90">
      <x:c r="A90" s="20"/>
      <x:c r="B90" s="20"/>
      <x:c r="C90" s="20"/>
      <x:c r="D90" s="20"/>
      <x:c r="E90" s="20"/>
      <x:c r="F90" s="20"/>
      <x:c r="G90" s="20"/>
      <x:c r="H90" s="22" t="str">
        <x:f>IF(COUNTA(A90:G90)=0,"",IF(AND(ISNUMBER(D90),D90&lt;0),"REVISAR",IF(AND(A90&lt;&gt;"",COUNTIF($A$5:$A$304,A90)&gt;1),"REVISAR",IF(AND(E90="No",G90&lt;&gt;""),"EXCLUIDO",IF(AND(A90&lt;&gt;"",B90&lt;&gt;"",C90&lt;&gt;"",ISNUMBER(D90),D90&gt;=0,E90="Sí",F90&lt;&gt;"",G90&lt;&gt;""),"VÁLIDO","INCOMPLETO")))))</x:f>
      </x:c>
    </x:row>
    <x:row r="91">
      <x:c r="A91" s="20"/>
      <x:c r="B91" s="20"/>
      <x:c r="C91" s="20"/>
      <x:c r="D91" s="20"/>
      <x:c r="E91" s="20"/>
      <x:c r="F91" s="20"/>
      <x:c r="G91" s="20"/>
      <x:c r="H91" s="22" t="str">
        <x:f>IF(COUNTA(A91:G91)=0,"",IF(AND(ISNUMBER(D91),D91&lt;0),"REVISAR",IF(AND(A91&lt;&gt;"",COUNTIF($A$5:$A$304,A91)&gt;1),"REVISAR",IF(AND(E91="No",G91&lt;&gt;""),"EXCLUIDO",IF(AND(A91&lt;&gt;"",B91&lt;&gt;"",C91&lt;&gt;"",ISNUMBER(D91),D91&gt;=0,E91="Sí",F91&lt;&gt;"",G91&lt;&gt;""),"VÁLIDO","INCOMPLETO")))))</x:f>
      </x:c>
    </x:row>
    <x:row r="92">
      <x:c r="A92" s="20"/>
      <x:c r="B92" s="20"/>
      <x:c r="C92" s="20"/>
      <x:c r="D92" s="20"/>
      <x:c r="E92" s="20"/>
      <x:c r="F92" s="20"/>
      <x:c r="G92" s="20"/>
      <x:c r="H92" s="22" t="str">
        <x:f>IF(COUNTA(A92:G92)=0,"",IF(AND(ISNUMBER(D92),D92&lt;0),"REVISAR",IF(AND(A92&lt;&gt;"",COUNTIF($A$5:$A$304,A92)&gt;1),"REVISAR",IF(AND(E92="No",G92&lt;&gt;""),"EXCLUIDO",IF(AND(A92&lt;&gt;"",B92&lt;&gt;"",C92&lt;&gt;"",ISNUMBER(D92),D92&gt;=0,E92="Sí",F92&lt;&gt;"",G92&lt;&gt;""),"VÁLIDO","INCOMPLETO")))))</x:f>
      </x:c>
    </x:row>
    <x:row r="93">
      <x:c r="A93" s="20"/>
      <x:c r="B93" s="20"/>
      <x:c r="C93" s="20"/>
      <x:c r="D93" s="20"/>
      <x:c r="E93" s="20"/>
      <x:c r="F93" s="20"/>
      <x:c r="G93" s="20"/>
      <x:c r="H93" s="22" t="str">
        <x:f>IF(COUNTA(A93:G93)=0,"",IF(AND(ISNUMBER(D93),D93&lt;0),"REVISAR",IF(AND(A93&lt;&gt;"",COUNTIF($A$5:$A$304,A93)&gt;1),"REVISAR",IF(AND(E93="No",G93&lt;&gt;""),"EXCLUIDO",IF(AND(A93&lt;&gt;"",B93&lt;&gt;"",C93&lt;&gt;"",ISNUMBER(D93),D93&gt;=0,E93="Sí",F93&lt;&gt;"",G93&lt;&gt;""),"VÁLIDO","INCOMPLETO")))))</x:f>
      </x:c>
    </x:row>
    <x:row r="94">
      <x:c r="A94" s="20"/>
      <x:c r="B94" s="20"/>
      <x:c r="C94" s="20"/>
      <x:c r="D94" s="20"/>
      <x:c r="E94" s="20"/>
      <x:c r="F94" s="20"/>
      <x:c r="G94" s="20"/>
      <x:c r="H94" s="22" t="str">
        <x:f>IF(COUNTA(A94:G94)=0,"",IF(AND(ISNUMBER(D94),D94&lt;0),"REVISAR",IF(AND(A94&lt;&gt;"",COUNTIF($A$5:$A$304,A94)&gt;1),"REVISAR",IF(AND(E94="No",G94&lt;&gt;""),"EXCLUIDO",IF(AND(A94&lt;&gt;"",B94&lt;&gt;"",C94&lt;&gt;"",ISNUMBER(D94),D94&gt;=0,E94="Sí",F94&lt;&gt;"",G94&lt;&gt;""),"VÁLIDO","INCOMPLETO")))))</x:f>
      </x:c>
    </x:row>
    <x:row r="95">
      <x:c r="A95" s="20"/>
      <x:c r="B95" s="20"/>
      <x:c r="C95" s="20"/>
      <x:c r="D95" s="20"/>
      <x:c r="E95" s="20"/>
      <x:c r="F95" s="20"/>
      <x:c r="G95" s="20"/>
      <x:c r="H95" s="22" t="str">
        <x:f>IF(COUNTA(A95:G95)=0,"",IF(AND(ISNUMBER(D95),D95&lt;0),"REVISAR",IF(AND(A95&lt;&gt;"",COUNTIF($A$5:$A$304,A95)&gt;1),"REVISAR",IF(AND(E95="No",G95&lt;&gt;""),"EXCLUIDO",IF(AND(A95&lt;&gt;"",B95&lt;&gt;"",C95&lt;&gt;"",ISNUMBER(D95),D95&gt;=0,E95="Sí",F95&lt;&gt;"",G95&lt;&gt;""),"VÁLIDO","INCOMPLETO")))))</x:f>
      </x:c>
    </x:row>
    <x:row r="96">
      <x:c r="A96" s="20"/>
      <x:c r="B96" s="20"/>
      <x:c r="C96" s="20"/>
      <x:c r="D96" s="20"/>
      <x:c r="E96" s="20"/>
      <x:c r="F96" s="20"/>
      <x:c r="G96" s="20"/>
      <x:c r="H96" s="22" t="str">
        <x:f>IF(COUNTA(A96:G96)=0,"",IF(AND(ISNUMBER(D96),D96&lt;0),"REVISAR",IF(AND(A96&lt;&gt;"",COUNTIF($A$5:$A$304,A96)&gt;1),"REVISAR",IF(AND(E96="No",G96&lt;&gt;""),"EXCLUIDO",IF(AND(A96&lt;&gt;"",B96&lt;&gt;"",C96&lt;&gt;"",ISNUMBER(D96),D96&gt;=0,E96="Sí",F96&lt;&gt;"",G96&lt;&gt;""),"VÁLIDO","INCOMPLETO")))))</x:f>
      </x:c>
    </x:row>
    <x:row r="97">
      <x:c r="A97" s="20"/>
      <x:c r="B97" s="20"/>
      <x:c r="C97" s="20"/>
      <x:c r="D97" s="20"/>
      <x:c r="E97" s="20"/>
      <x:c r="F97" s="20"/>
      <x:c r="G97" s="20"/>
      <x:c r="H97" s="22" t="str">
        <x:f>IF(COUNTA(A97:G97)=0,"",IF(AND(ISNUMBER(D97),D97&lt;0),"REVISAR",IF(AND(A97&lt;&gt;"",COUNTIF($A$5:$A$304,A97)&gt;1),"REVISAR",IF(AND(E97="No",G97&lt;&gt;""),"EXCLUIDO",IF(AND(A97&lt;&gt;"",B97&lt;&gt;"",C97&lt;&gt;"",ISNUMBER(D97),D97&gt;=0,E97="Sí",F97&lt;&gt;"",G97&lt;&gt;""),"VÁLIDO","INCOMPLETO")))))</x:f>
      </x:c>
    </x:row>
    <x:row r="98">
      <x:c r="A98" s="20"/>
      <x:c r="B98" s="20"/>
      <x:c r="C98" s="20"/>
      <x:c r="D98" s="20"/>
      <x:c r="E98" s="20"/>
      <x:c r="F98" s="20"/>
      <x:c r="G98" s="20"/>
      <x:c r="H98" s="22" t="str">
        <x:f>IF(COUNTA(A98:G98)=0,"",IF(AND(ISNUMBER(D98),D98&lt;0),"REVISAR",IF(AND(A98&lt;&gt;"",COUNTIF($A$5:$A$304,A98)&gt;1),"REVISAR",IF(AND(E98="No",G98&lt;&gt;""),"EXCLUIDO",IF(AND(A98&lt;&gt;"",B98&lt;&gt;"",C98&lt;&gt;"",ISNUMBER(D98),D98&gt;=0,E98="Sí",F98&lt;&gt;"",G98&lt;&gt;""),"VÁLIDO","INCOMPLETO")))))</x:f>
      </x:c>
    </x:row>
    <x:row r="99">
      <x:c r="A99" s="20"/>
      <x:c r="B99" s="20"/>
      <x:c r="C99" s="20"/>
      <x:c r="D99" s="20"/>
      <x:c r="E99" s="20"/>
      <x:c r="F99" s="20"/>
      <x:c r="G99" s="20"/>
      <x:c r="H99" s="22" t="str">
        <x:f>IF(COUNTA(A99:G99)=0,"",IF(AND(ISNUMBER(D99),D99&lt;0),"REVISAR",IF(AND(A99&lt;&gt;"",COUNTIF($A$5:$A$304,A99)&gt;1),"REVISAR",IF(AND(E99="No",G99&lt;&gt;""),"EXCLUIDO",IF(AND(A99&lt;&gt;"",B99&lt;&gt;"",C99&lt;&gt;"",ISNUMBER(D99),D99&gt;=0,E99="Sí",F99&lt;&gt;"",G99&lt;&gt;""),"VÁLIDO","INCOMPLETO")))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2" t="str">
        <x:f>IF(COUNTA(A100:G100)=0,"",IF(AND(ISNUMBER(D100),D100&lt;0),"REVISAR",IF(AND(A100&lt;&gt;"",COUNTIF($A$5:$A$304,A100)&gt;1),"REVISAR",IF(AND(E100="No",G100&lt;&gt;""),"EXCLUIDO",IF(AND(A100&lt;&gt;"",B100&lt;&gt;"",C100&lt;&gt;"",ISNUMBER(D100),D100&gt;=0,E100="Sí",F100&lt;&gt;"",G100&lt;&gt;""),"VÁLIDO","INCOMPLETO")))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2" t="str">
        <x:f>IF(COUNTA(A101:G101)=0,"",IF(AND(ISNUMBER(D101),D101&lt;0),"REVISAR",IF(AND(A101&lt;&gt;"",COUNTIF($A$5:$A$304,A101)&gt;1),"REVISAR",IF(AND(E101="No",G101&lt;&gt;""),"EXCLUIDO",IF(AND(A101&lt;&gt;"",B101&lt;&gt;"",C101&lt;&gt;"",ISNUMBER(D101),D101&gt;=0,E101="Sí",F101&lt;&gt;"",G101&lt;&gt;""),"VÁLIDO","INCOMPLETO")))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2" t="str">
        <x:f>IF(COUNTA(A102:G102)=0,"",IF(AND(ISNUMBER(D102),D102&lt;0),"REVISAR",IF(AND(A102&lt;&gt;"",COUNTIF($A$5:$A$304,A102)&gt;1),"REVISAR",IF(AND(E102="No",G102&lt;&gt;""),"EXCLUIDO",IF(AND(A102&lt;&gt;"",B102&lt;&gt;"",C102&lt;&gt;"",ISNUMBER(D102),D102&gt;=0,E102="Sí",F102&lt;&gt;"",G102&lt;&gt;""),"VÁLIDO","INCOMPLETO")))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2" t="str">
        <x:f>IF(COUNTA(A103:G103)=0,"",IF(AND(ISNUMBER(D103),D103&lt;0),"REVISAR",IF(AND(A103&lt;&gt;"",COUNTIF($A$5:$A$304,A103)&gt;1),"REVISAR",IF(AND(E103="No",G103&lt;&gt;""),"EXCLUIDO",IF(AND(A103&lt;&gt;"",B103&lt;&gt;"",C103&lt;&gt;"",ISNUMBER(D103),D103&gt;=0,E103="Sí",F103&lt;&gt;"",G103&lt;&gt;""),"VÁLIDO","INCOMPLETO")))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2" t="str">
        <x:f>IF(COUNTA(A104:G104)=0,"",IF(AND(ISNUMBER(D104),D104&lt;0),"REVISAR",IF(AND(A104&lt;&gt;"",COUNTIF($A$5:$A$304,A104)&gt;1),"REVISAR",IF(AND(E104="No",G104&lt;&gt;""),"EXCLUIDO",IF(AND(A104&lt;&gt;"",B104&lt;&gt;"",C104&lt;&gt;"",ISNUMBER(D104),D104&gt;=0,E104="Sí",F104&lt;&gt;"",G104&lt;&gt;""),"VÁLIDO","INCOMPLETO")))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2" t="str">
        <x:f>IF(COUNTA(A105:G105)=0,"",IF(AND(ISNUMBER(D105),D105&lt;0),"REVISAR",IF(AND(A105&lt;&gt;"",COUNTIF($A$5:$A$304,A105)&gt;1),"REVISAR",IF(AND(E105="No",G105&lt;&gt;""),"EXCLUIDO",IF(AND(A105&lt;&gt;"",B105&lt;&gt;"",C105&lt;&gt;"",ISNUMBER(D105),D105&gt;=0,E105="Sí",F105&lt;&gt;"",G105&lt;&gt;""),"VÁLIDO","INCOMPLETO")))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2" t="str">
        <x:f>IF(COUNTA(A106:G106)=0,"",IF(AND(ISNUMBER(D106),D106&lt;0),"REVISAR",IF(AND(A106&lt;&gt;"",COUNTIF($A$5:$A$304,A106)&gt;1),"REVISAR",IF(AND(E106="No",G106&lt;&gt;""),"EXCLUIDO",IF(AND(A106&lt;&gt;"",B106&lt;&gt;"",C106&lt;&gt;"",ISNUMBER(D106),D106&gt;=0,E106="Sí",F106&lt;&gt;"",G106&lt;&gt;""),"VÁLIDO","INCOMPLETO")))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2" t="str">
        <x:f>IF(COUNTA(A107:G107)=0,"",IF(AND(ISNUMBER(D107),D107&lt;0),"REVISAR",IF(AND(A107&lt;&gt;"",COUNTIF($A$5:$A$304,A107)&gt;1),"REVISAR",IF(AND(E107="No",G107&lt;&gt;""),"EXCLUIDO",IF(AND(A107&lt;&gt;"",B107&lt;&gt;"",C107&lt;&gt;"",ISNUMBER(D107),D107&gt;=0,E107="Sí",F107&lt;&gt;"",G107&lt;&gt;""),"VÁLIDO","INCOMPLETO")))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2" t="str">
        <x:f>IF(COUNTA(A108:G108)=0,"",IF(AND(ISNUMBER(D108),D108&lt;0),"REVISAR",IF(AND(A108&lt;&gt;"",COUNTIF($A$5:$A$304,A108)&gt;1),"REVISAR",IF(AND(E108="No",G108&lt;&gt;""),"EXCLUIDO",IF(AND(A108&lt;&gt;"",B108&lt;&gt;"",C108&lt;&gt;"",ISNUMBER(D108),D108&gt;=0,E108="Sí",F108&lt;&gt;"",G108&lt;&gt;""),"VÁLIDO","INCOMPLETO")))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2" t="str">
        <x:f>IF(COUNTA(A109:G109)=0,"",IF(AND(ISNUMBER(D109),D109&lt;0),"REVISAR",IF(AND(A109&lt;&gt;"",COUNTIF($A$5:$A$304,A109)&gt;1),"REVISAR",IF(AND(E109="No",G109&lt;&gt;""),"EXCLUIDO",IF(AND(A109&lt;&gt;"",B109&lt;&gt;"",C109&lt;&gt;"",ISNUMBER(D109),D109&gt;=0,E109="Sí",F109&lt;&gt;"",G109&lt;&gt;""),"VÁLIDO","INCOMPLETO")))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2" t="str">
        <x:f>IF(COUNTA(A110:G110)=0,"",IF(AND(ISNUMBER(D110),D110&lt;0),"REVISAR",IF(AND(A110&lt;&gt;"",COUNTIF($A$5:$A$304,A110)&gt;1),"REVISAR",IF(AND(E110="No",G110&lt;&gt;""),"EXCLUIDO",IF(AND(A110&lt;&gt;"",B110&lt;&gt;"",C110&lt;&gt;"",ISNUMBER(D110),D110&gt;=0,E110="Sí",F110&lt;&gt;"",G110&lt;&gt;""),"VÁLIDO","INCOMPLETO")))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2" t="str">
        <x:f>IF(COUNTA(A111:G111)=0,"",IF(AND(ISNUMBER(D111),D111&lt;0),"REVISAR",IF(AND(A111&lt;&gt;"",COUNTIF($A$5:$A$304,A111)&gt;1),"REVISAR",IF(AND(E111="No",G111&lt;&gt;""),"EXCLUIDO",IF(AND(A111&lt;&gt;"",B111&lt;&gt;"",C111&lt;&gt;"",ISNUMBER(D111),D111&gt;=0,E111="Sí",F111&lt;&gt;"",G111&lt;&gt;""),"VÁLIDO","INCOMPLETO")))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2" t="str">
        <x:f>IF(COUNTA(A112:G112)=0,"",IF(AND(ISNUMBER(D112),D112&lt;0),"REVISAR",IF(AND(A112&lt;&gt;"",COUNTIF($A$5:$A$304,A112)&gt;1),"REVISAR",IF(AND(E112="No",G112&lt;&gt;""),"EXCLUIDO",IF(AND(A112&lt;&gt;"",B112&lt;&gt;"",C112&lt;&gt;"",ISNUMBER(D112),D112&gt;=0,E112="Sí",F112&lt;&gt;"",G112&lt;&gt;""),"VÁLIDO","INCOMPLETO")))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2" t="str">
        <x:f>IF(COUNTA(A113:G113)=0,"",IF(AND(ISNUMBER(D113),D113&lt;0),"REVISAR",IF(AND(A113&lt;&gt;"",COUNTIF($A$5:$A$304,A113)&gt;1),"REVISAR",IF(AND(E113="No",G113&lt;&gt;""),"EXCLUIDO",IF(AND(A113&lt;&gt;"",B113&lt;&gt;"",C113&lt;&gt;"",ISNUMBER(D113),D113&gt;=0,E113="Sí",F113&lt;&gt;"",G113&lt;&gt;""),"VÁLIDO","INCOMPLETO")))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2" t="str">
        <x:f>IF(COUNTA(A114:G114)=0,"",IF(AND(ISNUMBER(D114),D114&lt;0),"REVISAR",IF(AND(A114&lt;&gt;"",COUNTIF($A$5:$A$304,A114)&gt;1),"REVISAR",IF(AND(E114="No",G114&lt;&gt;""),"EXCLUIDO",IF(AND(A114&lt;&gt;"",B114&lt;&gt;"",C114&lt;&gt;"",ISNUMBER(D114),D114&gt;=0,E114="Sí",F114&lt;&gt;"",G114&lt;&gt;""),"VÁLIDO","INCOMPLETO")))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2" t="str">
        <x:f>IF(COUNTA(A115:G115)=0,"",IF(AND(ISNUMBER(D115),D115&lt;0),"REVISAR",IF(AND(A115&lt;&gt;"",COUNTIF($A$5:$A$304,A115)&gt;1),"REVISAR",IF(AND(E115="No",G115&lt;&gt;""),"EXCLUIDO",IF(AND(A115&lt;&gt;"",B115&lt;&gt;"",C115&lt;&gt;"",ISNUMBER(D115),D115&gt;=0,E115="Sí",F115&lt;&gt;"",G115&lt;&gt;""),"VÁLIDO","INCOMPLETO")))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2" t="str">
        <x:f>IF(COUNTA(A116:G116)=0,"",IF(AND(ISNUMBER(D116),D116&lt;0),"REVISAR",IF(AND(A116&lt;&gt;"",COUNTIF($A$5:$A$304,A116)&gt;1),"REVISAR",IF(AND(E116="No",G116&lt;&gt;""),"EXCLUIDO",IF(AND(A116&lt;&gt;"",B116&lt;&gt;"",C116&lt;&gt;"",ISNUMBER(D116),D116&gt;=0,E116="Sí",F116&lt;&gt;"",G116&lt;&gt;""),"VÁLIDO","INCOMPLETO")))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2" t="str">
        <x:f>IF(COUNTA(A117:G117)=0,"",IF(AND(ISNUMBER(D117),D117&lt;0),"REVISAR",IF(AND(A117&lt;&gt;"",COUNTIF($A$5:$A$304,A117)&gt;1),"REVISAR",IF(AND(E117="No",G117&lt;&gt;""),"EXCLUIDO",IF(AND(A117&lt;&gt;"",B117&lt;&gt;"",C117&lt;&gt;"",ISNUMBER(D117),D117&gt;=0,E117="Sí",F117&lt;&gt;"",G117&lt;&gt;""),"VÁLIDO","INCOMPLETO")))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2" t="str">
        <x:f>IF(COUNTA(A118:G118)=0,"",IF(AND(ISNUMBER(D118),D118&lt;0),"REVISAR",IF(AND(A118&lt;&gt;"",COUNTIF($A$5:$A$304,A118)&gt;1),"REVISAR",IF(AND(E118="No",G118&lt;&gt;""),"EXCLUIDO",IF(AND(A118&lt;&gt;"",B118&lt;&gt;"",C118&lt;&gt;"",ISNUMBER(D118),D118&gt;=0,E118="Sí",F118&lt;&gt;"",G118&lt;&gt;""),"VÁLIDO","INCOMPLETO")))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2" t="str">
        <x:f>IF(COUNTA(A119:G119)=0,"",IF(AND(ISNUMBER(D119),D119&lt;0),"REVISAR",IF(AND(A119&lt;&gt;"",COUNTIF($A$5:$A$304,A119)&gt;1),"REVISAR",IF(AND(E119="No",G119&lt;&gt;""),"EXCLUIDO",IF(AND(A119&lt;&gt;"",B119&lt;&gt;"",C119&lt;&gt;"",ISNUMBER(D119),D119&gt;=0,E119="Sí",F119&lt;&gt;"",G119&lt;&gt;""),"VÁLIDO","INCOMPLETO")))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2" t="str">
        <x:f>IF(COUNTA(A120:G120)=0,"",IF(AND(ISNUMBER(D120),D120&lt;0),"REVISAR",IF(AND(A120&lt;&gt;"",COUNTIF($A$5:$A$304,A120)&gt;1),"REVISAR",IF(AND(E120="No",G120&lt;&gt;""),"EXCLUIDO",IF(AND(A120&lt;&gt;"",B120&lt;&gt;"",C120&lt;&gt;"",ISNUMBER(D120),D120&gt;=0,E120="Sí",F120&lt;&gt;"",G120&lt;&gt;""),"VÁLIDO","INCOMPLETO")))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2" t="str">
        <x:f>IF(COUNTA(A121:G121)=0,"",IF(AND(ISNUMBER(D121),D121&lt;0),"REVISAR",IF(AND(A121&lt;&gt;"",COUNTIF($A$5:$A$304,A121)&gt;1),"REVISAR",IF(AND(E121="No",G121&lt;&gt;""),"EXCLUIDO",IF(AND(A121&lt;&gt;"",B121&lt;&gt;"",C121&lt;&gt;"",ISNUMBER(D121),D121&gt;=0,E121="Sí",F121&lt;&gt;"",G121&lt;&gt;""),"VÁLIDO","INCOMPLETO")))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2" t="str">
        <x:f>IF(COUNTA(A122:G122)=0,"",IF(AND(ISNUMBER(D122),D122&lt;0),"REVISAR",IF(AND(A122&lt;&gt;"",COUNTIF($A$5:$A$304,A122)&gt;1),"REVISAR",IF(AND(E122="No",G122&lt;&gt;""),"EXCLUIDO",IF(AND(A122&lt;&gt;"",B122&lt;&gt;"",C122&lt;&gt;"",ISNUMBER(D122),D122&gt;=0,E122="Sí",F122&lt;&gt;"",G122&lt;&gt;""),"VÁLIDO","INCOMPLETO")))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2" t="str">
        <x:f>IF(COUNTA(A123:G123)=0,"",IF(AND(ISNUMBER(D123),D123&lt;0),"REVISAR",IF(AND(A123&lt;&gt;"",COUNTIF($A$5:$A$304,A123)&gt;1),"REVISAR",IF(AND(E123="No",G123&lt;&gt;""),"EXCLUIDO",IF(AND(A123&lt;&gt;"",B123&lt;&gt;"",C123&lt;&gt;"",ISNUMBER(D123),D123&gt;=0,E123="Sí",F123&lt;&gt;"",G123&lt;&gt;""),"VÁLIDO","INCOMPLETO")))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2" t="str">
        <x:f>IF(COUNTA(A124:G124)=0,"",IF(AND(ISNUMBER(D124),D124&lt;0),"REVISAR",IF(AND(A124&lt;&gt;"",COUNTIF($A$5:$A$304,A124)&gt;1),"REVISAR",IF(AND(E124="No",G124&lt;&gt;""),"EXCLUIDO",IF(AND(A124&lt;&gt;"",B124&lt;&gt;"",C124&lt;&gt;"",ISNUMBER(D124),D124&gt;=0,E124="Sí",F124&lt;&gt;"",G124&lt;&gt;""),"VÁLIDO","INCOMPLETO")))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2" t="str">
        <x:f>IF(COUNTA(A125:G125)=0,"",IF(AND(ISNUMBER(D125),D125&lt;0),"REVISAR",IF(AND(A125&lt;&gt;"",COUNTIF($A$5:$A$304,A125)&gt;1),"REVISAR",IF(AND(E125="No",G125&lt;&gt;""),"EXCLUIDO",IF(AND(A125&lt;&gt;"",B125&lt;&gt;"",C125&lt;&gt;"",ISNUMBER(D125),D125&gt;=0,E125="Sí",F125&lt;&gt;"",G125&lt;&gt;""),"VÁLIDO","INCOMPLETO")))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2" t="str">
        <x:f>IF(COUNTA(A126:G126)=0,"",IF(AND(ISNUMBER(D126),D126&lt;0),"REVISAR",IF(AND(A126&lt;&gt;"",COUNTIF($A$5:$A$304,A126)&gt;1),"REVISAR",IF(AND(E126="No",G126&lt;&gt;""),"EXCLUIDO",IF(AND(A126&lt;&gt;"",B126&lt;&gt;"",C126&lt;&gt;"",ISNUMBER(D126),D126&gt;=0,E126="Sí",F126&lt;&gt;"",G126&lt;&gt;""),"VÁLIDO","INCOMPLETO")))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2" t="str">
        <x:f>IF(COUNTA(A127:G127)=0,"",IF(AND(ISNUMBER(D127),D127&lt;0),"REVISAR",IF(AND(A127&lt;&gt;"",COUNTIF($A$5:$A$304,A127)&gt;1),"REVISAR",IF(AND(E127="No",G127&lt;&gt;""),"EXCLUIDO",IF(AND(A127&lt;&gt;"",B127&lt;&gt;"",C127&lt;&gt;"",ISNUMBER(D127),D127&gt;=0,E127="Sí",F127&lt;&gt;"",G127&lt;&gt;""),"VÁLIDO","INCOMPLETO")))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2" t="str">
        <x:f>IF(COUNTA(A128:G128)=0,"",IF(AND(ISNUMBER(D128),D128&lt;0),"REVISAR",IF(AND(A128&lt;&gt;"",COUNTIF($A$5:$A$304,A128)&gt;1),"REVISAR",IF(AND(E128="No",G128&lt;&gt;""),"EXCLUIDO",IF(AND(A128&lt;&gt;"",B128&lt;&gt;"",C128&lt;&gt;"",ISNUMBER(D128),D128&gt;=0,E128="Sí",F128&lt;&gt;"",G128&lt;&gt;""),"VÁLIDO","INCOMPLETO")))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2" t="str">
        <x:f>IF(COUNTA(A129:G129)=0,"",IF(AND(ISNUMBER(D129),D129&lt;0),"REVISAR",IF(AND(A129&lt;&gt;"",COUNTIF($A$5:$A$304,A129)&gt;1),"REVISAR",IF(AND(E129="No",G129&lt;&gt;""),"EXCLUIDO",IF(AND(A129&lt;&gt;"",B129&lt;&gt;"",C129&lt;&gt;"",ISNUMBER(D129),D129&gt;=0,E129="Sí",F129&lt;&gt;"",G129&lt;&gt;""),"VÁLIDO","INCOMPLETO")))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2" t="str">
        <x:f>IF(COUNTA(A130:G130)=0,"",IF(AND(ISNUMBER(D130),D130&lt;0),"REVISAR",IF(AND(A130&lt;&gt;"",COUNTIF($A$5:$A$304,A130)&gt;1),"REVISAR",IF(AND(E130="No",G130&lt;&gt;""),"EXCLUIDO",IF(AND(A130&lt;&gt;"",B130&lt;&gt;"",C130&lt;&gt;"",ISNUMBER(D130),D130&gt;=0,E130="Sí",F130&lt;&gt;"",G130&lt;&gt;""),"VÁLIDO","INCOMPLETO")))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2" t="str">
        <x:f>IF(COUNTA(A131:G131)=0,"",IF(AND(ISNUMBER(D131),D131&lt;0),"REVISAR",IF(AND(A131&lt;&gt;"",COUNTIF($A$5:$A$304,A131)&gt;1),"REVISAR",IF(AND(E131="No",G131&lt;&gt;""),"EXCLUIDO",IF(AND(A131&lt;&gt;"",B131&lt;&gt;"",C131&lt;&gt;"",ISNUMBER(D131),D131&gt;=0,E131="Sí",F131&lt;&gt;"",G131&lt;&gt;""),"VÁLIDO","INCOMPLETO")))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2" t="str">
        <x:f>IF(COUNTA(A132:G132)=0,"",IF(AND(ISNUMBER(D132),D132&lt;0),"REVISAR",IF(AND(A132&lt;&gt;"",COUNTIF($A$5:$A$304,A132)&gt;1),"REVISAR",IF(AND(E132="No",G132&lt;&gt;""),"EXCLUIDO",IF(AND(A132&lt;&gt;"",B132&lt;&gt;"",C132&lt;&gt;"",ISNUMBER(D132),D132&gt;=0,E132="Sí",F132&lt;&gt;"",G132&lt;&gt;""),"VÁLIDO","INCOMPLETO")))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2" t="str">
        <x:f>IF(COUNTA(A133:G133)=0,"",IF(AND(ISNUMBER(D133),D133&lt;0),"REVISAR",IF(AND(A133&lt;&gt;"",COUNTIF($A$5:$A$304,A133)&gt;1),"REVISAR",IF(AND(E133="No",G133&lt;&gt;""),"EXCLUIDO",IF(AND(A133&lt;&gt;"",B133&lt;&gt;"",C133&lt;&gt;"",ISNUMBER(D133),D133&gt;=0,E133="Sí",F133&lt;&gt;"",G133&lt;&gt;""),"VÁLIDO","INCOMPLETO")))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2" t="str">
        <x:f>IF(COUNTA(A134:G134)=0,"",IF(AND(ISNUMBER(D134),D134&lt;0),"REVISAR",IF(AND(A134&lt;&gt;"",COUNTIF($A$5:$A$304,A134)&gt;1),"REVISAR",IF(AND(E134="No",G134&lt;&gt;""),"EXCLUIDO",IF(AND(A134&lt;&gt;"",B134&lt;&gt;"",C134&lt;&gt;"",ISNUMBER(D134),D134&gt;=0,E134="Sí",F134&lt;&gt;"",G134&lt;&gt;""),"VÁLIDO","INCOMPLETO")))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2" t="str">
        <x:f>IF(COUNTA(A135:G135)=0,"",IF(AND(ISNUMBER(D135),D135&lt;0),"REVISAR",IF(AND(A135&lt;&gt;"",COUNTIF($A$5:$A$304,A135)&gt;1),"REVISAR",IF(AND(E135="No",G135&lt;&gt;""),"EXCLUIDO",IF(AND(A135&lt;&gt;"",B135&lt;&gt;"",C135&lt;&gt;"",ISNUMBER(D135),D135&gt;=0,E135="Sí",F135&lt;&gt;"",G135&lt;&gt;""),"VÁLIDO","INCOMPLETO")))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2" t="str">
        <x:f>IF(COUNTA(A136:G136)=0,"",IF(AND(ISNUMBER(D136),D136&lt;0),"REVISAR",IF(AND(A136&lt;&gt;"",COUNTIF($A$5:$A$304,A136)&gt;1),"REVISAR",IF(AND(E136="No",G136&lt;&gt;""),"EXCLUIDO",IF(AND(A136&lt;&gt;"",B136&lt;&gt;"",C136&lt;&gt;"",ISNUMBER(D136),D136&gt;=0,E136="Sí",F136&lt;&gt;"",G136&lt;&gt;""),"VÁLIDO","INCOMPLETO")))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2" t="str">
        <x:f>IF(COUNTA(A137:G137)=0,"",IF(AND(ISNUMBER(D137),D137&lt;0),"REVISAR",IF(AND(A137&lt;&gt;"",COUNTIF($A$5:$A$304,A137)&gt;1),"REVISAR",IF(AND(E137="No",G137&lt;&gt;""),"EXCLUIDO",IF(AND(A137&lt;&gt;"",B137&lt;&gt;"",C137&lt;&gt;"",ISNUMBER(D137),D137&gt;=0,E137="Sí",F137&lt;&gt;"",G137&lt;&gt;""),"VÁLIDO","INCOMPLETO")))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2" t="str">
        <x:f>IF(COUNTA(A138:G138)=0,"",IF(AND(ISNUMBER(D138),D138&lt;0),"REVISAR",IF(AND(A138&lt;&gt;"",COUNTIF($A$5:$A$304,A138)&gt;1),"REVISAR",IF(AND(E138="No",G138&lt;&gt;""),"EXCLUIDO",IF(AND(A138&lt;&gt;"",B138&lt;&gt;"",C138&lt;&gt;"",ISNUMBER(D138),D138&gt;=0,E138="Sí",F138&lt;&gt;"",G138&lt;&gt;""),"VÁLIDO","INCOMPLETO")))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2" t="str">
        <x:f>IF(COUNTA(A139:G139)=0,"",IF(AND(ISNUMBER(D139),D139&lt;0),"REVISAR",IF(AND(A139&lt;&gt;"",COUNTIF($A$5:$A$304,A139)&gt;1),"REVISAR",IF(AND(E139="No",G139&lt;&gt;""),"EXCLUIDO",IF(AND(A139&lt;&gt;"",B139&lt;&gt;"",C139&lt;&gt;"",ISNUMBER(D139),D139&gt;=0,E139="Sí",F139&lt;&gt;"",G139&lt;&gt;""),"VÁLIDO","INCOMPLETO")))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2" t="str">
        <x:f>IF(COUNTA(A140:G140)=0,"",IF(AND(ISNUMBER(D140),D140&lt;0),"REVISAR",IF(AND(A140&lt;&gt;"",COUNTIF($A$5:$A$304,A140)&gt;1),"REVISAR",IF(AND(E140="No",G140&lt;&gt;""),"EXCLUIDO",IF(AND(A140&lt;&gt;"",B140&lt;&gt;"",C140&lt;&gt;"",ISNUMBER(D140),D140&gt;=0,E140="Sí",F140&lt;&gt;"",G140&lt;&gt;""),"VÁLIDO","INCOMPLETO")))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2" t="str">
        <x:f>IF(COUNTA(A141:G141)=0,"",IF(AND(ISNUMBER(D141),D141&lt;0),"REVISAR",IF(AND(A141&lt;&gt;"",COUNTIF($A$5:$A$304,A141)&gt;1),"REVISAR",IF(AND(E141="No",G141&lt;&gt;""),"EXCLUIDO",IF(AND(A141&lt;&gt;"",B141&lt;&gt;"",C141&lt;&gt;"",ISNUMBER(D141),D141&gt;=0,E141="Sí",F141&lt;&gt;"",G141&lt;&gt;""),"VÁLIDO","INCOMPLETO")))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2" t="str">
        <x:f>IF(COUNTA(A142:G142)=0,"",IF(AND(ISNUMBER(D142),D142&lt;0),"REVISAR",IF(AND(A142&lt;&gt;"",COUNTIF($A$5:$A$304,A142)&gt;1),"REVISAR",IF(AND(E142="No",G142&lt;&gt;""),"EXCLUIDO",IF(AND(A142&lt;&gt;"",B142&lt;&gt;"",C142&lt;&gt;"",ISNUMBER(D142),D142&gt;=0,E142="Sí",F142&lt;&gt;"",G142&lt;&gt;""),"VÁLIDO","INCOMPLETO")))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2" t="str">
        <x:f>IF(COUNTA(A143:G143)=0,"",IF(AND(ISNUMBER(D143),D143&lt;0),"REVISAR",IF(AND(A143&lt;&gt;"",COUNTIF($A$5:$A$304,A143)&gt;1),"REVISAR",IF(AND(E143="No",G143&lt;&gt;""),"EXCLUIDO",IF(AND(A143&lt;&gt;"",B143&lt;&gt;"",C143&lt;&gt;"",ISNUMBER(D143),D143&gt;=0,E143="Sí",F143&lt;&gt;"",G143&lt;&gt;""),"VÁLIDO","INCOMPLETO")))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2" t="str">
        <x:f>IF(COUNTA(A144:G144)=0,"",IF(AND(ISNUMBER(D144),D144&lt;0),"REVISAR",IF(AND(A144&lt;&gt;"",COUNTIF($A$5:$A$304,A144)&gt;1),"REVISAR",IF(AND(E144="No",G144&lt;&gt;""),"EXCLUIDO",IF(AND(A144&lt;&gt;"",B144&lt;&gt;"",C144&lt;&gt;"",ISNUMBER(D144),D144&gt;=0,E144="Sí",F144&lt;&gt;"",G144&lt;&gt;""),"VÁLIDO","INCOMPLETO")))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2" t="str">
        <x:f>IF(COUNTA(A145:G145)=0,"",IF(AND(ISNUMBER(D145),D145&lt;0),"REVISAR",IF(AND(A145&lt;&gt;"",COUNTIF($A$5:$A$304,A145)&gt;1),"REVISAR",IF(AND(E145="No",G145&lt;&gt;""),"EXCLUIDO",IF(AND(A145&lt;&gt;"",B145&lt;&gt;"",C145&lt;&gt;"",ISNUMBER(D145),D145&gt;=0,E145="Sí",F145&lt;&gt;"",G145&lt;&gt;""),"VÁLIDO","INCOMPLETO")))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2" t="str">
        <x:f>IF(COUNTA(A146:G146)=0,"",IF(AND(ISNUMBER(D146),D146&lt;0),"REVISAR",IF(AND(A146&lt;&gt;"",COUNTIF($A$5:$A$304,A146)&gt;1),"REVISAR",IF(AND(E146="No",G146&lt;&gt;""),"EXCLUIDO",IF(AND(A146&lt;&gt;"",B146&lt;&gt;"",C146&lt;&gt;"",ISNUMBER(D146),D146&gt;=0,E146="Sí",F146&lt;&gt;"",G146&lt;&gt;""),"VÁLIDO","INCOMPLETO")))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2" t="str">
        <x:f>IF(COUNTA(A147:G147)=0,"",IF(AND(ISNUMBER(D147),D147&lt;0),"REVISAR",IF(AND(A147&lt;&gt;"",COUNTIF($A$5:$A$304,A147)&gt;1),"REVISAR",IF(AND(E147="No",G147&lt;&gt;""),"EXCLUIDO",IF(AND(A147&lt;&gt;"",B147&lt;&gt;"",C147&lt;&gt;"",ISNUMBER(D147),D147&gt;=0,E147="Sí",F147&lt;&gt;"",G147&lt;&gt;""),"VÁLIDO","INCOMPLETO")))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2" t="str">
        <x:f>IF(COUNTA(A148:G148)=0,"",IF(AND(ISNUMBER(D148),D148&lt;0),"REVISAR",IF(AND(A148&lt;&gt;"",COUNTIF($A$5:$A$304,A148)&gt;1),"REVISAR",IF(AND(E148="No",G148&lt;&gt;""),"EXCLUIDO",IF(AND(A148&lt;&gt;"",B148&lt;&gt;"",C148&lt;&gt;"",ISNUMBER(D148),D148&gt;=0,E148="Sí",F148&lt;&gt;"",G148&lt;&gt;""),"VÁLIDO","INCOMPLETO")))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2" t="str">
        <x:f>IF(COUNTA(A149:G149)=0,"",IF(AND(ISNUMBER(D149),D149&lt;0),"REVISAR",IF(AND(A149&lt;&gt;"",COUNTIF($A$5:$A$304,A149)&gt;1),"REVISAR",IF(AND(E149="No",G149&lt;&gt;""),"EXCLUIDO",IF(AND(A149&lt;&gt;"",B149&lt;&gt;"",C149&lt;&gt;"",ISNUMBER(D149),D149&gt;=0,E149="Sí",F149&lt;&gt;"",G149&lt;&gt;""),"VÁLIDO","INCOMPLETO")))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2" t="str">
        <x:f>IF(COUNTA(A150:G150)=0,"",IF(AND(ISNUMBER(D150),D150&lt;0),"REVISAR",IF(AND(A150&lt;&gt;"",COUNTIF($A$5:$A$304,A150)&gt;1),"REVISAR",IF(AND(E150="No",G150&lt;&gt;""),"EXCLUIDO",IF(AND(A150&lt;&gt;"",B150&lt;&gt;"",C150&lt;&gt;"",ISNUMBER(D150),D150&gt;=0,E150="Sí",F150&lt;&gt;"",G150&lt;&gt;""),"VÁLIDO","INCOMPLETO")))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2" t="str">
        <x:f>IF(COUNTA(A151:G151)=0,"",IF(AND(ISNUMBER(D151),D151&lt;0),"REVISAR",IF(AND(A151&lt;&gt;"",COUNTIF($A$5:$A$304,A151)&gt;1),"REVISAR",IF(AND(E151="No",G151&lt;&gt;""),"EXCLUIDO",IF(AND(A151&lt;&gt;"",B151&lt;&gt;"",C151&lt;&gt;"",ISNUMBER(D151),D151&gt;=0,E151="Sí",F151&lt;&gt;"",G151&lt;&gt;""),"VÁLIDO","INCOMPLETO")))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2" t="str">
        <x:f>IF(COUNTA(A152:G152)=0,"",IF(AND(ISNUMBER(D152),D152&lt;0),"REVISAR",IF(AND(A152&lt;&gt;"",COUNTIF($A$5:$A$304,A152)&gt;1),"REVISAR",IF(AND(E152="No",G152&lt;&gt;""),"EXCLUIDO",IF(AND(A152&lt;&gt;"",B152&lt;&gt;"",C152&lt;&gt;"",ISNUMBER(D152),D152&gt;=0,E152="Sí",F152&lt;&gt;"",G152&lt;&gt;""),"VÁLIDO","INCOMPLETO")))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2" t="str">
        <x:f>IF(COUNTA(A153:G153)=0,"",IF(AND(ISNUMBER(D153),D153&lt;0),"REVISAR",IF(AND(A153&lt;&gt;"",COUNTIF($A$5:$A$304,A153)&gt;1),"REVISAR",IF(AND(E153="No",G153&lt;&gt;""),"EXCLUIDO",IF(AND(A153&lt;&gt;"",B153&lt;&gt;"",C153&lt;&gt;"",ISNUMBER(D153),D153&gt;=0,E153="Sí",F153&lt;&gt;"",G153&lt;&gt;""),"VÁLIDO","INCOMPLETO")))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2" t="str">
        <x:f>IF(COUNTA(A154:G154)=0,"",IF(AND(ISNUMBER(D154),D154&lt;0),"REVISAR",IF(AND(A154&lt;&gt;"",COUNTIF($A$5:$A$304,A154)&gt;1),"REVISAR",IF(AND(E154="No",G154&lt;&gt;""),"EXCLUIDO",IF(AND(A154&lt;&gt;"",B154&lt;&gt;"",C154&lt;&gt;"",ISNUMBER(D154),D154&gt;=0,E154="Sí",F154&lt;&gt;"",G154&lt;&gt;""),"VÁLIDO","INCOMPLETO")))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2" t="str">
        <x:f>IF(COUNTA(A155:G155)=0,"",IF(AND(ISNUMBER(D155),D155&lt;0),"REVISAR",IF(AND(A155&lt;&gt;"",COUNTIF($A$5:$A$304,A155)&gt;1),"REVISAR",IF(AND(E155="No",G155&lt;&gt;""),"EXCLUIDO",IF(AND(A155&lt;&gt;"",B155&lt;&gt;"",C155&lt;&gt;"",ISNUMBER(D155),D155&gt;=0,E155="Sí",F155&lt;&gt;"",G155&lt;&gt;""),"VÁLIDO","INCOMPLETO")))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2" t="str">
        <x:f>IF(COUNTA(A156:G156)=0,"",IF(AND(ISNUMBER(D156),D156&lt;0),"REVISAR",IF(AND(A156&lt;&gt;"",COUNTIF($A$5:$A$304,A156)&gt;1),"REVISAR",IF(AND(E156="No",G156&lt;&gt;""),"EXCLUIDO",IF(AND(A156&lt;&gt;"",B156&lt;&gt;"",C156&lt;&gt;"",ISNUMBER(D156),D156&gt;=0,E156="Sí",F156&lt;&gt;"",G156&lt;&gt;""),"VÁLIDO","INCOMPLETO")))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2" t="str">
        <x:f>IF(COUNTA(A157:G157)=0,"",IF(AND(ISNUMBER(D157),D157&lt;0),"REVISAR",IF(AND(A157&lt;&gt;"",COUNTIF($A$5:$A$304,A157)&gt;1),"REVISAR",IF(AND(E157="No",G157&lt;&gt;""),"EXCLUIDO",IF(AND(A157&lt;&gt;"",B157&lt;&gt;"",C157&lt;&gt;"",ISNUMBER(D157),D157&gt;=0,E157="Sí",F157&lt;&gt;"",G157&lt;&gt;""),"VÁLIDO","INCOMPLETO")))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2" t="str">
        <x:f>IF(COUNTA(A158:G158)=0,"",IF(AND(ISNUMBER(D158),D158&lt;0),"REVISAR",IF(AND(A158&lt;&gt;"",COUNTIF($A$5:$A$304,A158)&gt;1),"REVISAR",IF(AND(E158="No",G158&lt;&gt;""),"EXCLUIDO",IF(AND(A158&lt;&gt;"",B158&lt;&gt;"",C158&lt;&gt;"",ISNUMBER(D158),D158&gt;=0,E158="Sí",F158&lt;&gt;"",G158&lt;&gt;""),"VÁLIDO","INCOMPLETO")))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2" t="str">
        <x:f>IF(COUNTA(A159:G159)=0,"",IF(AND(ISNUMBER(D159),D159&lt;0),"REVISAR",IF(AND(A159&lt;&gt;"",COUNTIF($A$5:$A$304,A159)&gt;1),"REVISAR",IF(AND(E159="No",G159&lt;&gt;""),"EXCLUIDO",IF(AND(A159&lt;&gt;"",B159&lt;&gt;"",C159&lt;&gt;"",ISNUMBER(D159),D159&gt;=0,E159="Sí",F159&lt;&gt;"",G159&lt;&gt;""),"VÁLIDO","INCOMPLETO")))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2" t="str">
        <x:f>IF(COUNTA(A160:G160)=0,"",IF(AND(ISNUMBER(D160),D160&lt;0),"REVISAR",IF(AND(A160&lt;&gt;"",COUNTIF($A$5:$A$304,A160)&gt;1),"REVISAR",IF(AND(E160="No",G160&lt;&gt;""),"EXCLUIDO",IF(AND(A160&lt;&gt;"",B160&lt;&gt;"",C160&lt;&gt;"",ISNUMBER(D160),D160&gt;=0,E160="Sí",F160&lt;&gt;"",G160&lt;&gt;""),"VÁLIDO","INCOMPLETO")))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2" t="str">
        <x:f>IF(COUNTA(A161:G161)=0,"",IF(AND(ISNUMBER(D161),D161&lt;0),"REVISAR",IF(AND(A161&lt;&gt;"",COUNTIF($A$5:$A$304,A161)&gt;1),"REVISAR",IF(AND(E161="No",G161&lt;&gt;""),"EXCLUIDO",IF(AND(A161&lt;&gt;"",B161&lt;&gt;"",C161&lt;&gt;"",ISNUMBER(D161),D161&gt;=0,E161="Sí",F161&lt;&gt;"",G161&lt;&gt;""),"VÁLIDO","INCOMPLETO")))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2" t="str">
        <x:f>IF(COUNTA(A162:G162)=0,"",IF(AND(ISNUMBER(D162),D162&lt;0),"REVISAR",IF(AND(A162&lt;&gt;"",COUNTIF($A$5:$A$304,A162)&gt;1),"REVISAR",IF(AND(E162="No",G162&lt;&gt;""),"EXCLUIDO",IF(AND(A162&lt;&gt;"",B162&lt;&gt;"",C162&lt;&gt;"",ISNUMBER(D162),D162&gt;=0,E162="Sí",F162&lt;&gt;"",G162&lt;&gt;""),"VÁLIDO","INCOMPLETO")))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2" t="str">
        <x:f>IF(COUNTA(A163:G163)=0,"",IF(AND(ISNUMBER(D163),D163&lt;0),"REVISAR",IF(AND(A163&lt;&gt;"",COUNTIF($A$5:$A$304,A163)&gt;1),"REVISAR",IF(AND(E163="No",G163&lt;&gt;""),"EXCLUIDO",IF(AND(A163&lt;&gt;"",B163&lt;&gt;"",C163&lt;&gt;"",ISNUMBER(D163),D163&gt;=0,E163="Sí",F163&lt;&gt;"",G163&lt;&gt;""),"VÁLIDO","INCOMPLETO")))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2" t="str">
        <x:f>IF(COUNTA(A164:G164)=0,"",IF(AND(ISNUMBER(D164),D164&lt;0),"REVISAR",IF(AND(A164&lt;&gt;"",COUNTIF($A$5:$A$304,A164)&gt;1),"REVISAR",IF(AND(E164="No",G164&lt;&gt;""),"EXCLUIDO",IF(AND(A164&lt;&gt;"",B164&lt;&gt;"",C164&lt;&gt;"",ISNUMBER(D164),D164&gt;=0,E164="Sí",F164&lt;&gt;"",G164&lt;&gt;""),"VÁLIDO","INCOMPLETO")))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2" t="str">
        <x:f>IF(COUNTA(A165:G165)=0,"",IF(AND(ISNUMBER(D165),D165&lt;0),"REVISAR",IF(AND(A165&lt;&gt;"",COUNTIF($A$5:$A$304,A165)&gt;1),"REVISAR",IF(AND(E165="No",G165&lt;&gt;""),"EXCLUIDO",IF(AND(A165&lt;&gt;"",B165&lt;&gt;"",C165&lt;&gt;"",ISNUMBER(D165),D165&gt;=0,E165="Sí",F165&lt;&gt;"",G165&lt;&gt;""),"VÁLIDO","INCOMPLETO")))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2" t="str">
        <x:f>IF(COUNTA(A166:G166)=0,"",IF(AND(ISNUMBER(D166),D166&lt;0),"REVISAR",IF(AND(A166&lt;&gt;"",COUNTIF($A$5:$A$304,A166)&gt;1),"REVISAR",IF(AND(E166="No",G166&lt;&gt;""),"EXCLUIDO",IF(AND(A166&lt;&gt;"",B166&lt;&gt;"",C166&lt;&gt;"",ISNUMBER(D166),D166&gt;=0,E166="Sí",F166&lt;&gt;"",G166&lt;&gt;""),"VÁLIDO","INCOMPLETO")))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2" t="str">
        <x:f>IF(COUNTA(A167:G167)=0,"",IF(AND(ISNUMBER(D167),D167&lt;0),"REVISAR",IF(AND(A167&lt;&gt;"",COUNTIF($A$5:$A$304,A167)&gt;1),"REVISAR",IF(AND(E167="No",G167&lt;&gt;""),"EXCLUIDO",IF(AND(A167&lt;&gt;"",B167&lt;&gt;"",C167&lt;&gt;"",ISNUMBER(D167),D167&gt;=0,E167="Sí",F167&lt;&gt;"",G167&lt;&gt;""),"VÁLIDO","INCOMPLETO")))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2" t="str">
        <x:f>IF(COUNTA(A168:G168)=0,"",IF(AND(ISNUMBER(D168),D168&lt;0),"REVISAR",IF(AND(A168&lt;&gt;"",COUNTIF($A$5:$A$304,A168)&gt;1),"REVISAR",IF(AND(E168="No",G168&lt;&gt;""),"EXCLUIDO",IF(AND(A168&lt;&gt;"",B168&lt;&gt;"",C168&lt;&gt;"",ISNUMBER(D168),D168&gt;=0,E168="Sí",F168&lt;&gt;"",G168&lt;&gt;""),"VÁLIDO","INCOMPLETO")))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2" t="str">
        <x:f>IF(COUNTA(A169:G169)=0,"",IF(AND(ISNUMBER(D169),D169&lt;0),"REVISAR",IF(AND(A169&lt;&gt;"",COUNTIF($A$5:$A$304,A169)&gt;1),"REVISAR",IF(AND(E169="No",G169&lt;&gt;""),"EXCLUIDO",IF(AND(A169&lt;&gt;"",B169&lt;&gt;"",C169&lt;&gt;"",ISNUMBER(D169),D169&gt;=0,E169="Sí",F169&lt;&gt;"",G169&lt;&gt;""),"VÁLIDO","INCOMPLETO")))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2" t="str">
        <x:f>IF(COUNTA(A170:G170)=0,"",IF(AND(ISNUMBER(D170),D170&lt;0),"REVISAR",IF(AND(A170&lt;&gt;"",COUNTIF($A$5:$A$304,A170)&gt;1),"REVISAR",IF(AND(E170="No",G170&lt;&gt;""),"EXCLUIDO",IF(AND(A170&lt;&gt;"",B170&lt;&gt;"",C170&lt;&gt;"",ISNUMBER(D170),D170&gt;=0,E170="Sí",F170&lt;&gt;"",G170&lt;&gt;""),"VÁLIDO","INCOMPLETO")))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2" t="str">
        <x:f>IF(COUNTA(A171:G171)=0,"",IF(AND(ISNUMBER(D171),D171&lt;0),"REVISAR",IF(AND(A171&lt;&gt;"",COUNTIF($A$5:$A$304,A171)&gt;1),"REVISAR",IF(AND(E171="No",G171&lt;&gt;""),"EXCLUIDO",IF(AND(A171&lt;&gt;"",B171&lt;&gt;"",C171&lt;&gt;"",ISNUMBER(D171),D171&gt;=0,E171="Sí",F171&lt;&gt;"",G171&lt;&gt;""),"VÁLIDO","INCOMPLETO")))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2" t="str">
        <x:f>IF(COUNTA(A172:G172)=0,"",IF(AND(ISNUMBER(D172),D172&lt;0),"REVISAR",IF(AND(A172&lt;&gt;"",COUNTIF($A$5:$A$304,A172)&gt;1),"REVISAR",IF(AND(E172="No",G172&lt;&gt;""),"EXCLUIDO",IF(AND(A172&lt;&gt;"",B172&lt;&gt;"",C172&lt;&gt;"",ISNUMBER(D172),D172&gt;=0,E172="Sí",F172&lt;&gt;"",G172&lt;&gt;""),"VÁLIDO","INCOMPLETO")))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2" t="str">
        <x:f>IF(COUNTA(A173:G173)=0,"",IF(AND(ISNUMBER(D173),D173&lt;0),"REVISAR",IF(AND(A173&lt;&gt;"",COUNTIF($A$5:$A$304,A173)&gt;1),"REVISAR",IF(AND(E173="No",G173&lt;&gt;""),"EXCLUIDO",IF(AND(A173&lt;&gt;"",B173&lt;&gt;"",C173&lt;&gt;"",ISNUMBER(D173),D173&gt;=0,E173="Sí",F173&lt;&gt;"",G173&lt;&gt;""),"VÁLIDO","INCOMPLETO")))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2" t="str">
        <x:f>IF(COUNTA(A174:G174)=0,"",IF(AND(ISNUMBER(D174),D174&lt;0),"REVISAR",IF(AND(A174&lt;&gt;"",COUNTIF($A$5:$A$304,A174)&gt;1),"REVISAR",IF(AND(E174="No",G174&lt;&gt;""),"EXCLUIDO",IF(AND(A174&lt;&gt;"",B174&lt;&gt;"",C174&lt;&gt;"",ISNUMBER(D174),D174&gt;=0,E174="Sí",F174&lt;&gt;"",G174&lt;&gt;""),"VÁLIDO","INCOMPLETO")))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2" t="str">
        <x:f>IF(COUNTA(A175:G175)=0,"",IF(AND(ISNUMBER(D175),D175&lt;0),"REVISAR",IF(AND(A175&lt;&gt;"",COUNTIF($A$5:$A$304,A175)&gt;1),"REVISAR",IF(AND(E175="No",G175&lt;&gt;""),"EXCLUIDO",IF(AND(A175&lt;&gt;"",B175&lt;&gt;"",C175&lt;&gt;"",ISNUMBER(D175),D175&gt;=0,E175="Sí",F175&lt;&gt;"",G175&lt;&gt;""),"VÁLIDO","INCOMPLETO")))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2" t="str">
        <x:f>IF(COUNTA(A176:G176)=0,"",IF(AND(ISNUMBER(D176),D176&lt;0),"REVISAR",IF(AND(A176&lt;&gt;"",COUNTIF($A$5:$A$304,A176)&gt;1),"REVISAR",IF(AND(E176="No",G176&lt;&gt;""),"EXCLUIDO",IF(AND(A176&lt;&gt;"",B176&lt;&gt;"",C176&lt;&gt;"",ISNUMBER(D176),D176&gt;=0,E176="Sí",F176&lt;&gt;"",G176&lt;&gt;""),"VÁLIDO","INCOMPLETO")))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2" t="str">
        <x:f>IF(COUNTA(A177:G177)=0,"",IF(AND(ISNUMBER(D177),D177&lt;0),"REVISAR",IF(AND(A177&lt;&gt;"",COUNTIF($A$5:$A$304,A177)&gt;1),"REVISAR",IF(AND(E177="No",G177&lt;&gt;""),"EXCLUIDO",IF(AND(A177&lt;&gt;"",B177&lt;&gt;"",C177&lt;&gt;"",ISNUMBER(D177),D177&gt;=0,E177="Sí",F177&lt;&gt;"",G177&lt;&gt;""),"VÁLIDO","INCOMPLETO")))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2" t="str">
        <x:f>IF(COUNTA(A178:G178)=0,"",IF(AND(ISNUMBER(D178),D178&lt;0),"REVISAR",IF(AND(A178&lt;&gt;"",COUNTIF($A$5:$A$304,A178)&gt;1),"REVISAR",IF(AND(E178="No",G178&lt;&gt;""),"EXCLUIDO",IF(AND(A178&lt;&gt;"",B178&lt;&gt;"",C178&lt;&gt;"",ISNUMBER(D178),D178&gt;=0,E178="Sí",F178&lt;&gt;"",G178&lt;&gt;""),"VÁLIDO","INCOMPLETO")))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2" t="str">
        <x:f>IF(COUNTA(A179:G179)=0,"",IF(AND(ISNUMBER(D179),D179&lt;0),"REVISAR",IF(AND(A179&lt;&gt;"",COUNTIF($A$5:$A$304,A179)&gt;1),"REVISAR",IF(AND(E179="No",G179&lt;&gt;""),"EXCLUIDO",IF(AND(A179&lt;&gt;"",B179&lt;&gt;"",C179&lt;&gt;"",ISNUMBER(D179),D179&gt;=0,E179="Sí",F179&lt;&gt;"",G179&lt;&gt;""),"VÁLIDO","INCOMPLETO")))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2" t="str">
        <x:f>IF(COUNTA(A180:G180)=0,"",IF(AND(ISNUMBER(D180),D180&lt;0),"REVISAR",IF(AND(A180&lt;&gt;"",COUNTIF($A$5:$A$304,A180)&gt;1),"REVISAR",IF(AND(E180="No",G180&lt;&gt;""),"EXCLUIDO",IF(AND(A180&lt;&gt;"",B180&lt;&gt;"",C180&lt;&gt;"",ISNUMBER(D180),D180&gt;=0,E180="Sí",F180&lt;&gt;"",G180&lt;&gt;""),"VÁLIDO","INCOMPLETO")))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2" t="str">
        <x:f>IF(COUNTA(A181:G181)=0,"",IF(AND(ISNUMBER(D181),D181&lt;0),"REVISAR",IF(AND(A181&lt;&gt;"",COUNTIF($A$5:$A$304,A181)&gt;1),"REVISAR",IF(AND(E181="No",G181&lt;&gt;""),"EXCLUIDO",IF(AND(A181&lt;&gt;"",B181&lt;&gt;"",C181&lt;&gt;"",ISNUMBER(D181),D181&gt;=0,E181="Sí",F181&lt;&gt;"",G181&lt;&gt;""),"VÁLIDO","INCOMPLETO")))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2" t="str">
        <x:f>IF(COUNTA(A182:G182)=0,"",IF(AND(ISNUMBER(D182),D182&lt;0),"REVISAR",IF(AND(A182&lt;&gt;"",COUNTIF($A$5:$A$304,A182)&gt;1),"REVISAR",IF(AND(E182="No",G182&lt;&gt;""),"EXCLUIDO",IF(AND(A182&lt;&gt;"",B182&lt;&gt;"",C182&lt;&gt;"",ISNUMBER(D182),D182&gt;=0,E182="Sí",F182&lt;&gt;"",G182&lt;&gt;""),"VÁLIDO","INCOMPLETO")))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2" t="str">
        <x:f>IF(COUNTA(A183:G183)=0,"",IF(AND(ISNUMBER(D183),D183&lt;0),"REVISAR",IF(AND(A183&lt;&gt;"",COUNTIF($A$5:$A$304,A183)&gt;1),"REVISAR",IF(AND(E183="No",G183&lt;&gt;""),"EXCLUIDO",IF(AND(A183&lt;&gt;"",B183&lt;&gt;"",C183&lt;&gt;"",ISNUMBER(D183),D183&gt;=0,E183="Sí",F183&lt;&gt;"",G183&lt;&gt;""),"VÁLIDO","INCOMPLETO")))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2" t="str">
        <x:f>IF(COUNTA(A184:G184)=0,"",IF(AND(ISNUMBER(D184),D184&lt;0),"REVISAR",IF(AND(A184&lt;&gt;"",COUNTIF($A$5:$A$304,A184)&gt;1),"REVISAR",IF(AND(E184="No",G184&lt;&gt;""),"EXCLUIDO",IF(AND(A184&lt;&gt;"",B184&lt;&gt;"",C184&lt;&gt;"",ISNUMBER(D184),D184&gt;=0,E184="Sí",F184&lt;&gt;"",G184&lt;&gt;""),"VÁLIDO","INCOMPLETO")))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2" t="str">
        <x:f>IF(COUNTA(A185:G185)=0,"",IF(AND(ISNUMBER(D185),D185&lt;0),"REVISAR",IF(AND(A185&lt;&gt;"",COUNTIF($A$5:$A$304,A185)&gt;1),"REVISAR",IF(AND(E185="No",G185&lt;&gt;""),"EXCLUIDO",IF(AND(A185&lt;&gt;"",B185&lt;&gt;"",C185&lt;&gt;"",ISNUMBER(D185),D185&gt;=0,E185="Sí",F185&lt;&gt;"",G185&lt;&gt;""),"VÁLIDO","INCOMPLETO")))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2" t="str">
        <x:f>IF(COUNTA(A186:G186)=0,"",IF(AND(ISNUMBER(D186),D186&lt;0),"REVISAR",IF(AND(A186&lt;&gt;"",COUNTIF($A$5:$A$304,A186)&gt;1),"REVISAR",IF(AND(E186="No",G186&lt;&gt;""),"EXCLUIDO",IF(AND(A186&lt;&gt;"",B186&lt;&gt;"",C186&lt;&gt;"",ISNUMBER(D186),D186&gt;=0,E186="Sí",F186&lt;&gt;"",G186&lt;&gt;""),"VÁLIDO","INCOMPLETO")))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2" t="str">
        <x:f>IF(COUNTA(A187:G187)=0,"",IF(AND(ISNUMBER(D187),D187&lt;0),"REVISAR",IF(AND(A187&lt;&gt;"",COUNTIF($A$5:$A$304,A187)&gt;1),"REVISAR",IF(AND(E187="No",G187&lt;&gt;""),"EXCLUIDO",IF(AND(A187&lt;&gt;"",B187&lt;&gt;"",C187&lt;&gt;"",ISNUMBER(D187),D187&gt;=0,E187="Sí",F187&lt;&gt;"",G187&lt;&gt;""),"VÁLIDO","INCOMPLETO")))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2" t="str">
        <x:f>IF(COUNTA(A188:G188)=0,"",IF(AND(ISNUMBER(D188),D188&lt;0),"REVISAR",IF(AND(A188&lt;&gt;"",COUNTIF($A$5:$A$304,A188)&gt;1),"REVISAR",IF(AND(E188="No",G188&lt;&gt;""),"EXCLUIDO",IF(AND(A188&lt;&gt;"",B188&lt;&gt;"",C188&lt;&gt;"",ISNUMBER(D188),D188&gt;=0,E188="Sí",F188&lt;&gt;"",G188&lt;&gt;""),"VÁLIDO","INCOMPLETO")))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2" t="str">
        <x:f>IF(COUNTA(A189:G189)=0,"",IF(AND(ISNUMBER(D189),D189&lt;0),"REVISAR",IF(AND(A189&lt;&gt;"",COUNTIF($A$5:$A$304,A189)&gt;1),"REVISAR",IF(AND(E189="No",G189&lt;&gt;""),"EXCLUIDO",IF(AND(A189&lt;&gt;"",B189&lt;&gt;"",C189&lt;&gt;"",ISNUMBER(D189),D189&gt;=0,E189="Sí",F189&lt;&gt;"",G189&lt;&gt;""),"VÁLIDO","INCOMPLETO")))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2" t="str">
        <x:f>IF(COUNTA(A190:G190)=0,"",IF(AND(ISNUMBER(D190),D190&lt;0),"REVISAR",IF(AND(A190&lt;&gt;"",COUNTIF($A$5:$A$304,A190)&gt;1),"REVISAR",IF(AND(E190="No",G190&lt;&gt;""),"EXCLUIDO",IF(AND(A190&lt;&gt;"",B190&lt;&gt;"",C190&lt;&gt;"",ISNUMBER(D190),D190&gt;=0,E190="Sí",F190&lt;&gt;"",G190&lt;&gt;""),"VÁLIDO","INCOMPLETO")))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2" t="str">
        <x:f>IF(COUNTA(A191:G191)=0,"",IF(AND(ISNUMBER(D191),D191&lt;0),"REVISAR",IF(AND(A191&lt;&gt;"",COUNTIF($A$5:$A$304,A191)&gt;1),"REVISAR",IF(AND(E191="No",G191&lt;&gt;""),"EXCLUIDO",IF(AND(A191&lt;&gt;"",B191&lt;&gt;"",C191&lt;&gt;"",ISNUMBER(D191),D191&gt;=0,E191="Sí",F191&lt;&gt;"",G191&lt;&gt;""),"VÁLIDO","INCOMPLETO")))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2" t="str">
        <x:f>IF(COUNTA(A192:G192)=0,"",IF(AND(ISNUMBER(D192),D192&lt;0),"REVISAR",IF(AND(A192&lt;&gt;"",COUNTIF($A$5:$A$304,A192)&gt;1),"REVISAR",IF(AND(E192="No",G192&lt;&gt;""),"EXCLUIDO",IF(AND(A192&lt;&gt;"",B192&lt;&gt;"",C192&lt;&gt;"",ISNUMBER(D192),D192&gt;=0,E192="Sí",F192&lt;&gt;"",G192&lt;&gt;""),"VÁLIDO","INCOMPLETO")))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2" t="str">
        <x:f>IF(COUNTA(A193:G193)=0,"",IF(AND(ISNUMBER(D193),D193&lt;0),"REVISAR",IF(AND(A193&lt;&gt;"",COUNTIF($A$5:$A$304,A193)&gt;1),"REVISAR",IF(AND(E193="No",G193&lt;&gt;""),"EXCLUIDO",IF(AND(A193&lt;&gt;"",B193&lt;&gt;"",C193&lt;&gt;"",ISNUMBER(D193),D193&gt;=0,E193="Sí",F193&lt;&gt;"",G193&lt;&gt;""),"VÁLIDO","INCOMPLETO")))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2" t="str">
        <x:f>IF(COUNTA(A194:G194)=0,"",IF(AND(ISNUMBER(D194),D194&lt;0),"REVISAR",IF(AND(A194&lt;&gt;"",COUNTIF($A$5:$A$304,A194)&gt;1),"REVISAR",IF(AND(E194="No",G194&lt;&gt;""),"EXCLUIDO",IF(AND(A194&lt;&gt;"",B194&lt;&gt;"",C194&lt;&gt;"",ISNUMBER(D194),D194&gt;=0,E194="Sí",F194&lt;&gt;"",G194&lt;&gt;""),"VÁLIDO","INCOMPLETO")))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2" t="str">
        <x:f>IF(COUNTA(A195:G195)=0,"",IF(AND(ISNUMBER(D195),D195&lt;0),"REVISAR",IF(AND(A195&lt;&gt;"",COUNTIF($A$5:$A$304,A195)&gt;1),"REVISAR",IF(AND(E195="No",G195&lt;&gt;""),"EXCLUIDO",IF(AND(A195&lt;&gt;"",B195&lt;&gt;"",C195&lt;&gt;"",ISNUMBER(D195),D195&gt;=0,E195="Sí",F195&lt;&gt;"",G195&lt;&gt;""),"VÁLIDO","INCOMPLETO")))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2" t="str">
        <x:f>IF(COUNTA(A196:G196)=0,"",IF(AND(ISNUMBER(D196),D196&lt;0),"REVISAR",IF(AND(A196&lt;&gt;"",COUNTIF($A$5:$A$304,A196)&gt;1),"REVISAR",IF(AND(E196="No",G196&lt;&gt;""),"EXCLUIDO",IF(AND(A196&lt;&gt;"",B196&lt;&gt;"",C196&lt;&gt;"",ISNUMBER(D196),D196&gt;=0,E196="Sí",F196&lt;&gt;"",G196&lt;&gt;""),"VÁLIDO","INCOMPLETO")))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2" t="str">
        <x:f>IF(COUNTA(A197:G197)=0,"",IF(AND(ISNUMBER(D197),D197&lt;0),"REVISAR",IF(AND(A197&lt;&gt;"",COUNTIF($A$5:$A$304,A197)&gt;1),"REVISAR",IF(AND(E197="No",G197&lt;&gt;""),"EXCLUIDO",IF(AND(A197&lt;&gt;"",B197&lt;&gt;"",C197&lt;&gt;"",ISNUMBER(D197),D197&gt;=0,E197="Sí",F197&lt;&gt;"",G197&lt;&gt;""),"VÁLIDO","INCOMPLETO")))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2" t="str">
        <x:f>IF(COUNTA(A198:G198)=0,"",IF(AND(ISNUMBER(D198),D198&lt;0),"REVISAR",IF(AND(A198&lt;&gt;"",COUNTIF($A$5:$A$304,A198)&gt;1),"REVISAR",IF(AND(E198="No",G198&lt;&gt;""),"EXCLUIDO",IF(AND(A198&lt;&gt;"",B198&lt;&gt;"",C198&lt;&gt;"",ISNUMBER(D198),D198&gt;=0,E198="Sí",F198&lt;&gt;"",G198&lt;&gt;""),"VÁLIDO","INCOMPLETO")))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2" t="str">
        <x:f>IF(COUNTA(A199:G199)=0,"",IF(AND(ISNUMBER(D199),D199&lt;0),"REVISAR",IF(AND(A199&lt;&gt;"",COUNTIF($A$5:$A$304,A199)&gt;1),"REVISAR",IF(AND(E199="No",G199&lt;&gt;""),"EXCLUIDO",IF(AND(A199&lt;&gt;"",B199&lt;&gt;"",C199&lt;&gt;"",ISNUMBER(D199),D199&gt;=0,E199="Sí",F199&lt;&gt;"",G199&lt;&gt;""),"VÁLIDO","INCOMPLETO")))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2" t="str">
        <x:f>IF(COUNTA(A200:G200)=0,"",IF(AND(ISNUMBER(D200),D200&lt;0),"REVISAR",IF(AND(A200&lt;&gt;"",COUNTIF($A$5:$A$304,A200)&gt;1),"REVISAR",IF(AND(E200="No",G200&lt;&gt;""),"EXCLUIDO",IF(AND(A200&lt;&gt;"",B200&lt;&gt;"",C200&lt;&gt;"",ISNUMBER(D200),D200&gt;=0,E200="Sí",F200&lt;&gt;"",G200&lt;&gt;""),"VÁLIDO","INCOMPLETO")))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2" t="str">
        <x:f>IF(COUNTA(A201:G201)=0,"",IF(AND(ISNUMBER(D201),D201&lt;0),"REVISAR",IF(AND(A201&lt;&gt;"",COUNTIF($A$5:$A$304,A201)&gt;1),"REVISAR",IF(AND(E201="No",G201&lt;&gt;""),"EXCLUIDO",IF(AND(A201&lt;&gt;"",B201&lt;&gt;"",C201&lt;&gt;"",ISNUMBER(D201),D201&gt;=0,E201="Sí",F201&lt;&gt;"",G201&lt;&gt;""),"VÁLIDO","INCOMPLETO")))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2" t="str">
        <x:f>IF(COUNTA(A202:G202)=0,"",IF(AND(ISNUMBER(D202),D202&lt;0),"REVISAR",IF(AND(A202&lt;&gt;"",COUNTIF($A$5:$A$304,A202)&gt;1),"REVISAR",IF(AND(E202="No",G202&lt;&gt;""),"EXCLUIDO",IF(AND(A202&lt;&gt;"",B202&lt;&gt;"",C202&lt;&gt;"",ISNUMBER(D202),D202&gt;=0,E202="Sí",F202&lt;&gt;"",G202&lt;&gt;""),"VÁLIDO","INCOMPLETO")))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2" t="str">
        <x:f>IF(COUNTA(A203:G203)=0,"",IF(AND(ISNUMBER(D203),D203&lt;0),"REVISAR",IF(AND(A203&lt;&gt;"",COUNTIF($A$5:$A$304,A203)&gt;1),"REVISAR",IF(AND(E203="No",G203&lt;&gt;""),"EXCLUIDO",IF(AND(A203&lt;&gt;"",B203&lt;&gt;"",C203&lt;&gt;"",ISNUMBER(D203),D203&gt;=0,E203="Sí",F203&lt;&gt;"",G203&lt;&gt;""),"VÁLIDO","INCOMPLETO")))))</x:f>
      </x:c>
    </x:row>
    <x:row r="204">
      <x:c r="A204" s="20"/>
      <x:c r="B204" s="20"/>
      <x:c r="C204" s="20"/>
      <x:c r="D204" s="20"/>
      <x:c r="E204" s="20"/>
      <x:c r="F204" s="20"/>
      <x:c r="G204" s="20"/>
      <x:c r="H204" s="22" t="str">
        <x:f>IF(COUNTA(A204:G204)=0,"",IF(AND(ISNUMBER(D204),D204&lt;0),"REVISAR",IF(AND(A204&lt;&gt;"",COUNTIF($A$5:$A$304,A204)&gt;1),"REVISAR",IF(AND(E204="No",G204&lt;&gt;""),"EXCLUIDO",IF(AND(A204&lt;&gt;"",B204&lt;&gt;"",C204&lt;&gt;"",ISNUMBER(D204),D204&gt;=0,E204="Sí",F204&lt;&gt;"",G204&lt;&gt;""),"VÁLIDO","INCOMPLETO")))))</x:f>
      </x:c>
    </x:row>
    <x:row r="205">
      <x:c r="A205" s="20"/>
      <x:c r="B205" s="20"/>
      <x:c r="C205" s="20"/>
      <x:c r="D205" s="20"/>
      <x:c r="E205" s="20"/>
      <x:c r="F205" s="20"/>
      <x:c r="G205" s="20"/>
      <x:c r="H205" s="22" t="str">
        <x:f>IF(COUNTA(A205:G205)=0,"",IF(AND(ISNUMBER(D205),D205&lt;0),"REVISAR",IF(AND(A205&lt;&gt;"",COUNTIF($A$5:$A$304,A205)&gt;1),"REVISAR",IF(AND(E205="No",G205&lt;&gt;""),"EXCLUIDO",IF(AND(A205&lt;&gt;"",B205&lt;&gt;"",C205&lt;&gt;"",ISNUMBER(D205),D205&gt;=0,E205="Sí",F205&lt;&gt;"",G205&lt;&gt;""),"VÁLIDO","INCOMPLETO")))))</x:f>
      </x:c>
    </x:row>
    <x:row r="206">
      <x:c r="A206" s="20"/>
      <x:c r="B206" s="20"/>
      <x:c r="C206" s="20"/>
      <x:c r="D206" s="20"/>
      <x:c r="E206" s="20"/>
      <x:c r="F206" s="20"/>
      <x:c r="G206" s="20"/>
      <x:c r="H206" s="22" t="str">
        <x:f>IF(COUNTA(A206:G206)=0,"",IF(AND(ISNUMBER(D206),D206&lt;0),"REVISAR",IF(AND(A206&lt;&gt;"",COUNTIF($A$5:$A$304,A206)&gt;1),"REVISAR",IF(AND(E206="No",G206&lt;&gt;""),"EXCLUIDO",IF(AND(A206&lt;&gt;"",B206&lt;&gt;"",C206&lt;&gt;"",ISNUMBER(D206),D206&gt;=0,E206="Sí",F206&lt;&gt;"",G206&lt;&gt;""),"VÁLIDO","INCOMPLETO")))))</x:f>
      </x:c>
    </x:row>
    <x:row r="207">
      <x:c r="A207" s="20"/>
      <x:c r="B207" s="20"/>
      <x:c r="C207" s="20"/>
      <x:c r="D207" s="20"/>
      <x:c r="E207" s="20"/>
      <x:c r="F207" s="20"/>
      <x:c r="G207" s="20"/>
      <x:c r="H207" s="22" t="str">
        <x:f>IF(COUNTA(A207:G207)=0,"",IF(AND(ISNUMBER(D207),D207&lt;0),"REVISAR",IF(AND(A207&lt;&gt;"",COUNTIF($A$5:$A$304,A207)&gt;1),"REVISAR",IF(AND(E207="No",G207&lt;&gt;""),"EXCLUIDO",IF(AND(A207&lt;&gt;"",B207&lt;&gt;"",C207&lt;&gt;"",ISNUMBER(D207),D207&gt;=0,E207="Sí",F207&lt;&gt;"",G207&lt;&gt;""),"VÁLIDO","INCOMPLETO")))))</x:f>
      </x:c>
    </x:row>
    <x:row r="208">
      <x:c r="A208" s="20"/>
      <x:c r="B208" s="20"/>
      <x:c r="C208" s="20"/>
      <x:c r="D208" s="20"/>
      <x:c r="E208" s="20"/>
      <x:c r="F208" s="20"/>
      <x:c r="G208" s="20"/>
      <x:c r="H208" s="22" t="str">
        <x:f>IF(COUNTA(A208:G208)=0,"",IF(AND(ISNUMBER(D208),D208&lt;0),"REVISAR",IF(AND(A208&lt;&gt;"",COUNTIF($A$5:$A$304,A208)&gt;1),"REVISAR",IF(AND(E208="No",G208&lt;&gt;""),"EXCLUIDO",IF(AND(A208&lt;&gt;"",B208&lt;&gt;"",C208&lt;&gt;"",ISNUMBER(D208),D208&gt;=0,E208="Sí",F208&lt;&gt;"",G208&lt;&gt;""),"VÁLIDO","INCOMPLETO")))))</x:f>
      </x:c>
    </x:row>
    <x:row r="209">
      <x:c r="A209" s="20"/>
      <x:c r="B209" s="20"/>
      <x:c r="C209" s="20"/>
      <x:c r="D209" s="20"/>
      <x:c r="E209" s="20"/>
      <x:c r="F209" s="20"/>
      <x:c r="G209" s="20"/>
      <x:c r="H209" s="22" t="str">
        <x:f>IF(COUNTA(A209:G209)=0,"",IF(AND(ISNUMBER(D209),D209&lt;0),"REVISAR",IF(AND(A209&lt;&gt;"",COUNTIF($A$5:$A$304,A209)&gt;1),"REVISAR",IF(AND(E209="No",G209&lt;&gt;""),"EXCLUIDO",IF(AND(A209&lt;&gt;"",B209&lt;&gt;"",C209&lt;&gt;"",ISNUMBER(D209),D209&gt;=0,E209="Sí",F209&lt;&gt;"",G209&lt;&gt;""),"VÁLIDO","INCOMPLETO")))))</x:f>
      </x:c>
    </x:row>
    <x:row r="210">
      <x:c r="A210" s="20"/>
      <x:c r="B210" s="20"/>
      <x:c r="C210" s="20"/>
      <x:c r="D210" s="20"/>
      <x:c r="E210" s="20"/>
      <x:c r="F210" s="20"/>
      <x:c r="G210" s="20"/>
      <x:c r="H210" s="22" t="str">
        <x:f>IF(COUNTA(A210:G210)=0,"",IF(AND(ISNUMBER(D210),D210&lt;0),"REVISAR",IF(AND(A210&lt;&gt;"",COUNTIF($A$5:$A$304,A210)&gt;1),"REVISAR",IF(AND(E210="No",G210&lt;&gt;""),"EXCLUIDO",IF(AND(A210&lt;&gt;"",B210&lt;&gt;"",C210&lt;&gt;"",ISNUMBER(D210),D210&gt;=0,E210="Sí",F210&lt;&gt;"",G210&lt;&gt;""),"VÁLIDO","INCOMPLETO")))))</x:f>
      </x:c>
    </x:row>
    <x:row r="211">
      <x:c r="A211" s="20"/>
      <x:c r="B211" s="20"/>
      <x:c r="C211" s="20"/>
      <x:c r="D211" s="20"/>
      <x:c r="E211" s="20"/>
      <x:c r="F211" s="20"/>
      <x:c r="G211" s="20"/>
      <x:c r="H211" s="22" t="str">
        <x:f>IF(COUNTA(A211:G211)=0,"",IF(AND(ISNUMBER(D211),D211&lt;0),"REVISAR",IF(AND(A211&lt;&gt;"",COUNTIF($A$5:$A$304,A211)&gt;1),"REVISAR",IF(AND(E211="No",G211&lt;&gt;""),"EXCLUIDO",IF(AND(A211&lt;&gt;"",B211&lt;&gt;"",C211&lt;&gt;"",ISNUMBER(D211),D211&gt;=0,E211="Sí",F211&lt;&gt;"",G211&lt;&gt;""),"VÁLIDO","INCOMPLETO")))))</x:f>
      </x:c>
    </x:row>
    <x:row r="212">
      <x:c r="A212" s="20"/>
      <x:c r="B212" s="20"/>
      <x:c r="C212" s="20"/>
      <x:c r="D212" s="20"/>
      <x:c r="E212" s="20"/>
      <x:c r="F212" s="20"/>
      <x:c r="G212" s="20"/>
      <x:c r="H212" s="22" t="str">
        <x:f>IF(COUNTA(A212:G212)=0,"",IF(AND(ISNUMBER(D212),D212&lt;0),"REVISAR",IF(AND(A212&lt;&gt;"",COUNTIF($A$5:$A$304,A212)&gt;1),"REVISAR",IF(AND(E212="No",G212&lt;&gt;""),"EXCLUIDO",IF(AND(A212&lt;&gt;"",B212&lt;&gt;"",C212&lt;&gt;"",ISNUMBER(D212),D212&gt;=0,E212="Sí",F212&lt;&gt;"",G212&lt;&gt;""),"VÁLIDO","INCOMPLETO")))))</x:f>
      </x:c>
    </x:row>
    <x:row r="213">
      <x:c r="A213" s="20"/>
      <x:c r="B213" s="20"/>
      <x:c r="C213" s="20"/>
      <x:c r="D213" s="20"/>
      <x:c r="E213" s="20"/>
      <x:c r="F213" s="20"/>
      <x:c r="G213" s="20"/>
      <x:c r="H213" s="22" t="str">
        <x:f>IF(COUNTA(A213:G213)=0,"",IF(AND(ISNUMBER(D213),D213&lt;0),"REVISAR",IF(AND(A213&lt;&gt;"",COUNTIF($A$5:$A$304,A213)&gt;1),"REVISAR",IF(AND(E213="No",G213&lt;&gt;""),"EXCLUIDO",IF(AND(A213&lt;&gt;"",B213&lt;&gt;"",C213&lt;&gt;"",ISNUMBER(D213),D213&gt;=0,E213="Sí",F213&lt;&gt;"",G213&lt;&gt;""),"VÁLIDO","INCOMPLETO")))))</x:f>
      </x:c>
    </x:row>
    <x:row r="214">
      <x:c r="A214" s="20"/>
      <x:c r="B214" s="20"/>
      <x:c r="C214" s="20"/>
      <x:c r="D214" s="20"/>
      <x:c r="E214" s="20"/>
      <x:c r="F214" s="20"/>
      <x:c r="G214" s="20"/>
      <x:c r="H214" s="22" t="str">
        <x:f>IF(COUNTA(A214:G214)=0,"",IF(AND(ISNUMBER(D214),D214&lt;0),"REVISAR",IF(AND(A214&lt;&gt;"",COUNTIF($A$5:$A$304,A214)&gt;1),"REVISAR",IF(AND(E214="No",G214&lt;&gt;""),"EXCLUIDO",IF(AND(A214&lt;&gt;"",B214&lt;&gt;"",C214&lt;&gt;"",ISNUMBER(D214),D214&gt;=0,E214="Sí",F214&lt;&gt;"",G214&lt;&gt;""),"VÁLIDO","INCOMPLETO")))))</x:f>
      </x:c>
    </x:row>
    <x:row r="215">
      <x:c r="A215" s="20"/>
      <x:c r="B215" s="20"/>
      <x:c r="C215" s="20"/>
      <x:c r="D215" s="20"/>
      <x:c r="E215" s="20"/>
      <x:c r="F215" s="20"/>
      <x:c r="G215" s="20"/>
      <x:c r="H215" s="22" t="str">
        <x:f>IF(COUNTA(A215:G215)=0,"",IF(AND(ISNUMBER(D215),D215&lt;0),"REVISAR",IF(AND(A215&lt;&gt;"",COUNTIF($A$5:$A$304,A215)&gt;1),"REVISAR",IF(AND(E215="No",G215&lt;&gt;""),"EXCLUIDO",IF(AND(A215&lt;&gt;"",B215&lt;&gt;"",C215&lt;&gt;"",ISNUMBER(D215),D215&gt;=0,E215="Sí",F215&lt;&gt;"",G215&lt;&gt;""),"VÁLIDO","INCOMPLETO")))))</x:f>
      </x:c>
    </x:row>
    <x:row r="216">
      <x:c r="A216" s="20"/>
      <x:c r="B216" s="20"/>
      <x:c r="C216" s="20"/>
      <x:c r="D216" s="20"/>
      <x:c r="E216" s="20"/>
      <x:c r="F216" s="20"/>
      <x:c r="G216" s="20"/>
      <x:c r="H216" s="22" t="str">
        <x:f>IF(COUNTA(A216:G216)=0,"",IF(AND(ISNUMBER(D216),D216&lt;0),"REVISAR",IF(AND(A216&lt;&gt;"",COUNTIF($A$5:$A$304,A216)&gt;1),"REVISAR",IF(AND(E216="No",G216&lt;&gt;""),"EXCLUIDO",IF(AND(A216&lt;&gt;"",B216&lt;&gt;"",C216&lt;&gt;"",ISNUMBER(D216),D216&gt;=0,E216="Sí",F216&lt;&gt;"",G216&lt;&gt;""),"VÁLIDO","INCOMPLETO")))))</x:f>
      </x:c>
    </x:row>
    <x:row r="217">
      <x:c r="A217" s="20"/>
      <x:c r="B217" s="20"/>
      <x:c r="C217" s="20"/>
      <x:c r="D217" s="20"/>
      <x:c r="E217" s="20"/>
      <x:c r="F217" s="20"/>
      <x:c r="G217" s="20"/>
      <x:c r="H217" s="22" t="str">
        <x:f>IF(COUNTA(A217:G217)=0,"",IF(AND(ISNUMBER(D217),D217&lt;0),"REVISAR",IF(AND(A217&lt;&gt;"",COUNTIF($A$5:$A$304,A217)&gt;1),"REVISAR",IF(AND(E217="No",G217&lt;&gt;""),"EXCLUIDO",IF(AND(A217&lt;&gt;"",B217&lt;&gt;"",C217&lt;&gt;"",ISNUMBER(D217),D217&gt;=0,E217="Sí",F217&lt;&gt;"",G217&lt;&gt;""),"VÁLIDO","INCOMPLETO")))))</x:f>
      </x:c>
    </x:row>
    <x:row r="218">
      <x:c r="A218" s="20"/>
      <x:c r="B218" s="20"/>
      <x:c r="C218" s="20"/>
      <x:c r="D218" s="20"/>
      <x:c r="E218" s="20"/>
      <x:c r="F218" s="20"/>
      <x:c r="G218" s="20"/>
      <x:c r="H218" s="22" t="str">
        <x:f>IF(COUNTA(A218:G218)=0,"",IF(AND(ISNUMBER(D218),D218&lt;0),"REVISAR",IF(AND(A218&lt;&gt;"",COUNTIF($A$5:$A$304,A218)&gt;1),"REVISAR",IF(AND(E218="No",G218&lt;&gt;""),"EXCLUIDO",IF(AND(A218&lt;&gt;"",B218&lt;&gt;"",C218&lt;&gt;"",ISNUMBER(D218),D218&gt;=0,E218="Sí",F218&lt;&gt;"",G218&lt;&gt;""),"VÁLIDO","INCOMPLETO")))))</x:f>
      </x:c>
    </x:row>
    <x:row r="219">
      <x:c r="A219" s="20"/>
      <x:c r="B219" s="20"/>
      <x:c r="C219" s="20"/>
      <x:c r="D219" s="20"/>
      <x:c r="E219" s="20"/>
      <x:c r="F219" s="20"/>
      <x:c r="G219" s="20"/>
      <x:c r="H219" s="22" t="str">
        <x:f>IF(COUNTA(A219:G219)=0,"",IF(AND(ISNUMBER(D219),D219&lt;0),"REVISAR",IF(AND(A219&lt;&gt;"",COUNTIF($A$5:$A$304,A219)&gt;1),"REVISAR",IF(AND(E219="No",G219&lt;&gt;""),"EXCLUIDO",IF(AND(A219&lt;&gt;"",B219&lt;&gt;"",C219&lt;&gt;"",ISNUMBER(D219),D219&gt;=0,E219="Sí",F219&lt;&gt;"",G219&lt;&gt;""),"VÁLIDO","INCOMPLETO")))))</x:f>
      </x:c>
    </x:row>
    <x:row r="220">
      <x:c r="A220" s="20"/>
      <x:c r="B220" s="20"/>
      <x:c r="C220" s="20"/>
      <x:c r="D220" s="20"/>
      <x:c r="E220" s="20"/>
      <x:c r="F220" s="20"/>
      <x:c r="G220" s="20"/>
      <x:c r="H220" s="22" t="str">
        <x:f>IF(COUNTA(A220:G220)=0,"",IF(AND(ISNUMBER(D220),D220&lt;0),"REVISAR",IF(AND(A220&lt;&gt;"",COUNTIF($A$5:$A$304,A220)&gt;1),"REVISAR",IF(AND(E220="No",G220&lt;&gt;""),"EXCLUIDO",IF(AND(A220&lt;&gt;"",B220&lt;&gt;"",C220&lt;&gt;"",ISNUMBER(D220),D220&gt;=0,E220="Sí",F220&lt;&gt;"",G220&lt;&gt;""),"VÁLIDO","INCOMPLETO")))))</x:f>
      </x:c>
    </x:row>
    <x:row r="221">
      <x:c r="A221" s="20"/>
      <x:c r="B221" s="20"/>
      <x:c r="C221" s="20"/>
      <x:c r="D221" s="20"/>
      <x:c r="E221" s="20"/>
      <x:c r="F221" s="20"/>
      <x:c r="G221" s="20"/>
      <x:c r="H221" s="22" t="str">
        <x:f>IF(COUNTA(A221:G221)=0,"",IF(AND(ISNUMBER(D221),D221&lt;0),"REVISAR",IF(AND(A221&lt;&gt;"",COUNTIF($A$5:$A$304,A221)&gt;1),"REVISAR",IF(AND(E221="No",G221&lt;&gt;""),"EXCLUIDO",IF(AND(A221&lt;&gt;"",B221&lt;&gt;"",C221&lt;&gt;"",ISNUMBER(D221),D221&gt;=0,E221="Sí",F221&lt;&gt;"",G221&lt;&gt;""),"VÁLIDO","INCOMPLETO")))))</x:f>
      </x:c>
    </x:row>
    <x:row r="222">
      <x:c r="A222" s="20"/>
      <x:c r="B222" s="20"/>
      <x:c r="C222" s="20"/>
      <x:c r="D222" s="20"/>
      <x:c r="E222" s="20"/>
      <x:c r="F222" s="20"/>
      <x:c r="G222" s="20"/>
      <x:c r="H222" s="22" t="str">
        <x:f>IF(COUNTA(A222:G222)=0,"",IF(AND(ISNUMBER(D222),D222&lt;0),"REVISAR",IF(AND(A222&lt;&gt;"",COUNTIF($A$5:$A$304,A222)&gt;1),"REVISAR",IF(AND(E222="No",G222&lt;&gt;""),"EXCLUIDO",IF(AND(A222&lt;&gt;"",B222&lt;&gt;"",C222&lt;&gt;"",ISNUMBER(D222),D222&gt;=0,E222="Sí",F222&lt;&gt;"",G222&lt;&gt;""),"VÁLIDO","INCOMPLETO")))))</x:f>
      </x:c>
    </x:row>
    <x:row r="223">
      <x:c r="A223" s="20"/>
      <x:c r="B223" s="20"/>
      <x:c r="C223" s="20"/>
      <x:c r="D223" s="20"/>
      <x:c r="E223" s="20"/>
      <x:c r="F223" s="20"/>
      <x:c r="G223" s="20"/>
      <x:c r="H223" s="22" t="str">
        <x:f>IF(COUNTA(A223:G223)=0,"",IF(AND(ISNUMBER(D223),D223&lt;0),"REVISAR",IF(AND(A223&lt;&gt;"",COUNTIF($A$5:$A$304,A223)&gt;1),"REVISAR",IF(AND(E223="No",G223&lt;&gt;""),"EXCLUIDO",IF(AND(A223&lt;&gt;"",B223&lt;&gt;"",C223&lt;&gt;"",ISNUMBER(D223),D223&gt;=0,E223="Sí",F223&lt;&gt;"",G223&lt;&gt;""),"VÁLIDO","INCOMPLETO")))))</x:f>
      </x:c>
    </x:row>
    <x:row r="224">
      <x:c r="A224" s="20"/>
      <x:c r="B224" s="20"/>
      <x:c r="C224" s="20"/>
      <x:c r="D224" s="20"/>
      <x:c r="E224" s="20"/>
      <x:c r="F224" s="20"/>
      <x:c r="G224" s="20"/>
      <x:c r="H224" s="22" t="str">
        <x:f>IF(COUNTA(A224:G224)=0,"",IF(AND(ISNUMBER(D224),D224&lt;0),"REVISAR",IF(AND(A224&lt;&gt;"",COUNTIF($A$5:$A$304,A224)&gt;1),"REVISAR",IF(AND(E224="No",G224&lt;&gt;""),"EXCLUIDO",IF(AND(A224&lt;&gt;"",B224&lt;&gt;"",C224&lt;&gt;"",ISNUMBER(D224),D224&gt;=0,E224="Sí",F224&lt;&gt;"",G224&lt;&gt;""),"VÁLIDO","INCOMPLETO")))))</x:f>
      </x:c>
    </x:row>
    <x:row r="225">
      <x:c r="A225" s="20"/>
      <x:c r="B225" s="20"/>
      <x:c r="C225" s="20"/>
      <x:c r="D225" s="20"/>
      <x:c r="E225" s="20"/>
      <x:c r="F225" s="20"/>
      <x:c r="G225" s="20"/>
      <x:c r="H225" s="22" t="str">
        <x:f>IF(COUNTA(A225:G225)=0,"",IF(AND(ISNUMBER(D225),D225&lt;0),"REVISAR",IF(AND(A225&lt;&gt;"",COUNTIF($A$5:$A$304,A225)&gt;1),"REVISAR",IF(AND(E225="No",G225&lt;&gt;""),"EXCLUIDO",IF(AND(A225&lt;&gt;"",B225&lt;&gt;"",C225&lt;&gt;"",ISNUMBER(D225),D225&gt;=0,E225="Sí",F225&lt;&gt;"",G225&lt;&gt;""),"VÁLIDO","INCOMPLETO")))))</x:f>
      </x:c>
    </x:row>
    <x:row r="226">
      <x:c r="A226" s="20"/>
      <x:c r="B226" s="20"/>
      <x:c r="C226" s="20"/>
      <x:c r="D226" s="20"/>
      <x:c r="E226" s="20"/>
      <x:c r="F226" s="20"/>
      <x:c r="G226" s="20"/>
      <x:c r="H226" s="22" t="str">
        <x:f>IF(COUNTA(A226:G226)=0,"",IF(AND(ISNUMBER(D226),D226&lt;0),"REVISAR",IF(AND(A226&lt;&gt;"",COUNTIF($A$5:$A$304,A226)&gt;1),"REVISAR",IF(AND(E226="No",G226&lt;&gt;""),"EXCLUIDO",IF(AND(A226&lt;&gt;"",B226&lt;&gt;"",C226&lt;&gt;"",ISNUMBER(D226),D226&gt;=0,E226="Sí",F226&lt;&gt;"",G226&lt;&gt;""),"VÁLIDO","INCOMPLETO")))))</x:f>
      </x:c>
    </x:row>
    <x:row r="227">
      <x:c r="A227" s="20"/>
      <x:c r="B227" s="20"/>
      <x:c r="C227" s="20"/>
      <x:c r="D227" s="20"/>
      <x:c r="E227" s="20"/>
      <x:c r="F227" s="20"/>
      <x:c r="G227" s="20"/>
      <x:c r="H227" s="22" t="str">
        <x:f>IF(COUNTA(A227:G227)=0,"",IF(AND(ISNUMBER(D227),D227&lt;0),"REVISAR",IF(AND(A227&lt;&gt;"",COUNTIF($A$5:$A$304,A227)&gt;1),"REVISAR",IF(AND(E227="No",G227&lt;&gt;""),"EXCLUIDO",IF(AND(A227&lt;&gt;"",B227&lt;&gt;"",C227&lt;&gt;"",ISNUMBER(D227),D227&gt;=0,E227="Sí",F227&lt;&gt;"",G227&lt;&gt;""),"VÁLIDO","INCOMPLETO")))))</x:f>
      </x:c>
    </x:row>
    <x:row r="228">
      <x:c r="A228" s="20"/>
      <x:c r="B228" s="20"/>
      <x:c r="C228" s="20"/>
      <x:c r="D228" s="20"/>
      <x:c r="E228" s="20"/>
      <x:c r="F228" s="20"/>
      <x:c r="G228" s="20"/>
      <x:c r="H228" s="22" t="str">
        <x:f>IF(COUNTA(A228:G228)=0,"",IF(AND(ISNUMBER(D228),D228&lt;0),"REVISAR",IF(AND(A228&lt;&gt;"",COUNTIF($A$5:$A$304,A228)&gt;1),"REVISAR",IF(AND(E228="No",G228&lt;&gt;""),"EXCLUIDO",IF(AND(A228&lt;&gt;"",B228&lt;&gt;"",C228&lt;&gt;"",ISNUMBER(D228),D228&gt;=0,E228="Sí",F228&lt;&gt;"",G228&lt;&gt;""),"VÁLIDO","INCOMPLETO")))))</x:f>
      </x:c>
    </x:row>
    <x:row r="229">
      <x:c r="A229" s="20"/>
      <x:c r="B229" s="20"/>
      <x:c r="C229" s="20"/>
      <x:c r="D229" s="20"/>
      <x:c r="E229" s="20"/>
      <x:c r="F229" s="20"/>
      <x:c r="G229" s="20"/>
      <x:c r="H229" s="22" t="str">
        <x:f>IF(COUNTA(A229:G229)=0,"",IF(AND(ISNUMBER(D229),D229&lt;0),"REVISAR",IF(AND(A229&lt;&gt;"",COUNTIF($A$5:$A$304,A229)&gt;1),"REVISAR",IF(AND(E229="No",G229&lt;&gt;""),"EXCLUIDO",IF(AND(A229&lt;&gt;"",B229&lt;&gt;"",C229&lt;&gt;"",ISNUMBER(D229),D229&gt;=0,E229="Sí",F229&lt;&gt;"",G229&lt;&gt;""),"VÁLIDO","INCOMPLETO")))))</x:f>
      </x:c>
    </x:row>
    <x:row r="230">
      <x:c r="A230" s="20"/>
      <x:c r="B230" s="20"/>
      <x:c r="C230" s="20"/>
      <x:c r="D230" s="20"/>
      <x:c r="E230" s="20"/>
      <x:c r="F230" s="20"/>
      <x:c r="G230" s="20"/>
      <x:c r="H230" s="22" t="str">
        <x:f>IF(COUNTA(A230:G230)=0,"",IF(AND(ISNUMBER(D230),D230&lt;0),"REVISAR",IF(AND(A230&lt;&gt;"",COUNTIF($A$5:$A$304,A230)&gt;1),"REVISAR",IF(AND(E230="No",G230&lt;&gt;""),"EXCLUIDO",IF(AND(A230&lt;&gt;"",B230&lt;&gt;"",C230&lt;&gt;"",ISNUMBER(D230),D230&gt;=0,E230="Sí",F230&lt;&gt;"",G230&lt;&gt;""),"VÁLIDO","INCOMPLETO")))))</x:f>
      </x:c>
    </x:row>
    <x:row r="231">
      <x:c r="A231" s="20"/>
      <x:c r="B231" s="20"/>
      <x:c r="C231" s="20"/>
      <x:c r="D231" s="20"/>
      <x:c r="E231" s="20"/>
      <x:c r="F231" s="20"/>
      <x:c r="G231" s="20"/>
      <x:c r="H231" s="22" t="str">
        <x:f>IF(COUNTA(A231:G231)=0,"",IF(AND(ISNUMBER(D231),D231&lt;0),"REVISAR",IF(AND(A231&lt;&gt;"",COUNTIF($A$5:$A$304,A231)&gt;1),"REVISAR",IF(AND(E231="No",G231&lt;&gt;""),"EXCLUIDO",IF(AND(A231&lt;&gt;"",B231&lt;&gt;"",C231&lt;&gt;"",ISNUMBER(D231),D231&gt;=0,E231="Sí",F231&lt;&gt;"",G231&lt;&gt;""),"VÁLIDO","INCOMPLETO")))))</x:f>
      </x:c>
    </x:row>
    <x:row r="232">
      <x:c r="A232" s="20"/>
      <x:c r="B232" s="20"/>
      <x:c r="C232" s="20"/>
      <x:c r="D232" s="20"/>
      <x:c r="E232" s="20"/>
      <x:c r="F232" s="20"/>
      <x:c r="G232" s="20"/>
      <x:c r="H232" s="22" t="str">
        <x:f>IF(COUNTA(A232:G232)=0,"",IF(AND(ISNUMBER(D232),D232&lt;0),"REVISAR",IF(AND(A232&lt;&gt;"",COUNTIF($A$5:$A$304,A232)&gt;1),"REVISAR",IF(AND(E232="No",G232&lt;&gt;""),"EXCLUIDO",IF(AND(A232&lt;&gt;"",B232&lt;&gt;"",C232&lt;&gt;"",ISNUMBER(D232),D232&gt;=0,E232="Sí",F232&lt;&gt;"",G232&lt;&gt;""),"VÁLIDO","INCOMPLETO")))))</x:f>
      </x:c>
    </x:row>
    <x:row r="233">
      <x:c r="A233" s="20"/>
      <x:c r="B233" s="20"/>
      <x:c r="C233" s="20"/>
      <x:c r="D233" s="20"/>
      <x:c r="E233" s="20"/>
      <x:c r="F233" s="20"/>
      <x:c r="G233" s="20"/>
      <x:c r="H233" s="22" t="str">
        <x:f>IF(COUNTA(A233:G233)=0,"",IF(AND(ISNUMBER(D233),D233&lt;0),"REVISAR",IF(AND(A233&lt;&gt;"",COUNTIF($A$5:$A$304,A233)&gt;1),"REVISAR",IF(AND(E233="No",G233&lt;&gt;""),"EXCLUIDO",IF(AND(A233&lt;&gt;"",B233&lt;&gt;"",C233&lt;&gt;"",ISNUMBER(D233),D233&gt;=0,E233="Sí",F233&lt;&gt;"",G233&lt;&gt;""),"VÁLIDO","INCOMPLETO")))))</x:f>
      </x:c>
    </x:row>
    <x:row r="234">
      <x:c r="A234" s="20"/>
      <x:c r="B234" s="20"/>
      <x:c r="C234" s="20"/>
      <x:c r="D234" s="20"/>
      <x:c r="E234" s="20"/>
      <x:c r="F234" s="20"/>
      <x:c r="G234" s="20"/>
      <x:c r="H234" s="22" t="str">
        <x:f>IF(COUNTA(A234:G234)=0,"",IF(AND(ISNUMBER(D234),D234&lt;0),"REVISAR",IF(AND(A234&lt;&gt;"",COUNTIF($A$5:$A$304,A234)&gt;1),"REVISAR",IF(AND(E234="No",G234&lt;&gt;""),"EXCLUIDO",IF(AND(A234&lt;&gt;"",B234&lt;&gt;"",C234&lt;&gt;"",ISNUMBER(D234),D234&gt;=0,E234="Sí",F234&lt;&gt;"",G234&lt;&gt;""),"VÁLIDO","INCOMPLETO")))))</x:f>
      </x:c>
    </x:row>
    <x:row r="235">
      <x:c r="A235" s="20"/>
      <x:c r="B235" s="20"/>
      <x:c r="C235" s="20"/>
      <x:c r="D235" s="20"/>
      <x:c r="E235" s="20"/>
      <x:c r="F235" s="20"/>
      <x:c r="G235" s="20"/>
      <x:c r="H235" s="22" t="str">
        <x:f>IF(COUNTA(A235:G235)=0,"",IF(AND(ISNUMBER(D235),D235&lt;0),"REVISAR",IF(AND(A235&lt;&gt;"",COUNTIF($A$5:$A$304,A235)&gt;1),"REVISAR",IF(AND(E235="No",G235&lt;&gt;""),"EXCLUIDO",IF(AND(A235&lt;&gt;"",B235&lt;&gt;"",C235&lt;&gt;"",ISNUMBER(D235),D235&gt;=0,E235="Sí",F235&lt;&gt;"",G235&lt;&gt;""),"VÁLIDO","INCOMPLETO")))))</x:f>
      </x:c>
    </x:row>
    <x:row r="236">
      <x:c r="A236" s="20"/>
      <x:c r="B236" s="20"/>
      <x:c r="C236" s="20"/>
      <x:c r="D236" s="20"/>
      <x:c r="E236" s="20"/>
      <x:c r="F236" s="20"/>
      <x:c r="G236" s="20"/>
      <x:c r="H236" s="22" t="str">
        <x:f>IF(COUNTA(A236:G236)=0,"",IF(AND(ISNUMBER(D236),D236&lt;0),"REVISAR",IF(AND(A236&lt;&gt;"",COUNTIF($A$5:$A$304,A236)&gt;1),"REVISAR",IF(AND(E236="No",G236&lt;&gt;""),"EXCLUIDO",IF(AND(A236&lt;&gt;"",B236&lt;&gt;"",C236&lt;&gt;"",ISNUMBER(D236),D236&gt;=0,E236="Sí",F236&lt;&gt;"",G236&lt;&gt;""),"VÁLIDO","INCOMPLETO")))))</x:f>
      </x:c>
    </x:row>
    <x:row r="237">
      <x:c r="A237" s="20"/>
      <x:c r="B237" s="20"/>
      <x:c r="C237" s="20"/>
      <x:c r="D237" s="20"/>
      <x:c r="E237" s="20"/>
      <x:c r="F237" s="20"/>
      <x:c r="G237" s="20"/>
      <x:c r="H237" s="22" t="str">
        <x:f>IF(COUNTA(A237:G237)=0,"",IF(AND(ISNUMBER(D237),D237&lt;0),"REVISAR",IF(AND(A237&lt;&gt;"",COUNTIF($A$5:$A$304,A237)&gt;1),"REVISAR",IF(AND(E237="No",G237&lt;&gt;""),"EXCLUIDO",IF(AND(A237&lt;&gt;"",B237&lt;&gt;"",C237&lt;&gt;"",ISNUMBER(D237),D237&gt;=0,E237="Sí",F237&lt;&gt;"",G237&lt;&gt;""),"VÁLIDO","INCOMPLETO")))))</x:f>
      </x:c>
    </x:row>
    <x:row r="238">
      <x:c r="A238" s="20"/>
      <x:c r="B238" s="20"/>
      <x:c r="C238" s="20"/>
      <x:c r="D238" s="20"/>
      <x:c r="E238" s="20"/>
      <x:c r="F238" s="20"/>
      <x:c r="G238" s="20"/>
      <x:c r="H238" s="22" t="str">
        <x:f>IF(COUNTA(A238:G238)=0,"",IF(AND(ISNUMBER(D238),D238&lt;0),"REVISAR",IF(AND(A238&lt;&gt;"",COUNTIF($A$5:$A$304,A238)&gt;1),"REVISAR",IF(AND(E238="No",G238&lt;&gt;""),"EXCLUIDO",IF(AND(A238&lt;&gt;"",B238&lt;&gt;"",C238&lt;&gt;"",ISNUMBER(D238),D238&gt;=0,E238="Sí",F238&lt;&gt;"",G238&lt;&gt;""),"VÁLIDO","INCOMPLETO")))))</x:f>
      </x:c>
    </x:row>
    <x:row r="239">
      <x:c r="A239" s="20"/>
      <x:c r="B239" s="20"/>
      <x:c r="C239" s="20"/>
      <x:c r="D239" s="20"/>
      <x:c r="E239" s="20"/>
      <x:c r="F239" s="20"/>
      <x:c r="G239" s="20"/>
      <x:c r="H239" s="22" t="str">
        <x:f>IF(COUNTA(A239:G239)=0,"",IF(AND(ISNUMBER(D239),D239&lt;0),"REVISAR",IF(AND(A239&lt;&gt;"",COUNTIF($A$5:$A$304,A239)&gt;1),"REVISAR",IF(AND(E239="No",G239&lt;&gt;""),"EXCLUIDO",IF(AND(A239&lt;&gt;"",B239&lt;&gt;"",C239&lt;&gt;"",ISNUMBER(D239),D239&gt;=0,E239="Sí",F239&lt;&gt;"",G239&lt;&gt;""),"VÁLIDO","INCOMPLETO")))))</x:f>
      </x:c>
    </x:row>
    <x:row r="240">
      <x:c r="A240" s="20"/>
      <x:c r="B240" s="20"/>
      <x:c r="C240" s="20"/>
      <x:c r="D240" s="20"/>
      <x:c r="E240" s="20"/>
      <x:c r="F240" s="20"/>
      <x:c r="G240" s="20"/>
      <x:c r="H240" s="22" t="str">
        <x:f>IF(COUNTA(A240:G240)=0,"",IF(AND(ISNUMBER(D240),D240&lt;0),"REVISAR",IF(AND(A240&lt;&gt;"",COUNTIF($A$5:$A$304,A240)&gt;1),"REVISAR",IF(AND(E240="No",G240&lt;&gt;""),"EXCLUIDO",IF(AND(A240&lt;&gt;"",B240&lt;&gt;"",C240&lt;&gt;"",ISNUMBER(D240),D240&gt;=0,E240="Sí",F240&lt;&gt;"",G240&lt;&gt;""),"VÁLIDO","INCOMPLETO")))))</x:f>
      </x:c>
    </x:row>
    <x:row r="241">
      <x:c r="A241" s="20"/>
      <x:c r="B241" s="20"/>
      <x:c r="C241" s="20"/>
      <x:c r="D241" s="20"/>
      <x:c r="E241" s="20"/>
      <x:c r="F241" s="20"/>
      <x:c r="G241" s="20"/>
      <x:c r="H241" s="22" t="str">
        <x:f>IF(COUNTA(A241:G241)=0,"",IF(AND(ISNUMBER(D241),D241&lt;0),"REVISAR",IF(AND(A241&lt;&gt;"",COUNTIF($A$5:$A$304,A241)&gt;1),"REVISAR",IF(AND(E241="No",G241&lt;&gt;""),"EXCLUIDO",IF(AND(A241&lt;&gt;"",B241&lt;&gt;"",C241&lt;&gt;"",ISNUMBER(D241),D241&gt;=0,E241="Sí",F241&lt;&gt;"",G241&lt;&gt;""),"VÁLIDO","INCOMPLETO")))))</x:f>
      </x:c>
    </x:row>
    <x:row r="242">
      <x:c r="A242" s="20"/>
      <x:c r="B242" s="20"/>
      <x:c r="C242" s="20"/>
      <x:c r="D242" s="20"/>
      <x:c r="E242" s="20"/>
      <x:c r="F242" s="20"/>
      <x:c r="G242" s="20"/>
      <x:c r="H242" s="22" t="str">
        <x:f>IF(COUNTA(A242:G242)=0,"",IF(AND(ISNUMBER(D242),D242&lt;0),"REVISAR",IF(AND(A242&lt;&gt;"",COUNTIF($A$5:$A$304,A242)&gt;1),"REVISAR",IF(AND(E242="No",G242&lt;&gt;""),"EXCLUIDO",IF(AND(A242&lt;&gt;"",B242&lt;&gt;"",C242&lt;&gt;"",ISNUMBER(D242),D242&gt;=0,E242="Sí",F242&lt;&gt;"",G242&lt;&gt;""),"VÁLIDO","INCOMPLETO")))))</x:f>
      </x:c>
    </x:row>
    <x:row r="243">
      <x:c r="A243" s="20"/>
      <x:c r="B243" s="20"/>
      <x:c r="C243" s="20"/>
      <x:c r="D243" s="20"/>
      <x:c r="E243" s="20"/>
      <x:c r="F243" s="20"/>
      <x:c r="G243" s="20"/>
      <x:c r="H243" s="22" t="str">
        <x:f>IF(COUNTA(A243:G243)=0,"",IF(AND(ISNUMBER(D243),D243&lt;0),"REVISAR",IF(AND(A243&lt;&gt;"",COUNTIF($A$5:$A$304,A243)&gt;1),"REVISAR",IF(AND(E243="No",G243&lt;&gt;""),"EXCLUIDO",IF(AND(A243&lt;&gt;"",B243&lt;&gt;"",C243&lt;&gt;"",ISNUMBER(D243),D243&gt;=0,E243="Sí",F243&lt;&gt;"",G243&lt;&gt;""),"VÁLIDO","INCOMPLETO")))))</x:f>
      </x:c>
    </x:row>
    <x:row r="244">
      <x:c r="A244" s="20"/>
      <x:c r="B244" s="20"/>
      <x:c r="C244" s="20"/>
      <x:c r="D244" s="20"/>
      <x:c r="E244" s="20"/>
      <x:c r="F244" s="20"/>
      <x:c r="G244" s="20"/>
      <x:c r="H244" s="22" t="str">
        <x:f>IF(COUNTA(A244:G244)=0,"",IF(AND(ISNUMBER(D244),D244&lt;0),"REVISAR",IF(AND(A244&lt;&gt;"",COUNTIF($A$5:$A$304,A244)&gt;1),"REVISAR",IF(AND(E244="No",G244&lt;&gt;""),"EXCLUIDO",IF(AND(A244&lt;&gt;"",B244&lt;&gt;"",C244&lt;&gt;"",ISNUMBER(D244),D244&gt;=0,E244="Sí",F244&lt;&gt;"",G244&lt;&gt;""),"VÁLIDO","INCOMPLETO")))))</x:f>
      </x:c>
    </x:row>
    <x:row r="245">
      <x:c r="A245" s="20"/>
      <x:c r="B245" s="20"/>
      <x:c r="C245" s="20"/>
      <x:c r="D245" s="20"/>
      <x:c r="E245" s="20"/>
      <x:c r="F245" s="20"/>
      <x:c r="G245" s="20"/>
      <x:c r="H245" s="22" t="str">
        <x:f>IF(COUNTA(A245:G245)=0,"",IF(AND(ISNUMBER(D245),D245&lt;0),"REVISAR",IF(AND(A245&lt;&gt;"",COUNTIF($A$5:$A$304,A245)&gt;1),"REVISAR",IF(AND(E245="No",G245&lt;&gt;""),"EXCLUIDO",IF(AND(A245&lt;&gt;"",B245&lt;&gt;"",C245&lt;&gt;"",ISNUMBER(D245),D245&gt;=0,E245="Sí",F245&lt;&gt;"",G245&lt;&gt;""),"VÁLIDO","INCOMPLETO")))))</x:f>
      </x:c>
    </x:row>
    <x:row r="246">
      <x:c r="A246" s="20"/>
      <x:c r="B246" s="20"/>
      <x:c r="C246" s="20"/>
      <x:c r="D246" s="20"/>
      <x:c r="E246" s="20"/>
      <x:c r="F246" s="20"/>
      <x:c r="G246" s="20"/>
      <x:c r="H246" s="22" t="str">
        <x:f>IF(COUNTA(A246:G246)=0,"",IF(AND(ISNUMBER(D246),D246&lt;0),"REVISAR",IF(AND(A246&lt;&gt;"",COUNTIF($A$5:$A$304,A246)&gt;1),"REVISAR",IF(AND(E246="No",G246&lt;&gt;""),"EXCLUIDO",IF(AND(A246&lt;&gt;"",B246&lt;&gt;"",C246&lt;&gt;"",ISNUMBER(D246),D246&gt;=0,E246="Sí",F246&lt;&gt;"",G246&lt;&gt;""),"VÁLIDO","INCOMPLETO")))))</x:f>
      </x:c>
    </x:row>
    <x:row r="247">
      <x:c r="A247" s="20"/>
      <x:c r="B247" s="20"/>
      <x:c r="C247" s="20"/>
      <x:c r="D247" s="20"/>
      <x:c r="E247" s="20"/>
      <x:c r="F247" s="20"/>
      <x:c r="G247" s="20"/>
      <x:c r="H247" s="22" t="str">
        <x:f>IF(COUNTA(A247:G247)=0,"",IF(AND(ISNUMBER(D247),D247&lt;0),"REVISAR",IF(AND(A247&lt;&gt;"",COUNTIF($A$5:$A$304,A247)&gt;1),"REVISAR",IF(AND(E247="No",G247&lt;&gt;""),"EXCLUIDO",IF(AND(A247&lt;&gt;"",B247&lt;&gt;"",C247&lt;&gt;"",ISNUMBER(D247),D247&gt;=0,E247="Sí",F247&lt;&gt;"",G247&lt;&gt;""),"VÁLIDO","INCOMPLETO")))))</x:f>
      </x:c>
    </x:row>
    <x:row r="248">
      <x:c r="A248" s="20"/>
      <x:c r="B248" s="20"/>
      <x:c r="C248" s="20"/>
      <x:c r="D248" s="20"/>
      <x:c r="E248" s="20"/>
      <x:c r="F248" s="20"/>
      <x:c r="G248" s="20"/>
      <x:c r="H248" s="22" t="str">
        <x:f>IF(COUNTA(A248:G248)=0,"",IF(AND(ISNUMBER(D248),D248&lt;0),"REVISAR",IF(AND(A248&lt;&gt;"",COUNTIF($A$5:$A$304,A248)&gt;1),"REVISAR",IF(AND(E248="No",G248&lt;&gt;""),"EXCLUIDO",IF(AND(A248&lt;&gt;"",B248&lt;&gt;"",C248&lt;&gt;"",ISNUMBER(D248),D248&gt;=0,E248="Sí",F248&lt;&gt;"",G248&lt;&gt;""),"VÁLIDO","INCOMPLETO")))))</x:f>
      </x:c>
    </x:row>
    <x:row r="249">
      <x:c r="A249" s="20"/>
      <x:c r="B249" s="20"/>
      <x:c r="C249" s="20"/>
      <x:c r="D249" s="20"/>
      <x:c r="E249" s="20"/>
      <x:c r="F249" s="20"/>
      <x:c r="G249" s="20"/>
      <x:c r="H249" s="22" t="str">
        <x:f>IF(COUNTA(A249:G249)=0,"",IF(AND(ISNUMBER(D249),D249&lt;0),"REVISAR",IF(AND(A249&lt;&gt;"",COUNTIF($A$5:$A$304,A249)&gt;1),"REVISAR",IF(AND(E249="No",G249&lt;&gt;""),"EXCLUIDO",IF(AND(A249&lt;&gt;"",B249&lt;&gt;"",C249&lt;&gt;"",ISNUMBER(D249),D249&gt;=0,E249="Sí",F249&lt;&gt;"",G249&lt;&gt;""),"VÁLIDO","INCOMPLETO")))))</x:f>
      </x:c>
    </x:row>
    <x:row r="250">
      <x:c r="A250" s="20"/>
      <x:c r="B250" s="20"/>
      <x:c r="C250" s="20"/>
      <x:c r="D250" s="20"/>
      <x:c r="E250" s="20"/>
      <x:c r="F250" s="20"/>
      <x:c r="G250" s="20"/>
      <x:c r="H250" s="22" t="str">
        <x:f>IF(COUNTA(A250:G250)=0,"",IF(AND(ISNUMBER(D250),D250&lt;0),"REVISAR",IF(AND(A250&lt;&gt;"",COUNTIF($A$5:$A$304,A250)&gt;1),"REVISAR",IF(AND(E250="No",G250&lt;&gt;""),"EXCLUIDO",IF(AND(A250&lt;&gt;"",B250&lt;&gt;"",C250&lt;&gt;"",ISNUMBER(D250),D250&gt;=0,E250="Sí",F250&lt;&gt;"",G250&lt;&gt;""),"VÁLIDO","INCOMPLETO")))))</x:f>
      </x:c>
    </x:row>
    <x:row r="251">
      <x:c r="A251" s="20"/>
      <x:c r="B251" s="20"/>
      <x:c r="C251" s="20"/>
      <x:c r="D251" s="20"/>
      <x:c r="E251" s="20"/>
      <x:c r="F251" s="20"/>
      <x:c r="G251" s="20"/>
      <x:c r="H251" s="22" t="str">
        <x:f>IF(COUNTA(A251:G251)=0,"",IF(AND(ISNUMBER(D251),D251&lt;0),"REVISAR",IF(AND(A251&lt;&gt;"",COUNTIF($A$5:$A$304,A251)&gt;1),"REVISAR",IF(AND(E251="No",G251&lt;&gt;""),"EXCLUIDO",IF(AND(A251&lt;&gt;"",B251&lt;&gt;"",C251&lt;&gt;"",ISNUMBER(D251),D251&gt;=0,E251="Sí",F251&lt;&gt;"",G251&lt;&gt;""),"VÁLIDO","INCOMPLETO")))))</x:f>
      </x:c>
    </x:row>
    <x:row r="252">
      <x:c r="A252" s="20"/>
      <x:c r="B252" s="20"/>
      <x:c r="C252" s="20"/>
      <x:c r="D252" s="20"/>
      <x:c r="E252" s="20"/>
      <x:c r="F252" s="20"/>
      <x:c r="G252" s="20"/>
      <x:c r="H252" s="22" t="str">
        <x:f>IF(COUNTA(A252:G252)=0,"",IF(AND(ISNUMBER(D252),D252&lt;0),"REVISAR",IF(AND(A252&lt;&gt;"",COUNTIF($A$5:$A$304,A252)&gt;1),"REVISAR",IF(AND(E252="No",G252&lt;&gt;""),"EXCLUIDO",IF(AND(A252&lt;&gt;"",B252&lt;&gt;"",C252&lt;&gt;"",ISNUMBER(D252),D252&gt;=0,E252="Sí",F252&lt;&gt;"",G252&lt;&gt;""),"VÁLIDO","INCOMPLETO")))))</x:f>
      </x:c>
    </x:row>
    <x:row r="253">
      <x:c r="A253" s="20"/>
      <x:c r="B253" s="20"/>
      <x:c r="C253" s="20"/>
      <x:c r="D253" s="20"/>
      <x:c r="E253" s="20"/>
      <x:c r="F253" s="20"/>
      <x:c r="G253" s="20"/>
      <x:c r="H253" s="22" t="str">
        <x:f>IF(COUNTA(A253:G253)=0,"",IF(AND(ISNUMBER(D253),D253&lt;0),"REVISAR",IF(AND(A253&lt;&gt;"",COUNTIF($A$5:$A$304,A253)&gt;1),"REVISAR",IF(AND(E253="No",G253&lt;&gt;""),"EXCLUIDO",IF(AND(A253&lt;&gt;"",B253&lt;&gt;"",C253&lt;&gt;"",ISNUMBER(D253),D253&gt;=0,E253="Sí",F253&lt;&gt;"",G253&lt;&gt;""),"VÁLIDO","INCOMPLETO")))))</x:f>
      </x:c>
    </x:row>
    <x:row r="254">
      <x:c r="A254" s="20"/>
      <x:c r="B254" s="20"/>
      <x:c r="C254" s="20"/>
      <x:c r="D254" s="20"/>
      <x:c r="E254" s="20"/>
      <x:c r="F254" s="20"/>
      <x:c r="G254" s="20"/>
      <x:c r="H254" s="22" t="str">
        <x:f>IF(COUNTA(A254:G254)=0,"",IF(AND(ISNUMBER(D254),D254&lt;0),"REVISAR",IF(AND(A254&lt;&gt;"",COUNTIF($A$5:$A$304,A254)&gt;1),"REVISAR",IF(AND(E254="No",G254&lt;&gt;""),"EXCLUIDO",IF(AND(A254&lt;&gt;"",B254&lt;&gt;"",C254&lt;&gt;"",ISNUMBER(D254),D254&gt;=0,E254="Sí",F254&lt;&gt;"",G254&lt;&gt;""),"VÁLIDO","INCOMPLETO")))))</x:f>
      </x:c>
    </x:row>
    <x:row r="255">
      <x:c r="A255" s="20"/>
      <x:c r="B255" s="20"/>
      <x:c r="C255" s="20"/>
      <x:c r="D255" s="20"/>
      <x:c r="E255" s="20"/>
      <x:c r="F255" s="20"/>
      <x:c r="G255" s="20"/>
      <x:c r="H255" s="22" t="str">
        <x:f>IF(COUNTA(A255:G255)=0,"",IF(AND(ISNUMBER(D255),D255&lt;0),"REVISAR",IF(AND(A255&lt;&gt;"",COUNTIF($A$5:$A$304,A255)&gt;1),"REVISAR",IF(AND(E255="No",G255&lt;&gt;""),"EXCLUIDO",IF(AND(A255&lt;&gt;"",B255&lt;&gt;"",C255&lt;&gt;"",ISNUMBER(D255),D255&gt;=0,E255="Sí",F255&lt;&gt;"",G255&lt;&gt;""),"VÁLIDO","INCOMPLETO")))))</x:f>
      </x:c>
    </x:row>
    <x:row r="256">
      <x:c r="A256" s="20"/>
      <x:c r="B256" s="20"/>
      <x:c r="C256" s="20"/>
      <x:c r="D256" s="20"/>
      <x:c r="E256" s="20"/>
      <x:c r="F256" s="20"/>
      <x:c r="G256" s="20"/>
      <x:c r="H256" s="22" t="str">
        <x:f>IF(COUNTA(A256:G256)=0,"",IF(AND(ISNUMBER(D256),D256&lt;0),"REVISAR",IF(AND(A256&lt;&gt;"",COUNTIF($A$5:$A$304,A256)&gt;1),"REVISAR",IF(AND(E256="No",G256&lt;&gt;""),"EXCLUIDO",IF(AND(A256&lt;&gt;"",B256&lt;&gt;"",C256&lt;&gt;"",ISNUMBER(D256),D256&gt;=0,E256="Sí",F256&lt;&gt;"",G256&lt;&gt;""),"VÁLIDO","INCOMPLETO")))))</x:f>
      </x:c>
    </x:row>
    <x:row r="257">
      <x:c r="A257" s="20"/>
      <x:c r="B257" s="20"/>
      <x:c r="C257" s="20"/>
      <x:c r="D257" s="20"/>
      <x:c r="E257" s="20"/>
      <x:c r="F257" s="20"/>
      <x:c r="G257" s="20"/>
      <x:c r="H257" s="22" t="str">
        <x:f>IF(COUNTA(A257:G257)=0,"",IF(AND(ISNUMBER(D257),D257&lt;0),"REVISAR",IF(AND(A257&lt;&gt;"",COUNTIF($A$5:$A$304,A257)&gt;1),"REVISAR",IF(AND(E257="No",G257&lt;&gt;""),"EXCLUIDO",IF(AND(A257&lt;&gt;"",B257&lt;&gt;"",C257&lt;&gt;"",ISNUMBER(D257),D257&gt;=0,E257="Sí",F257&lt;&gt;"",G257&lt;&gt;""),"VÁLIDO","INCOMPLETO")))))</x:f>
      </x:c>
    </x:row>
    <x:row r="258">
      <x:c r="A258" s="20"/>
      <x:c r="B258" s="20"/>
      <x:c r="C258" s="20"/>
      <x:c r="D258" s="20"/>
      <x:c r="E258" s="20"/>
      <x:c r="F258" s="20"/>
      <x:c r="G258" s="20"/>
      <x:c r="H258" s="22" t="str">
        <x:f>IF(COUNTA(A258:G258)=0,"",IF(AND(ISNUMBER(D258),D258&lt;0),"REVISAR",IF(AND(A258&lt;&gt;"",COUNTIF($A$5:$A$304,A258)&gt;1),"REVISAR",IF(AND(E258="No",G258&lt;&gt;""),"EXCLUIDO",IF(AND(A258&lt;&gt;"",B258&lt;&gt;"",C258&lt;&gt;"",ISNUMBER(D258),D258&gt;=0,E258="Sí",F258&lt;&gt;"",G258&lt;&gt;""),"VÁLIDO","INCOMPLETO")))))</x:f>
      </x:c>
    </x:row>
    <x:row r="259">
      <x:c r="A259" s="20"/>
      <x:c r="B259" s="20"/>
      <x:c r="C259" s="20"/>
      <x:c r="D259" s="20"/>
      <x:c r="E259" s="20"/>
      <x:c r="F259" s="20"/>
      <x:c r="G259" s="20"/>
      <x:c r="H259" s="22" t="str">
        <x:f>IF(COUNTA(A259:G259)=0,"",IF(AND(ISNUMBER(D259),D259&lt;0),"REVISAR",IF(AND(A259&lt;&gt;"",COUNTIF($A$5:$A$304,A259)&gt;1),"REVISAR",IF(AND(E259="No",G259&lt;&gt;""),"EXCLUIDO",IF(AND(A259&lt;&gt;"",B259&lt;&gt;"",C259&lt;&gt;"",ISNUMBER(D259),D259&gt;=0,E259="Sí",F259&lt;&gt;"",G259&lt;&gt;""),"VÁLIDO","INCOMPLETO")))))</x:f>
      </x:c>
    </x:row>
    <x:row r="260">
      <x:c r="A260" s="20"/>
      <x:c r="B260" s="20"/>
      <x:c r="C260" s="20"/>
      <x:c r="D260" s="20"/>
      <x:c r="E260" s="20"/>
      <x:c r="F260" s="20"/>
      <x:c r="G260" s="20"/>
      <x:c r="H260" s="22" t="str">
        <x:f>IF(COUNTA(A260:G260)=0,"",IF(AND(ISNUMBER(D260),D260&lt;0),"REVISAR",IF(AND(A260&lt;&gt;"",COUNTIF($A$5:$A$304,A260)&gt;1),"REVISAR",IF(AND(E260="No",G260&lt;&gt;""),"EXCLUIDO",IF(AND(A260&lt;&gt;"",B260&lt;&gt;"",C260&lt;&gt;"",ISNUMBER(D260),D260&gt;=0,E260="Sí",F260&lt;&gt;"",G260&lt;&gt;""),"VÁLIDO","INCOMPLETO")))))</x:f>
      </x:c>
    </x:row>
    <x:row r="261">
      <x:c r="A261" s="20"/>
      <x:c r="B261" s="20"/>
      <x:c r="C261" s="20"/>
      <x:c r="D261" s="20"/>
      <x:c r="E261" s="20"/>
      <x:c r="F261" s="20"/>
      <x:c r="G261" s="20"/>
      <x:c r="H261" s="22" t="str">
        <x:f>IF(COUNTA(A261:G261)=0,"",IF(AND(ISNUMBER(D261),D261&lt;0),"REVISAR",IF(AND(A261&lt;&gt;"",COUNTIF($A$5:$A$304,A261)&gt;1),"REVISAR",IF(AND(E261="No",G261&lt;&gt;""),"EXCLUIDO",IF(AND(A261&lt;&gt;"",B261&lt;&gt;"",C261&lt;&gt;"",ISNUMBER(D261),D261&gt;=0,E261="Sí",F261&lt;&gt;"",G261&lt;&gt;""),"VÁLIDO","INCOMPLETO")))))</x:f>
      </x:c>
    </x:row>
    <x:row r="262">
      <x:c r="A262" s="20"/>
      <x:c r="B262" s="20"/>
      <x:c r="C262" s="20"/>
      <x:c r="D262" s="20"/>
      <x:c r="E262" s="20"/>
      <x:c r="F262" s="20"/>
      <x:c r="G262" s="20"/>
      <x:c r="H262" s="22" t="str">
        <x:f>IF(COUNTA(A262:G262)=0,"",IF(AND(ISNUMBER(D262),D262&lt;0),"REVISAR",IF(AND(A262&lt;&gt;"",COUNTIF($A$5:$A$304,A262)&gt;1),"REVISAR",IF(AND(E262="No",G262&lt;&gt;""),"EXCLUIDO",IF(AND(A262&lt;&gt;"",B262&lt;&gt;"",C262&lt;&gt;"",ISNUMBER(D262),D262&gt;=0,E262="Sí",F262&lt;&gt;"",G262&lt;&gt;""),"VÁLIDO","INCOMPLETO")))))</x:f>
      </x:c>
    </x:row>
    <x:row r="263">
      <x:c r="A263" s="20"/>
      <x:c r="B263" s="20"/>
      <x:c r="C263" s="20"/>
      <x:c r="D263" s="20"/>
      <x:c r="E263" s="20"/>
      <x:c r="F263" s="20"/>
      <x:c r="G263" s="20"/>
      <x:c r="H263" s="22" t="str">
        <x:f>IF(COUNTA(A263:G263)=0,"",IF(AND(ISNUMBER(D263),D263&lt;0),"REVISAR",IF(AND(A263&lt;&gt;"",COUNTIF($A$5:$A$304,A263)&gt;1),"REVISAR",IF(AND(E263="No",G263&lt;&gt;""),"EXCLUIDO",IF(AND(A263&lt;&gt;"",B263&lt;&gt;"",C263&lt;&gt;"",ISNUMBER(D263),D263&gt;=0,E263="Sí",F263&lt;&gt;"",G263&lt;&gt;""),"VÁLIDO","INCOMPLETO")))))</x:f>
      </x:c>
    </x:row>
    <x:row r="264">
      <x:c r="A264" s="20"/>
      <x:c r="B264" s="20"/>
      <x:c r="C264" s="20"/>
      <x:c r="D264" s="20"/>
      <x:c r="E264" s="20"/>
      <x:c r="F264" s="20"/>
      <x:c r="G264" s="20"/>
      <x:c r="H264" s="22" t="str">
        <x:f>IF(COUNTA(A264:G264)=0,"",IF(AND(ISNUMBER(D264),D264&lt;0),"REVISAR",IF(AND(A264&lt;&gt;"",COUNTIF($A$5:$A$304,A264)&gt;1),"REVISAR",IF(AND(E264="No",G264&lt;&gt;""),"EXCLUIDO",IF(AND(A264&lt;&gt;"",B264&lt;&gt;"",C264&lt;&gt;"",ISNUMBER(D264),D264&gt;=0,E264="Sí",F264&lt;&gt;"",G264&lt;&gt;""),"VÁLIDO","INCOMPLETO")))))</x:f>
      </x:c>
    </x:row>
    <x:row r="265">
      <x:c r="A265" s="20"/>
      <x:c r="B265" s="20"/>
      <x:c r="C265" s="20"/>
      <x:c r="D265" s="20"/>
      <x:c r="E265" s="20"/>
      <x:c r="F265" s="20"/>
      <x:c r="G265" s="20"/>
      <x:c r="H265" s="22" t="str">
        <x:f>IF(COUNTA(A265:G265)=0,"",IF(AND(ISNUMBER(D265),D265&lt;0),"REVISAR",IF(AND(A265&lt;&gt;"",COUNTIF($A$5:$A$304,A265)&gt;1),"REVISAR",IF(AND(E265="No",G265&lt;&gt;""),"EXCLUIDO",IF(AND(A265&lt;&gt;"",B265&lt;&gt;"",C265&lt;&gt;"",ISNUMBER(D265),D265&gt;=0,E265="Sí",F265&lt;&gt;"",G265&lt;&gt;""),"VÁLIDO","INCOMPLETO")))))</x:f>
      </x:c>
    </x:row>
    <x:row r="266">
      <x:c r="A266" s="20"/>
      <x:c r="B266" s="20"/>
      <x:c r="C266" s="20"/>
      <x:c r="D266" s="20"/>
      <x:c r="E266" s="20"/>
      <x:c r="F266" s="20"/>
      <x:c r="G266" s="20"/>
      <x:c r="H266" s="22" t="str">
        <x:f>IF(COUNTA(A266:G266)=0,"",IF(AND(ISNUMBER(D266),D266&lt;0),"REVISAR",IF(AND(A266&lt;&gt;"",COUNTIF($A$5:$A$304,A266)&gt;1),"REVISAR",IF(AND(E266="No",G266&lt;&gt;""),"EXCLUIDO",IF(AND(A266&lt;&gt;"",B266&lt;&gt;"",C266&lt;&gt;"",ISNUMBER(D266),D266&gt;=0,E266="Sí",F266&lt;&gt;"",G266&lt;&gt;""),"VÁLIDO","INCOMPLETO")))))</x:f>
      </x:c>
    </x:row>
    <x:row r="267">
      <x:c r="A267" s="20"/>
      <x:c r="B267" s="20"/>
      <x:c r="C267" s="20"/>
      <x:c r="D267" s="20"/>
      <x:c r="E267" s="20"/>
      <x:c r="F267" s="20"/>
      <x:c r="G267" s="20"/>
      <x:c r="H267" s="22" t="str">
        <x:f>IF(COUNTA(A267:G267)=0,"",IF(AND(ISNUMBER(D267),D267&lt;0),"REVISAR",IF(AND(A267&lt;&gt;"",COUNTIF($A$5:$A$304,A267)&gt;1),"REVISAR",IF(AND(E267="No",G267&lt;&gt;""),"EXCLUIDO",IF(AND(A267&lt;&gt;"",B267&lt;&gt;"",C267&lt;&gt;"",ISNUMBER(D267),D267&gt;=0,E267="Sí",F267&lt;&gt;"",G267&lt;&gt;""),"VÁLIDO","INCOMPLETO")))))</x:f>
      </x:c>
    </x:row>
    <x:row r="268">
      <x:c r="A268" s="20"/>
      <x:c r="B268" s="20"/>
      <x:c r="C268" s="20"/>
      <x:c r="D268" s="20"/>
      <x:c r="E268" s="20"/>
      <x:c r="F268" s="20"/>
      <x:c r="G268" s="20"/>
      <x:c r="H268" s="22" t="str">
        <x:f>IF(COUNTA(A268:G268)=0,"",IF(AND(ISNUMBER(D268),D268&lt;0),"REVISAR",IF(AND(A268&lt;&gt;"",COUNTIF($A$5:$A$304,A268)&gt;1),"REVISAR",IF(AND(E268="No",G268&lt;&gt;""),"EXCLUIDO",IF(AND(A268&lt;&gt;"",B268&lt;&gt;"",C268&lt;&gt;"",ISNUMBER(D268),D268&gt;=0,E268="Sí",F268&lt;&gt;"",G268&lt;&gt;""),"VÁLIDO","INCOMPLETO")))))</x:f>
      </x:c>
    </x:row>
    <x:row r="269">
      <x:c r="A269" s="20"/>
      <x:c r="B269" s="20"/>
      <x:c r="C269" s="20"/>
      <x:c r="D269" s="20"/>
      <x:c r="E269" s="20"/>
      <x:c r="F269" s="20"/>
      <x:c r="G269" s="20"/>
      <x:c r="H269" s="22" t="str">
        <x:f>IF(COUNTA(A269:G269)=0,"",IF(AND(ISNUMBER(D269),D269&lt;0),"REVISAR",IF(AND(A269&lt;&gt;"",COUNTIF($A$5:$A$304,A269)&gt;1),"REVISAR",IF(AND(E269="No",G269&lt;&gt;""),"EXCLUIDO",IF(AND(A269&lt;&gt;"",B269&lt;&gt;"",C269&lt;&gt;"",ISNUMBER(D269),D269&gt;=0,E269="Sí",F269&lt;&gt;"",G269&lt;&gt;""),"VÁLIDO","INCOMPLETO")))))</x:f>
      </x:c>
    </x:row>
    <x:row r="270">
      <x:c r="A270" s="20"/>
      <x:c r="B270" s="20"/>
      <x:c r="C270" s="20"/>
      <x:c r="D270" s="20"/>
      <x:c r="E270" s="20"/>
      <x:c r="F270" s="20"/>
      <x:c r="G270" s="20"/>
      <x:c r="H270" s="22" t="str">
        <x:f>IF(COUNTA(A270:G270)=0,"",IF(AND(ISNUMBER(D270),D270&lt;0),"REVISAR",IF(AND(A270&lt;&gt;"",COUNTIF($A$5:$A$304,A270)&gt;1),"REVISAR",IF(AND(E270="No",G270&lt;&gt;""),"EXCLUIDO",IF(AND(A270&lt;&gt;"",B270&lt;&gt;"",C270&lt;&gt;"",ISNUMBER(D270),D270&gt;=0,E270="Sí",F270&lt;&gt;"",G270&lt;&gt;""),"VÁLIDO","INCOMPLETO")))))</x:f>
      </x:c>
    </x:row>
    <x:row r="271">
      <x:c r="A271" s="20"/>
      <x:c r="B271" s="20"/>
      <x:c r="C271" s="20"/>
      <x:c r="D271" s="20"/>
      <x:c r="E271" s="20"/>
      <x:c r="F271" s="20"/>
      <x:c r="G271" s="20"/>
      <x:c r="H271" s="22" t="str">
        <x:f>IF(COUNTA(A271:G271)=0,"",IF(AND(ISNUMBER(D271),D271&lt;0),"REVISAR",IF(AND(A271&lt;&gt;"",COUNTIF($A$5:$A$304,A271)&gt;1),"REVISAR",IF(AND(E271="No",G271&lt;&gt;""),"EXCLUIDO",IF(AND(A271&lt;&gt;"",B271&lt;&gt;"",C271&lt;&gt;"",ISNUMBER(D271),D271&gt;=0,E271="Sí",F271&lt;&gt;"",G271&lt;&gt;""),"VÁLIDO","INCOMPLETO")))))</x:f>
      </x:c>
    </x:row>
    <x:row r="272">
      <x:c r="A272" s="20"/>
      <x:c r="B272" s="20"/>
      <x:c r="C272" s="20"/>
      <x:c r="D272" s="20"/>
      <x:c r="E272" s="20"/>
      <x:c r="F272" s="20"/>
      <x:c r="G272" s="20"/>
      <x:c r="H272" s="22" t="str">
        <x:f>IF(COUNTA(A272:G272)=0,"",IF(AND(ISNUMBER(D272),D272&lt;0),"REVISAR",IF(AND(A272&lt;&gt;"",COUNTIF($A$5:$A$304,A272)&gt;1),"REVISAR",IF(AND(E272="No",G272&lt;&gt;""),"EXCLUIDO",IF(AND(A272&lt;&gt;"",B272&lt;&gt;"",C272&lt;&gt;"",ISNUMBER(D272),D272&gt;=0,E272="Sí",F272&lt;&gt;"",G272&lt;&gt;""),"VÁLIDO","INCOMPLETO")))))</x:f>
      </x:c>
    </x:row>
    <x:row r="273">
      <x:c r="A273" s="20"/>
      <x:c r="B273" s="20"/>
      <x:c r="C273" s="20"/>
      <x:c r="D273" s="20"/>
      <x:c r="E273" s="20"/>
      <x:c r="F273" s="20"/>
      <x:c r="G273" s="20"/>
      <x:c r="H273" s="22" t="str">
        <x:f>IF(COUNTA(A273:G273)=0,"",IF(AND(ISNUMBER(D273),D273&lt;0),"REVISAR",IF(AND(A273&lt;&gt;"",COUNTIF($A$5:$A$304,A273)&gt;1),"REVISAR",IF(AND(E273="No",G273&lt;&gt;""),"EXCLUIDO",IF(AND(A273&lt;&gt;"",B273&lt;&gt;"",C273&lt;&gt;"",ISNUMBER(D273),D273&gt;=0,E273="Sí",F273&lt;&gt;"",G273&lt;&gt;""),"VÁLIDO","INCOMPLETO")))))</x:f>
      </x:c>
    </x:row>
    <x:row r="274">
      <x:c r="A274" s="20"/>
      <x:c r="B274" s="20"/>
      <x:c r="C274" s="20"/>
      <x:c r="D274" s="20"/>
      <x:c r="E274" s="20"/>
      <x:c r="F274" s="20"/>
      <x:c r="G274" s="20"/>
      <x:c r="H274" s="22" t="str">
        <x:f>IF(COUNTA(A274:G274)=0,"",IF(AND(ISNUMBER(D274),D274&lt;0),"REVISAR",IF(AND(A274&lt;&gt;"",COUNTIF($A$5:$A$304,A274)&gt;1),"REVISAR",IF(AND(E274="No",G274&lt;&gt;""),"EXCLUIDO",IF(AND(A274&lt;&gt;"",B274&lt;&gt;"",C274&lt;&gt;"",ISNUMBER(D274),D274&gt;=0,E274="Sí",F274&lt;&gt;"",G274&lt;&gt;""),"VÁLIDO","INCOMPLETO")))))</x:f>
      </x:c>
    </x:row>
    <x:row r="275">
      <x:c r="A275" s="20"/>
      <x:c r="B275" s="20"/>
      <x:c r="C275" s="20"/>
      <x:c r="D275" s="20"/>
      <x:c r="E275" s="20"/>
      <x:c r="F275" s="20"/>
      <x:c r="G275" s="20"/>
      <x:c r="H275" s="22" t="str">
        <x:f>IF(COUNTA(A275:G275)=0,"",IF(AND(ISNUMBER(D275),D275&lt;0),"REVISAR",IF(AND(A275&lt;&gt;"",COUNTIF($A$5:$A$304,A275)&gt;1),"REVISAR",IF(AND(E275="No",G275&lt;&gt;""),"EXCLUIDO",IF(AND(A275&lt;&gt;"",B275&lt;&gt;"",C275&lt;&gt;"",ISNUMBER(D275),D275&gt;=0,E275="Sí",F275&lt;&gt;"",G275&lt;&gt;""),"VÁLIDO","INCOMPLETO")))))</x:f>
      </x:c>
    </x:row>
    <x:row r="276">
      <x:c r="A276" s="20"/>
      <x:c r="B276" s="20"/>
      <x:c r="C276" s="20"/>
      <x:c r="D276" s="20"/>
      <x:c r="E276" s="20"/>
      <x:c r="F276" s="20"/>
      <x:c r="G276" s="20"/>
      <x:c r="H276" s="22" t="str">
        <x:f>IF(COUNTA(A276:G276)=0,"",IF(AND(ISNUMBER(D276),D276&lt;0),"REVISAR",IF(AND(A276&lt;&gt;"",COUNTIF($A$5:$A$304,A276)&gt;1),"REVISAR",IF(AND(E276="No",G276&lt;&gt;""),"EXCLUIDO",IF(AND(A276&lt;&gt;"",B276&lt;&gt;"",C276&lt;&gt;"",ISNUMBER(D276),D276&gt;=0,E276="Sí",F276&lt;&gt;"",G276&lt;&gt;""),"VÁLIDO","INCOMPLETO")))))</x:f>
      </x:c>
    </x:row>
    <x:row r="277">
      <x:c r="A277" s="20"/>
      <x:c r="B277" s="20"/>
      <x:c r="C277" s="20"/>
      <x:c r="D277" s="20"/>
      <x:c r="E277" s="20"/>
      <x:c r="F277" s="20"/>
      <x:c r="G277" s="20"/>
      <x:c r="H277" s="22" t="str">
        <x:f>IF(COUNTA(A277:G277)=0,"",IF(AND(ISNUMBER(D277),D277&lt;0),"REVISAR",IF(AND(A277&lt;&gt;"",COUNTIF($A$5:$A$304,A277)&gt;1),"REVISAR",IF(AND(E277="No",G277&lt;&gt;""),"EXCLUIDO",IF(AND(A277&lt;&gt;"",B277&lt;&gt;"",C277&lt;&gt;"",ISNUMBER(D277),D277&gt;=0,E277="Sí",F277&lt;&gt;"",G277&lt;&gt;""),"VÁLIDO","INCOMPLETO")))))</x:f>
      </x:c>
    </x:row>
    <x:row r="278">
      <x:c r="A278" s="20"/>
      <x:c r="B278" s="20"/>
      <x:c r="C278" s="20"/>
      <x:c r="D278" s="20"/>
      <x:c r="E278" s="20"/>
      <x:c r="F278" s="20"/>
      <x:c r="G278" s="20"/>
      <x:c r="H278" s="22" t="str">
        <x:f>IF(COUNTA(A278:G278)=0,"",IF(AND(ISNUMBER(D278),D278&lt;0),"REVISAR",IF(AND(A278&lt;&gt;"",COUNTIF($A$5:$A$304,A278)&gt;1),"REVISAR",IF(AND(E278="No",G278&lt;&gt;""),"EXCLUIDO",IF(AND(A278&lt;&gt;"",B278&lt;&gt;"",C278&lt;&gt;"",ISNUMBER(D278),D278&gt;=0,E278="Sí",F278&lt;&gt;"",G278&lt;&gt;""),"VÁLIDO","INCOMPLETO")))))</x:f>
      </x:c>
    </x:row>
    <x:row r="279">
      <x:c r="A279" s="20"/>
      <x:c r="B279" s="20"/>
      <x:c r="C279" s="20"/>
      <x:c r="D279" s="20"/>
      <x:c r="E279" s="20"/>
      <x:c r="F279" s="20"/>
      <x:c r="G279" s="20"/>
      <x:c r="H279" s="22" t="str">
        <x:f>IF(COUNTA(A279:G279)=0,"",IF(AND(ISNUMBER(D279),D279&lt;0),"REVISAR",IF(AND(A279&lt;&gt;"",COUNTIF($A$5:$A$304,A279)&gt;1),"REVISAR",IF(AND(E279="No",G279&lt;&gt;""),"EXCLUIDO",IF(AND(A279&lt;&gt;"",B279&lt;&gt;"",C279&lt;&gt;"",ISNUMBER(D279),D279&gt;=0,E279="Sí",F279&lt;&gt;"",G279&lt;&gt;""),"VÁLIDO","INCOMPLETO")))))</x:f>
      </x:c>
    </x:row>
    <x:row r="280">
      <x:c r="A280" s="20"/>
      <x:c r="B280" s="20"/>
      <x:c r="C280" s="20"/>
      <x:c r="D280" s="20"/>
      <x:c r="E280" s="20"/>
      <x:c r="F280" s="20"/>
      <x:c r="G280" s="20"/>
      <x:c r="H280" s="22" t="str">
        <x:f>IF(COUNTA(A280:G280)=0,"",IF(AND(ISNUMBER(D280),D280&lt;0),"REVISAR",IF(AND(A280&lt;&gt;"",COUNTIF($A$5:$A$304,A280)&gt;1),"REVISAR",IF(AND(E280="No",G280&lt;&gt;""),"EXCLUIDO",IF(AND(A280&lt;&gt;"",B280&lt;&gt;"",C280&lt;&gt;"",ISNUMBER(D280),D280&gt;=0,E280="Sí",F280&lt;&gt;"",G280&lt;&gt;""),"VÁLIDO","INCOMPLETO")))))</x:f>
      </x:c>
    </x:row>
    <x:row r="281">
      <x:c r="A281" s="20"/>
      <x:c r="B281" s="20"/>
      <x:c r="C281" s="20"/>
      <x:c r="D281" s="20"/>
      <x:c r="E281" s="20"/>
      <x:c r="F281" s="20"/>
      <x:c r="G281" s="20"/>
      <x:c r="H281" s="22" t="str">
        <x:f>IF(COUNTA(A281:G281)=0,"",IF(AND(ISNUMBER(D281),D281&lt;0),"REVISAR",IF(AND(A281&lt;&gt;"",COUNTIF($A$5:$A$304,A281)&gt;1),"REVISAR",IF(AND(E281="No",G281&lt;&gt;""),"EXCLUIDO",IF(AND(A281&lt;&gt;"",B281&lt;&gt;"",C281&lt;&gt;"",ISNUMBER(D281),D281&gt;=0,E281="Sí",F281&lt;&gt;"",G281&lt;&gt;""),"VÁLIDO","INCOMPLETO")))))</x:f>
      </x:c>
    </x:row>
    <x:row r="282">
      <x:c r="A282" s="20"/>
      <x:c r="B282" s="20"/>
      <x:c r="C282" s="20"/>
      <x:c r="D282" s="20"/>
      <x:c r="E282" s="20"/>
      <x:c r="F282" s="20"/>
      <x:c r="G282" s="20"/>
      <x:c r="H282" s="22" t="str">
        <x:f>IF(COUNTA(A282:G282)=0,"",IF(AND(ISNUMBER(D282),D282&lt;0),"REVISAR",IF(AND(A282&lt;&gt;"",COUNTIF($A$5:$A$304,A282)&gt;1),"REVISAR",IF(AND(E282="No",G282&lt;&gt;""),"EXCLUIDO",IF(AND(A282&lt;&gt;"",B282&lt;&gt;"",C282&lt;&gt;"",ISNUMBER(D282),D282&gt;=0,E282="Sí",F282&lt;&gt;"",G282&lt;&gt;""),"VÁLIDO","INCOMPLETO")))))</x:f>
      </x:c>
    </x:row>
    <x:row r="283">
      <x:c r="A283" s="20"/>
      <x:c r="B283" s="20"/>
      <x:c r="C283" s="20"/>
      <x:c r="D283" s="20"/>
      <x:c r="E283" s="20"/>
      <x:c r="F283" s="20"/>
      <x:c r="G283" s="20"/>
      <x:c r="H283" s="22" t="str">
        <x:f>IF(COUNTA(A283:G283)=0,"",IF(AND(ISNUMBER(D283),D283&lt;0),"REVISAR",IF(AND(A283&lt;&gt;"",COUNTIF($A$5:$A$304,A283)&gt;1),"REVISAR",IF(AND(E283="No",G283&lt;&gt;""),"EXCLUIDO",IF(AND(A283&lt;&gt;"",B283&lt;&gt;"",C283&lt;&gt;"",ISNUMBER(D283),D283&gt;=0,E283="Sí",F283&lt;&gt;"",G283&lt;&gt;""),"VÁLIDO","INCOMPLETO")))))</x:f>
      </x:c>
    </x:row>
    <x:row r="284">
      <x:c r="A284" s="20"/>
      <x:c r="B284" s="20"/>
      <x:c r="C284" s="20"/>
      <x:c r="D284" s="20"/>
      <x:c r="E284" s="20"/>
      <x:c r="F284" s="20"/>
      <x:c r="G284" s="20"/>
      <x:c r="H284" s="22" t="str">
        <x:f>IF(COUNTA(A284:G284)=0,"",IF(AND(ISNUMBER(D284),D284&lt;0),"REVISAR",IF(AND(A284&lt;&gt;"",COUNTIF($A$5:$A$304,A284)&gt;1),"REVISAR",IF(AND(E284="No",G284&lt;&gt;""),"EXCLUIDO",IF(AND(A284&lt;&gt;"",B284&lt;&gt;"",C284&lt;&gt;"",ISNUMBER(D284),D284&gt;=0,E284="Sí",F284&lt;&gt;"",G284&lt;&gt;""),"VÁLIDO","INCOMPLETO")))))</x:f>
      </x:c>
    </x:row>
    <x:row r="285">
      <x:c r="A285" s="20"/>
      <x:c r="B285" s="20"/>
      <x:c r="C285" s="20"/>
      <x:c r="D285" s="20"/>
      <x:c r="E285" s="20"/>
      <x:c r="F285" s="20"/>
      <x:c r="G285" s="20"/>
      <x:c r="H285" s="22" t="str">
        <x:f>IF(COUNTA(A285:G285)=0,"",IF(AND(ISNUMBER(D285),D285&lt;0),"REVISAR",IF(AND(A285&lt;&gt;"",COUNTIF($A$5:$A$304,A285)&gt;1),"REVISAR",IF(AND(E285="No",G285&lt;&gt;""),"EXCLUIDO",IF(AND(A285&lt;&gt;"",B285&lt;&gt;"",C285&lt;&gt;"",ISNUMBER(D285),D285&gt;=0,E285="Sí",F285&lt;&gt;"",G285&lt;&gt;""),"VÁLIDO","INCOMPLETO")))))</x:f>
      </x:c>
    </x:row>
    <x:row r="286">
      <x:c r="A286" s="20"/>
      <x:c r="B286" s="20"/>
      <x:c r="C286" s="20"/>
      <x:c r="D286" s="20"/>
      <x:c r="E286" s="20"/>
      <x:c r="F286" s="20"/>
      <x:c r="G286" s="20"/>
      <x:c r="H286" s="22" t="str">
        <x:f>IF(COUNTA(A286:G286)=0,"",IF(AND(ISNUMBER(D286),D286&lt;0),"REVISAR",IF(AND(A286&lt;&gt;"",COUNTIF($A$5:$A$304,A286)&gt;1),"REVISAR",IF(AND(E286="No",G286&lt;&gt;""),"EXCLUIDO",IF(AND(A286&lt;&gt;"",B286&lt;&gt;"",C286&lt;&gt;"",ISNUMBER(D286),D286&gt;=0,E286="Sí",F286&lt;&gt;"",G286&lt;&gt;""),"VÁLIDO","INCOMPLETO")))))</x:f>
      </x:c>
    </x:row>
    <x:row r="287">
      <x:c r="A287" s="20"/>
      <x:c r="B287" s="20"/>
      <x:c r="C287" s="20"/>
      <x:c r="D287" s="20"/>
      <x:c r="E287" s="20"/>
      <x:c r="F287" s="20"/>
      <x:c r="G287" s="20"/>
      <x:c r="H287" s="22" t="str">
        <x:f>IF(COUNTA(A287:G287)=0,"",IF(AND(ISNUMBER(D287),D287&lt;0),"REVISAR",IF(AND(A287&lt;&gt;"",COUNTIF($A$5:$A$304,A287)&gt;1),"REVISAR",IF(AND(E287="No",G287&lt;&gt;""),"EXCLUIDO",IF(AND(A287&lt;&gt;"",B287&lt;&gt;"",C287&lt;&gt;"",ISNUMBER(D287),D287&gt;=0,E287="Sí",F287&lt;&gt;"",G287&lt;&gt;""),"VÁLIDO","INCOMPLETO")))))</x:f>
      </x:c>
    </x:row>
    <x:row r="288">
      <x:c r="A288" s="20"/>
      <x:c r="B288" s="20"/>
      <x:c r="C288" s="20"/>
      <x:c r="D288" s="20"/>
      <x:c r="E288" s="20"/>
      <x:c r="F288" s="20"/>
      <x:c r="G288" s="20"/>
      <x:c r="H288" s="22" t="str">
        <x:f>IF(COUNTA(A288:G288)=0,"",IF(AND(ISNUMBER(D288),D288&lt;0),"REVISAR",IF(AND(A288&lt;&gt;"",COUNTIF($A$5:$A$304,A288)&gt;1),"REVISAR",IF(AND(E288="No",G288&lt;&gt;""),"EXCLUIDO",IF(AND(A288&lt;&gt;"",B288&lt;&gt;"",C288&lt;&gt;"",ISNUMBER(D288),D288&gt;=0,E288="Sí",F288&lt;&gt;"",G288&lt;&gt;""),"VÁLIDO","INCOMPLETO")))))</x:f>
      </x:c>
    </x:row>
    <x:row r="289">
      <x:c r="A289" s="20"/>
      <x:c r="B289" s="20"/>
      <x:c r="C289" s="20"/>
      <x:c r="D289" s="20"/>
      <x:c r="E289" s="20"/>
      <x:c r="F289" s="20"/>
      <x:c r="G289" s="20"/>
      <x:c r="H289" s="22" t="str">
        <x:f>IF(COUNTA(A289:G289)=0,"",IF(AND(ISNUMBER(D289),D289&lt;0),"REVISAR",IF(AND(A289&lt;&gt;"",COUNTIF($A$5:$A$304,A289)&gt;1),"REVISAR",IF(AND(E289="No",G289&lt;&gt;""),"EXCLUIDO",IF(AND(A289&lt;&gt;"",B289&lt;&gt;"",C289&lt;&gt;"",ISNUMBER(D289),D289&gt;=0,E289="Sí",F289&lt;&gt;"",G289&lt;&gt;""),"VÁLIDO","INCOMPLETO")))))</x:f>
      </x:c>
    </x:row>
    <x:row r="290">
      <x:c r="A290" s="20"/>
      <x:c r="B290" s="20"/>
      <x:c r="C290" s="20"/>
      <x:c r="D290" s="20"/>
      <x:c r="E290" s="20"/>
      <x:c r="F290" s="20"/>
      <x:c r="G290" s="20"/>
      <x:c r="H290" s="22" t="str">
        <x:f>IF(COUNTA(A290:G290)=0,"",IF(AND(ISNUMBER(D290),D290&lt;0),"REVISAR",IF(AND(A290&lt;&gt;"",COUNTIF($A$5:$A$304,A290)&gt;1),"REVISAR",IF(AND(E290="No",G290&lt;&gt;""),"EXCLUIDO",IF(AND(A290&lt;&gt;"",B290&lt;&gt;"",C290&lt;&gt;"",ISNUMBER(D290),D290&gt;=0,E290="Sí",F290&lt;&gt;"",G290&lt;&gt;""),"VÁLIDO","INCOMPLETO")))))</x:f>
      </x:c>
    </x:row>
    <x:row r="291">
      <x:c r="A291" s="20"/>
      <x:c r="B291" s="20"/>
      <x:c r="C291" s="20"/>
      <x:c r="D291" s="20"/>
      <x:c r="E291" s="20"/>
      <x:c r="F291" s="20"/>
      <x:c r="G291" s="20"/>
      <x:c r="H291" s="22" t="str">
        <x:f>IF(COUNTA(A291:G291)=0,"",IF(AND(ISNUMBER(D291),D291&lt;0),"REVISAR",IF(AND(A291&lt;&gt;"",COUNTIF($A$5:$A$304,A291)&gt;1),"REVISAR",IF(AND(E291="No",G291&lt;&gt;""),"EXCLUIDO",IF(AND(A291&lt;&gt;"",B291&lt;&gt;"",C291&lt;&gt;"",ISNUMBER(D291),D291&gt;=0,E291="Sí",F291&lt;&gt;"",G291&lt;&gt;""),"VÁLIDO","INCOMPLETO")))))</x:f>
      </x:c>
    </x:row>
    <x:row r="292">
      <x:c r="A292" s="20"/>
      <x:c r="B292" s="20"/>
      <x:c r="C292" s="20"/>
      <x:c r="D292" s="20"/>
      <x:c r="E292" s="20"/>
      <x:c r="F292" s="20"/>
      <x:c r="G292" s="20"/>
      <x:c r="H292" s="22" t="str">
        <x:f>IF(COUNTA(A292:G292)=0,"",IF(AND(ISNUMBER(D292),D292&lt;0),"REVISAR",IF(AND(A292&lt;&gt;"",COUNTIF($A$5:$A$304,A292)&gt;1),"REVISAR",IF(AND(E292="No",G292&lt;&gt;""),"EXCLUIDO",IF(AND(A292&lt;&gt;"",B292&lt;&gt;"",C292&lt;&gt;"",ISNUMBER(D292),D292&gt;=0,E292="Sí",F292&lt;&gt;"",G292&lt;&gt;""),"VÁLIDO","INCOMPLETO")))))</x:f>
      </x:c>
    </x:row>
    <x:row r="293">
      <x:c r="A293" s="20"/>
      <x:c r="B293" s="20"/>
      <x:c r="C293" s="20"/>
      <x:c r="D293" s="20"/>
      <x:c r="E293" s="20"/>
      <x:c r="F293" s="20"/>
      <x:c r="G293" s="20"/>
      <x:c r="H293" s="22" t="str">
        <x:f>IF(COUNTA(A293:G293)=0,"",IF(AND(ISNUMBER(D293),D293&lt;0),"REVISAR",IF(AND(A293&lt;&gt;"",COUNTIF($A$5:$A$304,A293)&gt;1),"REVISAR",IF(AND(E293="No",G293&lt;&gt;""),"EXCLUIDO",IF(AND(A293&lt;&gt;"",B293&lt;&gt;"",C293&lt;&gt;"",ISNUMBER(D293),D293&gt;=0,E293="Sí",F293&lt;&gt;"",G293&lt;&gt;""),"VÁLIDO","INCOMPLETO")))))</x:f>
      </x:c>
    </x:row>
    <x:row r="294">
      <x:c r="A294" s="20"/>
      <x:c r="B294" s="20"/>
      <x:c r="C294" s="20"/>
      <x:c r="D294" s="20"/>
      <x:c r="E294" s="20"/>
      <x:c r="F294" s="20"/>
      <x:c r="G294" s="20"/>
      <x:c r="H294" s="22" t="str">
        <x:f>IF(COUNTA(A294:G294)=0,"",IF(AND(ISNUMBER(D294),D294&lt;0),"REVISAR",IF(AND(A294&lt;&gt;"",COUNTIF($A$5:$A$304,A294)&gt;1),"REVISAR",IF(AND(E294="No",G294&lt;&gt;""),"EXCLUIDO",IF(AND(A294&lt;&gt;"",B294&lt;&gt;"",C294&lt;&gt;"",ISNUMBER(D294),D294&gt;=0,E294="Sí",F294&lt;&gt;"",G294&lt;&gt;""),"VÁLIDO","INCOMPLETO")))))</x:f>
      </x:c>
    </x:row>
    <x:row r="295">
      <x:c r="A295" s="20"/>
      <x:c r="B295" s="20"/>
      <x:c r="C295" s="20"/>
      <x:c r="D295" s="20"/>
      <x:c r="E295" s="20"/>
      <x:c r="F295" s="20"/>
      <x:c r="G295" s="20"/>
      <x:c r="H295" s="22" t="str">
        <x:f>IF(COUNTA(A295:G295)=0,"",IF(AND(ISNUMBER(D295),D295&lt;0),"REVISAR",IF(AND(A295&lt;&gt;"",COUNTIF($A$5:$A$304,A295)&gt;1),"REVISAR",IF(AND(E295="No",G295&lt;&gt;""),"EXCLUIDO",IF(AND(A295&lt;&gt;"",B295&lt;&gt;"",C295&lt;&gt;"",ISNUMBER(D295),D295&gt;=0,E295="Sí",F295&lt;&gt;"",G295&lt;&gt;""),"VÁLIDO","INCOMPLETO")))))</x:f>
      </x:c>
    </x:row>
    <x:row r="296">
      <x:c r="A296" s="20"/>
      <x:c r="B296" s="20"/>
      <x:c r="C296" s="20"/>
      <x:c r="D296" s="20"/>
      <x:c r="E296" s="20"/>
      <x:c r="F296" s="20"/>
      <x:c r="G296" s="20"/>
      <x:c r="H296" s="22" t="str">
        <x:f>IF(COUNTA(A296:G296)=0,"",IF(AND(ISNUMBER(D296),D296&lt;0),"REVISAR",IF(AND(A296&lt;&gt;"",COUNTIF($A$5:$A$304,A296)&gt;1),"REVISAR",IF(AND(E296="No",G296&lt;&gt;""),"EXCLUIDO",IF(AND(A296&lt;&gt;"",B296&lt;&gt;"",C296&lt;&gt;"",ISNUMBER(D296),D296&gt;=0,E296="Sí",F296&lt;&gt;"",G296&lt;&gt;""),"VÁLIDO","INCOMPLETO")))))</x:f>
      </x:c>
    </x:row>
    <x:row r="297">
      <x:c r="A297" s="20"/>
      <x:c r="B297" s="20"/>
      <x:c r="C297" s="20"/>
      <x:c r="D297" s="20"/>
      <x:c r="E297" s="20"/>
      <x:c r="F297" s="20"/>
      <x:c r="G297" s="20"/>
      <x:c r="H297" s="22" t="str">
        <x:f>IF(COUNTA(A297:G297)=0,"",IF(AND(ISNUMBER(D297),D297&lt;0),"REVISAR",IF(AND(A297&lt;&gt;"",COUNTIF($A$5:$A$304,A297)&gt;1),"REVISAR",IF(AND(E297="No",G297&lt;&gt;""),"EXCLUIDO",IF(AND(A297&lt;&gt;"",B297&lt;&gt;"",C297&lt;&gt;"",ISNUMBER(D297),D297&gt;=0,E297="Sí",F297&lt;&gt;"",G297&lt;&gt;""),"VÁLIDO","INCOMPLETO")))))</x:f>
      </x:c>
    </x:row>
    <x:row r="298">
      <x:c r="A298" s="20"/>
      <x:c r="B298" s="20"/>
      <x:c r="C298" s="20"/>
      <x:c r="D298" s="20"/>
      <x:c r="E298" s="20"/>
      <x:c r="F298" s="20"/>
      <x:c r="G298" s="20"/>
      <x:c r="H298" s="22" t="str">
        <x:f>IF(COUNTA(A298:G298)=0,"",IF(AND(ISNUMBER(D298),D298&lt;0),"REVISAR",IF(AND(A298&lt;&gt;"",COUNTIF($A$5:$A$304,A298)&gt;1),"REVISAR",IF(AND(E298="No",G298&lt;&gt;""),"EXCLUIDO",IF(AND(A298&lt;&gt;"",B298&lt;&gt;"",C298&lt;&gt;"",ISNUMBER(D298),D298&gt;=0,E298="Sí",F298&lt;&gt;"",G298&lt;&gt;""),"VÁLIDO","INCOMPLETO")))))</x:f>
      </x:c>
    </x:row>
    <x:row r="299">
      <x:c r="A299" s="20"/>
      <x:c r="B299" s="20"/>
      <x:c r="C299" s="20"/>
      <x:c r="D299" s="20"/>
      <x:c r="E299" s="20"/>
      <x:c r="F299" s="20"/>
      <x:c r="G299" s="20"/>
      <x:c r="H299" s="22" t="str">
        <x:f>IF(COUNTA(A299:G299)=0,"",IF(AND(ISNUMBER(D299),D299&lt;0),"REVISAR",IF(AND(A299&lt;&gt;"",COUNTIF($A$5:$A$304,A299)&gt;1),"REVISAR",IF(AND(E299="No",G299&lt;&gt;""),"EXCLUIDO",IF(AND(A299&lt;&gt;"",B299&lt;&gt;"",C299&lt;&gt;"",ISNUMBER(D299),D299&gt;=0,E299="Sí",F299&lt;&gt;"",G299&lt;&gt;""),"VÁLIDO","INCOMPLETO")))))</x:f>
      </x:c>
    </x:row>
    <x:row r="300">
      <x:c r="A300" s="20"/>
      <x:c r="B300" s="20"/>
      <x:c r="C300" s="20"/>
      <x:c r="D300" s="20"/>
      <x:c r="E300" s="20"/>
      <x:c r="F300" s="20"/>
      <x:c r="G300" s="20"/>
      <x:c r="H300" s="22" t="str">
        <x:f>IF(COUNTA(A300:G300)=0,"",IF(AND(ISNUMBER(D300),D300&lt;0),"REVISAR",IF(AND(A300&lt;&gt;"",COUNTIF($A$5:$A$304,A300)&gt;1),"REVISAR",IF(AND(E300="No",G300&lt;&gt;""),"EXCLUIDO",IF(AND(A300&lt;&gt;"",B300&lt;&gt;"",C300&lt;&gt;"",ISNUMBER(D300),D300&gt;=0,E300="Sí",F300&lt;&gt;"",G300&lt;&gt;""),"VÁLIDO","INCOMPLETO")))))</x:f>
      </x:c>
    </x:row>
    <x:row r="301">
      <x:c r="A301" s="20"/>
      <x:c r="B301" s="20"/>
      <x:c r="C301" s="20"/>
      <x:c r="D301" s="20"/>
      <x:c r="E301" s="20"/>
      <x:c r="F301" s="20"/>
      <x:c r="G301" s="20"/>
      <x:c r="H301" s="22" t="str">
        <x:f>IF(COUNTA(A301:G301)=0,"",IF(AND(ISNUMBER(D301),D301&lt;0),"REVISAR",IF(AND(A301&lt;&gt;"",COUNTIF($A$5:$A$304,A301)&gt;1),"REVISAR",IF(AND(E301="No",G301&lt;&gt;""),"EXCLUIDO",IF(AND(A301&lt;&gt;"",B301&lt;&gt;"",C301&lt;&gt;"",ISNUMBER(D301),D301&gt;=0,E301="Sí",F301&lt;&gt;"",G301&lt;&gt;""),"VÁLIDO","INCOMPLETO")))))</x:f>
      </x:c>
    </x:row>
    <x:row r="302">
      <x:c r="A302" s="20"/>
      <x:c r="B302" s="20"/>
      <x:c r="C302" s="20"/>
      <x:c r="D302" s="20"/>
      <x:c r="E302" s="20"/>
      <x:c r="F302" s="20"/>
      <x:c r="G302" s="20"/>
      <x:c r="H302" s="22" t="str">
        <x:f>IF(COUNTA(A302:G302)=0,"",IF(AND(ISNUMBER(D302),D302&lt;0),"REVISAR",IF(AND(A302&lt;&gt;"",COUNTIF($A$5:$A$304,A302)&gt;1),"REVISAR",IF(AND(E302="No",G302&lt;&gt;""),"EXCLUIDO",IF(AND(A302&lt;&gt;"",B302&lt;&gt;"",C302&lt;&gt;"",ISNUMBER(D302),D302&gt;=0,E302="Sí",F302&lt;&gt;"",G302&lt;&gt;""),"VÁLIDO","INCOMPLETO")))))</x:f>
      </x:c>
    </x:row>
    <x:row r="303">
      <x:c r="A303" s="20"/>
      <x:c r="B303" s="20"/>
      <x:c r="C303" s="20"/>
      <x:c r="D303" s="20"/>
      <x:c r="E303" s="20"/>
      <x:c r="F303" s="20"/>
      <x:c r="G303" s="20"/>
      <x:c r="H303" s="22" t="str">
        <x:f>IF(COUNTA(A303:G303)=0,"",IF(AND(ISNUMBER(D303),D303&lt;0),"REVISAR",IF(AND(A303&lt;&gt;"",COUNTIF($A$5:$A$304,A303)&gt;1),"REVISAR",IF(AND(E303="No",G303&lt;&gt;""),"EXCLUIDO",IF(AND(A303&lt;&gt;"",B303&lt;&gt;"",C303&lt;&gt;"",ISNUMBER(D303),D303&gt;=0,E303="Sí",F303&lt;&gt;"",G303&lt;&gt;""),"VÁLIDO","INCOMPLETO")))))</x:f>
      </x:c>
    </x:row>
    <x:row r="304">
      <x:c r="A304" s="20"/>
      <x:c r="B304" s="20"/>
      <x:c r="C304" s="20"/>
      <x:c r="D304" s="20"/>
      <x:c r="E304" s="20"/>
      <x:c r="F304" s="20"/>
      <x:c r="G304" s="20"/>
      <x:c r="H304" s="22" t="str">
        <x:f>IF(COUNTA(A304:G304)=0,"",IF(AND(ISNUMBER(D304),D304&lt;0),"REVISAR",IF(AND(A304&lt;&gt;"",COUNTIF($A$5:$A$304,A304)&gt;1),"REVISAR",IF(AND(E304="No",G304&lt;&gt;""),"EXCLUIDO",IF(AND(A304&lt;&gt;"",B304&lt;&gt;"",C304&lt;&gt;"",ISNUMBER(D304),D304&gt;=0,E304="Sí",F304&lt;&gt;"",G304&lt;&gt;""),"VÁLIDO","INCOMPLETO")))))</x:f>
      </x:c>
    </x:row>
  </x:sheetData>
  <x:mergeCells>
    <x:mergeCell ref="A1:H1"/>
    <x:mergeCell ref="A2:H2"/>
  </x:mergeCells>
  <x:conditionalFormatting sqref="H5:H304">
    <x:cfRule type="expression" dxfId="1" priority="1">
      <x:formula>H5="REVISAR"</x:formula>
    </x:cfRule>
  </x:conditionalFormatting>
  <x:dataValidations count="3">
    <x:dataValidation type="list" sqref="E5:E304">
      <x:formula1>"Sí,No,Pendiente"</x:formula1>
    </x:dataValidation>
    <x:dataValidation type="decimal" sqref="D5:D304">
      <x:formula1>0</x:formula1>
    </x:dataValidation>
    <x:dataValidation type="list" sqref="B5:B304">
      <x:formula1>"ET-01,ET-02,ET-03,ET-04,ET-05,ET-06"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1db7608e424174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0" hidden="0" customWidth="1"/>
    <x:col min="5" max="5" width="19" hidden="0" customWidth="1"/>
    <x:col min="6" max="6" width="22" hidden="0" customWidth="1"/>
    <x:col min="7" max="7" width="20" hidden="0" customWidth="1"/>
    <x:col min="8" max="8" width="20" hidden="0" customWidth="1"/>
    <x:col min="9" max="9" width="49" hidden="0" customWidth="1"/>
    <x:col min="10" max="10" width="27" hidden="0" customWidth="1"/>
    <x:col min="11" max="11" width="41" hidden="0" customWidth="1"/>
    <x:col min="12" max="12" width="44" hidden="0" customWidth="1"/>
    <x:col min="13" max="13" width="24" hidden="0" customWidth="1"/>
  </x:cols>
  <x:sheetData>
    <x:row r="1" ht="35" customHeight="1">
      <x:c r="A1" s="3" t="str">
        <x:v>CAPTURA DE INTENTOS DE TAREA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7" t="str">
        <x:v>Una fila por intento con autorización, resultado observable y evidencia.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1" customHeight="1">
      <x:c r="A4" s="13" t="str">
        <x:v>ID intento</x:v>
      </x:c>
      <x:c r="B4" s="13" t="str">
        <x:v>Participante</x:v>
      </x:c>
      <x:c r="C4" s="13" t="str">
        <x:v>Tarea T-US</x:v>
      </x:c>
      <x:c r="D4" s="13" t="str">
        <x:v>Autorizado</x:v>
      </x:c>
      <x:c r="E4" s="13" t="str">
        <x:v>Realizado</x:v>
      </x:c>
      <x:c r="F4" s="13" t="str">
        <x:v>Resultado</x:v>
      </x:c>
      <x:c r="G4" s="13" t="str">
        <x:v>Asistencia</x:v>
      </x:c>
      <x:c r="H4" s="13" t="str">
        <x:v>Duración (s)</x:v>
      </x:c>
      <x:c r="I4" s="13" t="str">
        <x:v>Evidencia</x:v>
      </x:c>
      <x:c r="J4" s="13" t="str">
        <x:v>Sesión</x:v>
      </x:c>
      <x:c r="K4" s="13" t="str">
        <x:v>Motivo exclusión</x:v>
      </x:c>
      <x:c r="L4" s="13" t="str">
        <x:v>Observación</x:v>
      </x:c>
      <x:c r="M4" s="13" t="str">
        <x:v>Estado control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2" t="str">
        <x:f>IF(COUNTA(A5:L5)=0,"",IF(AND(ISNUMBER(H5),H5&lt;0),"REVISAR",IF(AND(A5&lt;&gt;"",COUNTIF($A$5:$A$204,A5)&gt;1),"REVISAR",IF(AND(D5="No",E5="Sí"),"REVISAR",IF(AND(E5="No",K5&lt;&gt;"",I5&lt;&gt;""),"EXCLUIDO",IF(AND(A5&lt;&gt;"",B5&lt;&gt;"",C5&lt;&gt;"",D5="Sí",E5="Sí",OR(F5="Correcto",F5="Incorrecto"),G5&lt;&gt;"",ISNUMBER(H5),H5&gt;=0,I5&lt;&gt;"",J5&lt;&gt;""),"VÁLIDO","INCOMPLETO"))))))</x:f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2" t="str">
        <x:f>IF(COUNTA(A6:L6)=0,"",IF(AND(ISNUMBER(H6),H6&lt;0),"REVISAR",IF(AND(A6&lt;&gt;"",COUNTIF($A$5:$A$204,A6)&gt;1),"REVISAR",IF(AND(D6="No",E6="Sí"),"REVISAR",IF(AND(E6="No",K6&lt;&gt;"",I6&lt;&gt;""),"EXCLUIDO",IF(AND(A6&lt;&gt;"",B6&lt;&gt;"",C6&lt;&gt;"",D6="Sí",E6="Sí",OR(F6="Correcto",F6="Incorrecto"),G6&lt;&gt;"",ISNUMBER(H6),H6&gt;=0,I6&lt;&gt;"",J6&lt;&gt;""),"VÁLIDO","INCOMPLETO")))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2" t="str">
        <x:f>IF(COUNTA(A7:L7)=0,"",IF(AND(ISNUMBER(H7),H7&lt;0),"REVISAR",IF(AND(A7&lt;&gt;"",COUNTIF($A$5:$A$204,A7)&gt;1),"REVISAR",IF(AND(D7="No",E7="Sí"),"REVISAR",IF(AND(E7="No",K7&lt;&gt;"",I7&lt;&gt;""),"EXCLUIDO",IF(AND(A7&lt;&gt;"",B7&lt;&gt;"",C7&lt;&gt;"",D7="Sí",E7="Sí",OR(F7="Correcto",F7="Incorrecto"),G7&lt;&gt;"",ISNUMBER(H7),H7&gt;=0,I7&lt;&gt;"",J7&lt;&gt;""),"VÁLIDO","INCOMPLETO")))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2" t="str">
        <x:f>IF(COUNTA(A8:L8)=0,"",IF(AND(ISNUMBER(H8),H8&lt;0),"REVISAR",IF(AND(A8&lt;&gt;"",COUNTIF($A$5:$A$204,A8)&gt;1),"REVISAR",IF(AND(D8="No",E8="Sí"),"REVISAR",IF(AND(E8="No",K8&lt;&gt;"",I8&lt;&gt;""),"EXCLUIDO",IF(AND(A8&lt;&gt;"",B8&lt;&gt;"",C8&lt;&gt;"",D8="Sí",E8="Sí",OR(F8="Correcto",F8="Incorrecto"),G8&lt;&gt;"",ISNUMBER(H8),H8&gt;=0,I8&lt;&gt;"",J8&lt;&gt;""),"VÁLIDO","INCOMPLETO")))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2" t="str">
        <x:f>IF(COUNTA(A9:L9)=0,"",IF(AND(ISNUMBER(H9),H9&lt;0),"REVISAR",IF(AND(A9&lt;&gt;"",COUNTIF($A$5:$A$204,A9)&gt;1),"REVISAR",IF(AND(D9="No",E9="Sí"),"REVISAR",IF(AND(E9="No",K9&lt;&gt;"",I9&lt;&gt;""),"EXCLUIDO",IF(AND(A9&lt;&gt;"",B9&lt;&gt;"",C9&lt;&gt;"",D9="Sí",E9="Sí",OR(F9="Correcto",F9="Incorrecto"),G9&lt;&gt;"",ISNUMBER(H9),H9&gt;=0,I9&lt;&gt;"",J9&lt;&gt;""),"VÁLIDO","INCOMPLETO")))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2" t="str">
        <x:f>IF(COUNTA(A10:L10)=0,"",IF(AND(ISNUMBER(H10),H10&lt;0),"REVISAR",IF(AND(A10&lt;&gt;"",COUNTIF($A$5:$A$204,A10)&gt;1),"REVISAR",IF(AND(D10="No",E10="Sí"),"REVISAR",IF(AND(E10="No",K10&lt;&gt;"",I10&lt;&gt;""),"EXCLUIDO",IF(AND(A10&lt;&gt;"",B10&lt;&gt;"",C10&lt;&gt;"",D10="Sí",E10="Sí",OR(F10="Correcto",F10="Incorrecto"),G10&lt;&gt;"",ISNUMBER(H10),H10&gt;=0,I10&lt;&gt;"",J10&lt;&gt;""),"VÁLIDO","INCOMPLETO")))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2" t="str">
        <x:f>IF(COUNTA(A11:L11)=0,"",IF(AND(ISNUMBER(H11),H11&lt;0),"REVISAR",IF(AND(A11&lt;&gt;"",COUNTIF($A$5:$A$204,A11)&gt;1),"REVISAR",IF(AND(D11="No",E11="Sí"),"REVISAR",IF(AND(E11="No",K11&lt;&gt;"",I11&lt;&gt;""),"EXCLUIDO",IF(AND(A11&lt;&gt;"",B11&lt;&gt;"",C11&lt;&gt;"",D11="Sí",E11="Sí",OR(F11="Correcto",F11="Incorrecto"),G11&lt;&gt;"",ISNUMBER(H11),H11&gt;=0,I11&lt;&gt;"",J11&lt;&gt;""),"VÁLIDO","INCOMPLETO")))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2" t="str">
        <x:f>IF(COUNTA(A12:L12)=0,"",IF(AND(ISNUMBER(H12),H12&lt;0),"REVISAR",IF(AND(A12&lt;&gt;"",COUNTIF($A$5:$A$204,A12)&gt;1),"REVISAR",IF(AND(D12="No",E12="Sí"),"REVISAR",IF(AND(E12="No",K12&lt;&gt;"",I12&lt;&gt;""),"EXCLUIDO",IF(AND(A12&lt;&gt;"",B12&lt;&gt;"",C12&lt;&gt;"",D12="Sí",E12="Sí",OR(F12="Correcto",F12="Incorrecto"),G12&lt;&gt;"",ISNUMBER(H12),H12&gt;=0,I12&lt;&gt;"",J12&lt;&gt;""),"VÁLIDO","INCOMPLETO")))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2" t="str">
        <x:f>IF(COUNTA(A13:L13)=0,"",IF(AND(ISNUMBER(H13),H13&lt;0),"REVISAR",IF(AND(A13&lt;&gt;"",COUNTIF($A$5:$A$204,A13)&gt;1),"REVISAR",IF(AND(D13="No",E13="Sí"),"REVISAR",IF(AND(E13="No",K13&lt;&gt;"",I13&lt;&gt;""),"EXCLUIDO",IF(AND(A13&lt;&gt;"",B13&lt;&gt;"",C13&lt;&gt;"",D13="Sí",E13="Sí",OR(F13="Correcto",F13="Incorrecto"),G13&lt;&gt;"",ISNUMBER(H13),H13&gt;=0,I13&lt;&gt;"",J13&lt;&gt;""),"VÁLIDO","INCOMPLETO")))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2" t="str">
        <x:f>IF(COUNTA(A14:L14)=0,"",IF(AND(ISNUMBER(H14),H14&lt;0),"REVISAR",IF(AND(A14&lt;&gt;"",COUNTIF($A$5:$A$204,A14)&gt;1),"REVISAR",IF(AND(D14="No",E14="Sí"),"REVISAR",IF(AND(E14="No",K14&lt;&gt;"",I14&lt;&gt;""),"EXCLUIDO",IF(AND(A14&lt;&gt;"",B14&lt;&gt;"",C14&lt;&gt;"",D14="Sí",E14="Sí",OR(F14="Correcto",F14="Incorrecto"),G14&lt;&gt;"",ISNUMBER(H14),H14&gt;=0,I14&lt;&gt;"",J14&lt;&gt;""),"VÁLIDO","INCOMPLETO")))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2" t="str">
        <x:f>IF(COUNTA(A15:L15)=0,"",IF(AND(ISNUMBER(H15),H15&lt;0),"REVISAR",IF(AND(A15&lt;&gt;"",COUNTIF($A$5:$A$204,A15)&gt;1),"REVISAR",IF(AND(D15="No",E15="Sí"),"REVISAR",IF(AND(E15="No",K15&lt;&gt;"",I15&lt;&gt;""),"EXCLUIDO",IF(AND(A15&lt;&gt;"",B15&lt;&gt;"",C15&lt;&gt;"",D15="Sí",E15="Sí",OR(F15="Correcto",F15="Incorrecto"),G15&lt;&gt;"",ISNUMBER(H15),H15&gt;=0,I15&lt;&gt;"",J15&lt;&gt;""),"VÁLIDO","INCOMPLETO")))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2" t="str">
        <x:f>IF(COUNTA(A16:L16)=0,"",IF(AND(ISNUMBER(H16),H16&lt;0),"REVISAR",IF(AND(A16&lt;&gt;"",COUNTIF($A$5:$A$204,A16)&gt;1),"REVISAR",IF(AND(D16="No",E16="Sí"),"REVISAR",IF(AND(E16="No",K16&lt;&gt;"",I16&lt;&gt;""),"EXCLUIDO",IF(AND(A16&lt;&gt;"",B16&lt;&gt;"",C16&lt;&gt;"",D16="Sí",E16="Sí",OR(F16="Correcto",F16="Incorrecto"),G16&lt;&gt;"",ISNUMBER(H16),H16&gt;=0,I16&lt;&gt;"",J16&lt;&gt;""),"VÁLIDO","INCOMPLETO")))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2" t="str">
        <x:f>IF(COUNTA(A17:L17)=0,"",IF(AND(ISNUMBER(H17),H17&lt;0),"REVISAR",IF(AND(A17&lt;&gt;"",COUNTIF($A$5:$A$204,A17)&gt;1),"REVISAR",IF(AND(D17="No",E17="Sí"),"REVISAR",IF(AND(E17="No",K17&lt;&gt;"",I17&lt;&gt;""),"EXCLUIDO",IF(AND(A17&lt;&gt;"",B17&lt;&gt;"",C17&lt;&gt;"",D17="Sí",E17="Sí",OR(F17="Correcto",F17="Incorrecto"),G17&lt;&gt;"",ISNUMBER(H17),H17&gt;=0,I17&lt;&gt;"",J17&lt;&gt;""),"VÁLIDO","INCOMPLETO")))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2" t="str">
        <x:f>IF(COUNTA(A18:L18)=0,"",IF(AND(ISNUMBER(H18),H18&lt;0),"REVISAR",IF(AND(A18&lt;&gt;"",COUNTIF($A$5:$A$204,A18)&gt;1),"REVISAR",IF(AND(D18="No",E18="Sí"),"REVISAR",IF(AND(E18="No",K18&lt;&gt;"",I18&lt;&gt;""),"EXCLUIDO",IF(AND(A18&lt;&gt;"",B18&lt;&gt;"",C18&lt;&gt;"",D18="Sí",E18="Sí",OR(F18="Correcto",F18="Incorrecto"),G18&lt;&gt;"",ISNUMBER(H18),H18&gt;=0,I18&lt;&gt;"",J18&lt;&gt;""),"VÁLIDO","INCOMPLETO")))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2" t="str">
        <x:f>IF(COUNTA(A19:L19)=0,"",IF(AND(ISNUMBER(H19),H19&lt;0),"REVISAR",IF(AND(A19&lt;&gt;"",COUNTIF($A$5:$A$204,A19)&gt;1),"REVISAR",IF(AND(D19="No",E19="Sí"),"REVISAR",IF(AND(E19="No",K19&lt;&gt;"",I19&lt;&gt;""),"EXCLUIDO",IF(AND(A19&lt;&gt;"",B19&lt;&gt;"",C19&lt;&gt;"",D19="Sí",E19="Sí",OR(F19="Correcto",F19="Incorrecto"),G19&lt;&gt;"",ISNUMBER(H19),H19&gt;=0,I19&lt;&gt;"",J19&lt;&gt;""),"VÁLIDO","INCOMPLETO")))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2" t="str">
        <x:f>IF(COUNTA(A20:L20)=0,"",IF(AND(ISNUMBER(H20),H20&lt;0),"REVISAR",IF(AND(A20&lt;&gt;"",COUNTIF($A$5:$A$204,A20)&gt;1),"REVISAR",IF(AND(D20="No",E20="Sí"),"REVISAR",IF(AND(E20="No",K20&lt;&gt;"",I20&lt;&gt;""),"EXCLUIDO",IF(AND(A20&lt;&gt;"",B20&lt;&gt;"",C20&lt;&gt;"",D20="Sí",E20="Sí",OR(F20="Correcto",F20="Incorrecto"),G20&lt;&gt;"",ISNUMBER(H20),H20&gt;=0,I20&lt;&gt;"",J20&lt;&gt;""),"VÁLIDO","INCOMPLETO")))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2" t="str">
        <x:f>IF(COUNTA(A21:L21)=0,"",IF(AND(ISNUMBER(H21),H21&lt;0),"REVISAR",IF(AND(A21&lt;&gt;"",COUNTIF($A$5:$A$204,A21)&gt;1),"REVISAR",IF(AND(D21="No",E21="Sí"),"REVISAR",IF(AND(E21="No",K21&lt;&gt;"",I21&lt;&gt;""),"EXCLUIDO",IF(AND(A21&lt;&gt;"",B21&lt;&gt;"",C21&lt;&gt;"",D21="Sí",E21="Sí",OR(F21="Correcto",F21="Incorrecto"),G21&lt;&gt;"",ISNUMBER(H21),H21&gt;=0,I21&lt;&gt;"",J21&lt;&gt;""),"VÁLIDO","INCOMPLETO")))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2" t="str">
        <x:f>IF(COUNTA(A22:L22)=0,"",IF(AND(ISNUMBER(H22),H22&lt;0),"REVISAR",IF(AND(A22&lt;&gt;"",COUNTIF($A$5:$A$204,A22)&gt;1),"REVISAR",IF(AND(D22="No",E22="Sí"),"REVISAR",IF(AND(E22="No",K22&lt;&gt;"",I22&lt;&gt;""),"EXCLUIDO",IF(AND(A22&lt;&gt;"",B22&lt;&gt;"",C22&lt;&gt;"",D22="Sí",E22="Sí",OR(F22="Correcto",F22="Incorrecto"),G22&lt;&gt;"",ISNUMBER(H22),H22&gt;=0,I22&lt;&gt;"",J22&lt;&gt;""),"VÁLIDO","INCOMPLETO")))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2" t="str">
        <x:f>IF(COUNTA(A23:L23)=0,"",IF(AND(ISNUMBER(H23),H23&lt;0),"REVISAR",IF(AND(A23&lt;&gt;"",COUNTIF($A$5:$A$204,A23)&gt;1),"REVISAR",IF(AND(D23="No",E23="Sí"),"REVISAR",IF(AND(E23="No",K23&lt;&gt;"",I23&lt;&gt;""),"EXCLUIDO",IF(AND(A23&lt;&gt;"",B23&lt;&gt;"",C23&lt;&gt;"",D23="Sí",E23="Sí",OR(F23="Correcto",F23="Incorrecto"),G23&lt;&gt;"",ISNUMBER(H23),H23&gt;=0,I23&lt;&gt;"",J23&lt;&gt;""),"VÁLIDO","INCOMPLETO")))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2" t="str">
        <x:f>IF(COUNTA(A24:L24)=0,"",IF(AND(ISNUMBER(H24),H24&lt;0),"REVISAR",IF(AND(A24&lt;&gt;"",COUNTIF($A$5:$A$204,A24)&gt;1),"REVISAR",IF(AND(D24="No",E24="Sí"),"REVISAR",IF(AND(E24="No",K24&lt;&gt;"",I24&lt;&gt;""),"EXCLUIDO",IF(AND(A24&lt;&gt;"",B24&lt;&gt;"",C24&lt;&gt;"",D24="Sí",E24="Sí",OR(F24="Correcto",F24="Incorrecto"),G24&lt;&gt;"",ISNUMBER(H24),H24&gt;=0,I24&lt;&gt;"",J24&lt;&gt;""),"VÁLIDO","INCOMPLETO")))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2" t="str">
        <x:f>IF(COUNTA(A25:L25)=0,"",IF(AND(ISNUMBER(H25),H25&lt;0),"REVISAR",IF(AND(A25&lt;&gt;"",COUNTIF($A$5:$A$204,A25)&gt;1),"REVISAR",IF(AND(D25="No",E25="Sí"),"REVISAR",IF(AND(E25="No",K25&lt;&gt;"",I25&lt;&gt;""),"EXCLUIDO",IF(AND(A25&lt;&gt;"",B25&lt;&gt;"",C25&lt;&gt;"",D25="Sí",E25="Sí",OR(F25="Correcto",F25="Incorrecto"),G25&lt;&gt;"",ISNUMBER(H25),H25&gt;=0,I25&lt;&gt;"",J25&lt;&gt;""),"VÁLIDO","INCOMPLETO")))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2" t="str">
        <x:f>IF(COUNTA(A26:L26)=0,"",IF(AND(ISNUMBER(H26),H26&lt;0),"REVISAR",IF(AND(A26&lt;&gt;"",COUNTIF($A$5:$A$204,A26)&gt;1),"REVISAR",IF(AND(D26="No",E26="Sí"),"REVISAR",IF(AND(E26="No",K26&lt;&gt;"",I26&lt;&gt;""),"EXCLUIDO",IF(AND(A26&lt;&gt;"",B26&lt;&gt;"",C26&lt;&gt;"",D26="Sí",E26="Sí",OR(F26="Correcto",F26="Incorrecto"),G26&lt;&gt;"",ISNUMBER(H26),H26&gt;=0,I26&lt;&gt;"",J26&lt;&gt;""),"VÁLIDO","INCOMPLETO")))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2" t="str">
        <x:f>IF(COUNTA(A27:L27)=0,"",IF(AND(ISNUMBER(H27),H27&lt;0),"REVISAR",IF(AND(A27&lt;&gt;"",COUNTIF($A$5:$A$204,A27)&gt;1),"REVISAR",IF(AND(D27="No",E27="Sí"),"REVISAR",IF(AND(E27="No",K27&lt;&gt;"",I27&lt;&gt;""),"EXCLUIDO",IF(AND(A27&lt;&gt;"",B27&lt;&gt;"",C27&lt;&gt;"",D27="Sí",E27="Sí",OR(F27="Correcto",F27="Incorrecto"),G27&lt;&gt;"",ISNUMBER(H27),H27&gt;=0,I27&lt;&gt;"",J27&lt;&gt;""),"VÁLIDO","INCOMPLETO")))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2" t="str">
        <x:f>IF(COUNTA(A28:L28)=0,"",IF(AND(ISNUMBER(H28),H28&lt;0),"REVISAR",IF(AND(A28&lt;&gt;"",COUNTIF($A$5:$A$204,A28)&gt;1),"REVISAR",IF(AND(D28="No",E28="Sí"),"REVISAR",IF(AND(E28="No",K28&lt;&gt;"",I28&lt;&gt;""),"EXCLUIDO",IF(AND(A28&lt;&gt;"",B28&lt;&gt;"",C28&lt;&gt;"",D28="Sí",E28="Sí",OR(F28="Correcto",F28="Incorrecto"),G28&lt;&gt;"",ISNUMBER(H28),H28&gt;=0,I28&lt;&gt;"",J28&lt;&gt;""),"VÁLIDO","INCOMPLETO")))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2" t="str">
        <x:f>IF(COUNTA(A29:L29)=0,"",IF(AND(ISNUMBER(H29),H29&lt;0),"REVISAR",IF(AND(A29&lt;&gt;"",COUNTIF($A$5:$A$204,A29)&gt;1),"REVISAR",IF(AND(D29="No",E29="Sí"),"REVISAR",IF(AND(E29="No",K29&lt;&gt;"",I29&lt;&gt;""),"EXCLUIDO",IF(AND(A29&lt;&gt;"",B29&lt;&gt;"",C29&lt;&gt;"",D29="Sí",E29="Sí",OR(F29="Correcto",F29="Incorrecto"),G29&lt;&gt;"",ISNUMBER(H29),H29&gt;=0,I29&lt;&gt;"",J29&lt;&gt;""),"VÁLIDO","INCOMPLETO")))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2" t="str">
        <x:f>IF(COUNTA(A30:L30)=0,"",IF(AND(ISNUMBER(H30),H30&lt;0),"REVISAR",IF(AND(A30&lt;&gt;"",COUNTIF($A$5:$A$204,A30)&gt;1),"REVISAR",IF(AND(D30="No",E30="Sí"),"REVISAR",IF(AND(E30="No",K30&lt;&gt;"",I30&lt;&gt;""),"EXCLUIDO",IF(AND(A30&lt;&gt;"",B30&lt;&gt;"",C30&lt;&gt;"",D30="Sí",E30="Sí",OR(F30="Correcto",F30="Incorrecto"),G30&lt;&gt;"",ISNUMBER(H30),H30&gt;=0,I30&lt;&gt;"",J30&lt;&gt;""),"VÁLIDO","INCOMPLETO"))))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2" t="str">
        <x:f>IF(COUNTA(A31:L31)=0,"",IF(AND(ISNUMBER(H31),H31&lt;0),"REVISAR",IF(AND(A31&lt;&gt;"",COUNTIF($A$5:$A$204,A31)&gt;1),"REVISAR",IF(AND(D31="No",E31="Sí"),"REVISAR",IF(AND(E31="No",K31&lt;&gt;"",I31&lt;&gt;""),"EXCLUIDO",IF(AND(A31&lt;&gt;"",B31&lt;&gt;"",C31&lt;&gt;"",D31="Sí",E31="Sí",OR(F31="Correcto",F31="Incorrecto"),G31&lt;&gt;"",ISNUMBER(H31),H31&gt;=0,I31&lt;&gt;"",J31&lt;&gt;""),"VÁLIDO","INCOMPLETO"))))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2" t="str">
        <x:f>IF(COUNTA(A32:L32)=0,"",IF(AND(ISNUMBER(H32),H32&lt;0),"REVISAR",IF(AND(A32&lt;&gt;"",COUNTIF($A$5:$A$204,A32)&gt;1),"REVISAR",IF(AND(D32="No",E32="Sí"),"REVISAR",IF(AND(E32="No",K32&lt;&gt;"",I32&lt;&gt;""),"EXCLUIDO",IF(AND(A32&lt;&gt;"",B32&lt;&gt;"",C32&lt;&gt;"",D32="Sí",E32="Sí",OR(F32="Correcto",F32="Incorrecto"),G32&lt;&gt;"",ISNUMBER(H32),H32&gt;=0,I32&lt;&gt;"",J32&lt;&gt;""),"VÁLIDO","INCOMPLETO"))))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2" t="str">
        <x:f>IF(COUNTA(A33:L33)=0,"",IF(AND(ISNUMBER(H33),H33&lt;0),"REVISAR",IF(AND(A33&lt;&gt;"",COUNTIF($A$5:$A$204,A33)&gt;1),"REVISAR",IF(AND(D33="No",E33="Sí"),"REVISAR",IF(AND(E33="No",K33&lt;&gt;"",I33&lt;&gt;""),"EXCLUIDO",IF(AND(A33&lt;&gt;"",B33&lt;&gt;"",C33&lt;&gt;"",D33="Sí",E33="Sí",OR(F33="Correcto",F33="Incorrecto"),G33&lt;&gt;"",ISNUMBER(H33),H33&gt;=0,I33&lt;&gt;"",J33&lt;&gt;""),"VÁLIDO","INCOMPLETO"))))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2" t="str">
        <x:f>IF(COUNTA(A34:L34)=0,"",IF(AND(ISNUMBER(H34),H34&lt;0),"REVISAR",IF(AND(A34&lt;&gt;"",COUNTIF($A$5:$A$204,A34)&gt;1),"REVISAR",IF(AND(D34="No",E34="Sí"),"REVISAR",IF(AND(E34="No",K34&lt;&gt;"",I34&lt;&gt;""),"EXCLUIDO",IF(AND(A34&lt;&gt;"",B34&lt;&gt;"",C34&lt;&gt;"",D34="Sí",E34="Sí",OR(F34="Correcto",F34="Incorrecto"),G34&lt;&gt;"",ISNUMBER(H34),H34&gt;=0,I34&lt;&gt;"",J34&lt;&gt;""),"VÁLIDO","INCOMPLETO"))))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2" t="str">
        <x:f>IF(COUNTA(A35:L35)=0,"",IF(AND(ISNUMBER(H35),H35&lt;0),"REVISAR",IF(AND(A35&lt;&gt;"",COUNTIF($A$5:$A$204,A35)&gt;1),"REVISAR",IF(AND(D35="No",E35="Sí"),"REVISAR",IF(AND(E35="No",K35&lt;&gt;"",I35&lt;&gt;""),"EXCLUIDO",IF(AND(A35&lt;&gt;"",B35&lt;&gt;"",C35&lt;&gt;"",D35="Sí",E35="Sí",OR(F35="Correcto",F35="Incorrecto"),G35&lt;&gt;"",ISNUMBER(H35),H35&gt;=0,I35&lt;&gt;"",J35&lt;&gt;""),"VÁLIDO","INCOMPLETO"))))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2" t="str">
        <x:f>IF(COUNTA(A36:L36)=0,"",IF(AND(ISNUMBER(H36),H36&lt;0),"REVISAR",IF(AND(A36&lt;&gt;"",COUNTIF($A$5:$A$204,A36)&gt;1),"REVISAR",IF(AND(D36="No",E36="Sí"),"REVISAR",IF(AND(E36="No",K36&lt;&gt;"",I36&lt;&gt;""),"EXCLUIDO",IF(AND(A36&lt;&gt;"",B36&lt;&gt;"",C36&lt;&gt;"",D36="Sí",E36="Sí",OR(F36="Correcto",F36="Incorrecto"),G36&lt;&gt;"",ISNUMBER(H36),H36&gt;=0,I36&lt;&gt;"",J36&lt;&gt;""),"VÁLIDO","INCOMPLETO"))))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2" t="str">
        <x:f>IF(COUNTA(A37:L37)=0,"",IF(AND(ISNUMBER(H37),H37&lt;0),"REVISAR",IF(AND(A37&lt;&gt;"",COUNTIF($A$5:$A$204,A37)&gt;1),"REVISAR",IF(AND(D37="No",E37="Sí"),"REVISAR",IF(AND(E37="No",K37&lt;&gt;"",I37&lt;&gt;""),"EXCLUIDO",IF(AND(A37&lt;&gt;"",B37&lt;&gt;"",C37&lt;&gt;"",D37="Sí",E37="Sí",OR(F37="Correcto",F37="Incorrecto"),G37&lt;&gt;"",ISNUMBER(H37),H37&gt;=0,I37&lt;&gt;"",J37&lt;&gt;""),"VÁLIDO","INCOMPLETO"))))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2" t="str">
        <x:f>IF(COUNTA(A38:L38)=0,"",IF(AND(ISNUMBER(H38),H38&lt;0),"REVISAR",IF(AND(A38&lt;&gt;"",COUNTIF($A$5:$A$204,A38)&gt;1),"REVISAR",IF(AND(D38="No",E38="Sí"),"REVISAR",IF(AND(E38="No",K38&lt;&gt;"",I38&lt;&gt;""),"EXCLUIDO",IF(AND(A38&lt;&gt;"",B38&lt;&gt;"",C38&lt;&gt;"",D38="Sí",E38="Sí",OR(F38="Correcto",F38="Incorrecto"),G38&lt;&gt;"",ISNUMBER(H38),H38&gt;=0,I38&lt;&gt;"",J38&lt;&gt;""),"VÁLIDO","INCOMPLETO"))))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2" t="str">
        <x:f>IF(COUNTA(A39:L39)=0,"",IF(AND(ISNUMBER(H39),H39&lt;0),"REVISAR",IF(AND(A39&lt;&gt;"",COUNTIF($A$5:$A$204,A39)&gt;1),"REVISAR",IF(AND(D39="No",E39="Sí"),"REVISAR",IF(AND(E39="No",K39&lt;&gt;"",I39&lt;&gt;""),"EXCLUIDO",IF(AND(A39&lt;&gt;"",B39&lt;&gt;"",C39&lt;&gt;"",D39="Sí",E39="Sí",OR(F39="Correcto",F39="Incorrecto"),G39&lt;&gt;"",ISNUMBER(H39),H39&gt;=0,I39&lt;&gt;"",J39&lt;&gt;""),"VÁLIDO","INCOMPLETO"))))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2" t="str">
        <x:f>IF(COUNTA(A40:L40)=0,"",IF(AND(ISNUMBER(H40),H40&lt;0),"REVISAR",IF(AND(A40&lt;&gt;"",COUNTIF($A$5:$A$204,A40)&gt;1),"REVISAR",IF(AND(D40="No",E40="Sí"),"REVISAR",IF(AND(E40="No",K40&lt;&gt;"",I40&lt;&gt;""),"EXCLUIDO",IF(AND(A40&lt;&gt;"",B40&lt;&gt;"",C40&lt;&gt;"",D40="Sí",E40="Sí",OR(F40="Correcto",F40="Incorrecto"),G40&lt;&gt;"",ISNUMBER(H40),H40&gt;=0,I40&lt;&gt;"",J40&lt;&gt;""),"VÁLIDO","INCOMPLETO"))))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2" t="str">
        <x:f>IF(COUNTA(A41:L41)=0,"",IF(AND(ISNUMBER(H41),H41&lt;0),"REVISAR",IF(AND(A41&lt;&gt;"",COUNTIF($A$5:$A$204,A41)&gt;1),"REVISAR",IF(AND(D41="No",E41="Sí"),"REVISAR",IF(AND(E41="No",K41&lt;&gt;"",I41&lt;&gt;""),"EXCLUIDO",IF(AND(A41&lt;&gt;"",B41&lt;&gt;"",C41&lt;&gt;"",D41="Sí",E41="Sí",OR(F41="Correcto",F41="Incorrecto"),G41&lt;&gt;"",ISNUMBER(H41),H41&gt;=0,I41&lt;&gt;"",J41&lt;&gt;""),"VÁLIDO","INCOMPLETO"))))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2" t="str">
        <x:f>IF(COUNTA(A42:L42)=0,"",IF(AND(ISNUMBER(H42),H42&lt;0),"REVISAR",IF(AND(A42&lt;&gt;"",COUNTIF($A$5:$A$204,A42)&gt;1),"REVISAR",IF(AND(D42="No",E42="Sí"),"REVISAR",IF(AND(E42="No",K42&lt;&gt;"",I42&lt;&gt;""),"EXCLUIDO",IF(AND(A42&lt;&gt;"",B42&lt;&gt;"",C42&lt;&gt;"",D42="Sí",E42="Sí",OR(F42="Correcto",F42="Incorrecto"),G42&lt;&gt;"",ISNUMBER(H42),H42&gt;=0,I42&lt;&gt;"",J42&lt;&gt;""),"VÁLIDO","INCOMPLETO"))))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2" t="str">
        <x:f>IF(COUNTA(A43:L43)=0,"",IF(AND(ISNUMBER(H43),H43&lt;0),"REVISAR",IF(AND(A43&lt;&gt;"",COUNTIF($A$5:$A$204,A43)&gt;1),"REVISAR",IF(AND(D43="No",E43="Sí"),"REVISAR",IF(AND(E43="No",K43&lt;&gt;"",I43&lt;&gt;""),"EXCLUIDO",IF(AND(A43&lt;&gt;"",B43&lt;&gt;"",C43&lt;&gt;"",D43="Sí",E43="Sí",OR(F43="Correcto",F43="Incorrecto"),G43&lt;&gt;"",ISNUMBER(H43),H43&gt;=0,I43&lt;&gt;"",J43&lt;&gt;""),"VÁLIDO","INCOMPLETO"))))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2" t="str">
        <x:f>IF(COUNTA(A44:L44)=0,"",IF(AND(ISNUMBER(H44),H44&lt;0),"REVISAR",IF(AND(A44&lt;&gt;"",COUNTIF($A$5:$A$204,A44)&gt;1),"REVISAR",IF(AND(D44="No",E44="Sí"),"REVISAR",IF(AND(E44="No",K44&lt;&gt;"",I44&lt;&gt;""),"EXCLUIDO",IF(AND(A44&lt;&gt;"",B44&lt;&gt;"",C44&lt;&gt;"",D44="Sí",E44="Sí",OR(F44="Correcto",F44="Incorrecto"),G44&lt;&gt;"",ISNUMBER(H44),H44&gt;=0,I44&lt;&gt;"",J44&lt;&gt;""),"VÁLIDO","INCOMPLETO"))))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2" t="str">
        <x:f>IF(COUNTA(A45:L45)=0,"",IF(AND(ISNUMBER(H45),H45&lt;0),"REVISAR",IF(AND(A45&lt;&gt;"",COUNTIF($A$5:$A$204,A45)&gt;1),"REVISAR",IF(AND(D45="No",E45="Sí"),"REVISAR",IF(AND(E45="No",K45&lt;&gt;"",I45&lt;&gt;""),"EXCLUIDO",IF(AND(A45&lt;&gt;"",B45&lt;&gt;"",C45&lt;&gt;"",D45="Sí",E45="Sí",OR(F45="Correcto",F45="Incorrecto"),G45&lt;&gt;"",ISNUMBER(H45),H45&gt;=0,I45&lt;&gt;"",J45&lt;&gt;""),"VÁLIDO","INCOMPLETO"))))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2" t="str">
        <x:f>IF(COUNTA(A46:L46)=0,"",IF(AND(ISNUMBER(H46),H46&lt;0),"REVISAR",IF(AND(A46&lt;&gt;"",COUNTIF($A$5:$A$204,A46)&gt;1),"REVISAR",IF(AND(D46="No",E46="Sí"),"REVISAR",IF(AND(E46="No",K46&lt;&gt;"",I46&lt;&gt;""),"EXCLUIDO",IF(AND(A46&lt;&gt;"",B46&lt;&gt;"",C46&lt;&gt;"",D46="Sí",E46="Sí",OR(F46="Correcto",F46="Incorrecto"),G46&lt;&gt;"",ISNUMBER(H46),H46&gt;=0,I46&lt;&gt;"",J46&lt;&gt;""),"VÁLIDO","INCOMPLETO"))))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2" t="str">
        <x:f>IF(COUNTA(A47:L47)=0,"",IF(AND(ISNUMBER(H47),H47&lt;0),"REVISAR",IF(AND(A47&lt;&gt;"",COUNTIF($A$5:$A$204,A47)&gt;1),"REVISAR",IF(AND(D47="No",E47="Sí"),"REVISAR",IF(AND(E47="No",K47&lt;&gt;"",I47&lt;&gt;""),"EXCLUIDO",IF(AND(A47&lt;&gt;"",B47&lt;&gt;"",C47&lt;&gt;"",D47="Sí",E47="Sí",OR(F47="Correcto",F47="Incorrecto"),G47&lt;&gt;"",ISNUMBER(H47),H47&gt;=0,I47&lt;&gt;"",J47&lt;&gt;""),"VÁLIDO","INCOMPLETO"))))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2" t="str">
        <x:f>IF(COUNTA(A48:L48)=0,"",IF(AND(ISNUMBER(H48),H48&lt;0),"REVISAR",IF(AND(A48&lt;&gt;"",COUNTIF($A$5:$A$204,A48)&gt;1),"REVISAR",IF(AND(D48="No",E48="Sí"),"REVISAR",IF(AND(E48="No",K48&lt;&gt;"",I48&lt;&gt;""),"EXCLUIDO",IF(AND(A48&lt;&gt;"",B48&lt;&gt;"",C48&lt;&gt;"",D48="Sí",E48="Sí",OR(F48="Correcto",F48="Incorrecto"),G48&lt;&gt;"",ISNUMBER(H48),H48&gt;=0,I48&lt;&gt;"",J48&lt;&gt;""),"VÁLIDO","INCOMPLETO"))))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2" t="str">
        <x:f>IF(COUNTA(A49:L49)=0,"",IF(AND(ISNUMBER(H49),H49&lt;0),"REVISAR",IF(AND(A49&lt;&gt;"",COUNTIF($A$5:$A$204,A49)&gt;1),"REVISAR",IF(AND(D49="No",E49="Sí"),"REVISAR",IF(AND(E49="No",K49&lt;&gt;"",I49&lt;&gt;""),"EXCLUIDO",IF(AND(A49&lt;&gt;"",B49&lt;&gt;"",C49&lt;&gt;"",D49="Sí",E49="Sí",OR(F49="Correcto",F49="Incorrecto"),G49&lt;&gt;"",ISNUMBER(H49),H49&gt;=0,I49&lt;&gt;"",J49&lt;&gt;""),"VÁLIDO","INCOMPLETO"))))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2" t="str">
        <x:f>IF(COUNTA(A50:L50)=0,"",IF(AND(ISNUMBER(H50),H50&lt;0),"REVISAR",IF(AND(A50&lt;&gt;"",COUNTIF($A$5:$A$204,A50)&gt;1),"REVISAR",IF(AND(D50="No",E50="Sí"),"REVISAR",IF(AND(E50="No",K50&lt;&gt;"",I50&lt;&gt;""),"EXCLUIDO",IF(AND(A50&lt;&gt;"",B50&lt;&gt;"",C50&lt;&gt;"",D50="Sí",E50="Sí",OR(F50="Correcto",F50="Incorrecto"),G50&lt;&gt;"",ISNUMBER(H50),H50&gt;=0,I50&lt;&gt;"",J50&lt;&gt;""),"VÁLIDO","INCOMPLETO"))))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2" t="str">
        <x:f>IF(COUNTA(A51:L51)=0,"",IF(AND(ISNUMBER(H51),H51&lt;0),"REVISAR",IF(AND(A51&lt;&gt;"",COUNTIF($A$5:$A$204,A51)&gt;1),"REVISAR",IF(AND(D51="No",E51="Sí"),"REVISAR",IF(AND(E51="No",K51&lt;&gt;"",I51&lt;&gt;""),"EXCLUIDO",IF(AND(A51&lt;&gt;"",B51&lt;&gt;"",C51&lt;&gt;"",D51="Sí",E51="Sí",OR(F51="Correcto",F51="Incorrecto"),G51&lt;&gt;"",ISNUMBER(H51),H51&gt;=0,I51&lt;&gt;"",J51&lt;&gt;""),"VÁLIDO","INCOMPLETO"))))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2" t="str">
        <x:f>IF(COUNTA(A52:L52)=0,"",IF(AND(ISNUMBER(H52),H52&lt;0),"REVISAR",IF(AND(A52&lt;&gt;"",COUNTIF($A$5:$A$204,A52)&gt;1),"REVISAR",IF(AND(D52="No",E52="Sí"),"REVISAR",IF(AND(E52="No",K52&lt;&gt;"",I52&lt;&gt;""),"EXCLUIDO",IF(AND(A52&lt;&gt;"",B52&lt;&gt;"",C52&lt;&gt;"",D52="Sí",E52="Sí",OR(F52="Correcto",F52="Incorrecto"),G52&lt;&gt;"",ISNUMBER(H52),H52&gt;=0,I52&lt;&gt;"",J52&lt;&gt;""),"VÁLIDO","INCOMPLETO"))))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2" t="str">
        <x:f>IF(COUNTA(A53:L53)=0,"",IF(AND(ISNUMBER(H53),H53&lt;0),"REVISAR",IF(AND(A53&lt;&gt;"",COUNTIF($A$5:$A$204,A53)&gt;1),"REVISAR",IF(AND(D53="No",E53="Sí"),"REVISAR",IF(AND(E53="No",K53&lt;&gt;"",I53&lt;&gt;""),"EXCLUIDO",IF(AND(A53&lt;&gt;"",B53&lt;&gt;"",C53&lt;&gt;"",D53="Sí",E53="Sí",OR(F53="Correcto",F53="Incorrecto"),G53&lt;&gt;"",ISNUMBER(H53),H53&gt;=0,I53&lt;&gt;"",J53&lt;&gt;""),"VÁLIDO","INCOMPLETO"))))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2" t="str">
        <x:f>IF(COUNTA(A54:L54)=0,"",IF(AND(ISNUMBER(H54),H54&lt;0),"REVISAR",IF(AND(A54&lt;&gt;"",COUNTIF($A$5:$A$204,A54)&gt;1),"REVISAR",IF(AND(D54="No",E54="Sí"),"REVISAR",IF(AND(E54="No",K54&lt;&gt;"",I54&lt;&gt;""),"EXCLUIDO",IF(AND(A54&lt;&gt;"",B54&lt;&gt;"",C54&lt;&gt;"",D54="Sí",E54="Sí",OR(F54="Correcto",F54="Incorrecto"),G54&lt;&gt;"",ISNUMBER(H54),H54&gt;=0,I54&lt;&gt;"",J54&lt;&gt;""),"VÁLIDO","INCOMPLETO"))))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2" t="str">
        <x:f>IF(COUNTA(A55:L55)=0,"",IF(AND(ISNUMBER(H55),H55&lt;0),"REVISAR",IF(AND(A55&lt;&gt;"",COUNTIF($A$5:$A$204,A55)&gt;1),"REVISAR",IF(AND(D55="No",E55="Sí"),"REVISAR",IF(AND(E55="No",K55&lt;&gt;"",I55&lt;&gt;""),"EXCLUIDO",IF(AND(A55&lt;&gt;"",B55&lt;&gt;"",C55&lt;&gt;"",D55="Sí",E55="Sí",OR(F55="Correcto",F55="Incorrecto"),G55&lt;&gt;"",ISNUMBER(H55),H55&gt;=0,I55&lt;&gt;"",J55&lt;&gt;""),"VÁLIDO","INCOMPLETO"))))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2" t="str">
        <x:f>IF(COUNTA(A56:L56)=0,"",IF(AND(ISNUMBER(H56),H56&lt;0),"REVISAR",IF(AND(A56&lt;&gt;"",COUNTIF($A$5:$A$204,A56)&gt;1),"REVISAR",IF(AND(D56="No",E56="Sí"),"REVISAR",IF(AND(E56="No",K56&lt;&gt;"",I56&lt;&gt;""),"EXCLUIDO",IF(AND(A56&lt;&gt;"",B56&lt;&gt;"",C56&lt;&gt;"",D56="Sí",E56="Sí",OR(F56="Correcto",F56="Incorrecto"),G56&lt;&gt;"",ISNUMBER(H56),H56&gt;=0,I56&lt;&gt;"",J56&lt;&gt;""),"VÁLIDO","INCOMPLETO"))))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2" t="str">
        <x:f>IF(COUNTA(A57:L57)=0,"",IF(AND(ISNUMBER(H57),H57&lt;0),"REVISAR",IF(AND(A57&lt;&gt;"",COUNTIF($A$5:$A$204,A57)&gt;1),"REVISAR",IF(AND(D57="No",E57="Sí"),"REVISAR",IF(AND(E57="No",K57&lt;&gt;"",I57&lt;&gt;""),"EXCLUIDO",IF(AND(A57&lt;&gt;"",B57&lt;&gt;"",C57&lt;&gt;"",D57="Sí",E57="Sí",OR(F57="Correcto",F57="Incorrecto"),G57&lt;&gt;"",ISNUMBER(H57),H57&gt;=0,I57&lt;&gt;"",J57&lt;&gt;""),"VÁLIDO","INCOMPLETO"))))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2" t="str">
        <x:f>IF(COUNTA(A58:L58)=0,"",IF(AND(ISNUMBER(H58),H58&lt;0),"REVISAR",IF(AND(A58&lt;&gt;"",COUNTIF($A$5:$A$204,A58)&gt;1),"REVISAR",IF(AND(D58="No",E58="Sí"),"REVISAR",IF(AND(E58="No",K58&lt;&gt;"",I58&lt;&gt;""),"EXCLUIDO",IF(AND(A58&lt;&gt;"",B58&lt;&gt;"",C58&lt;&gt;"",D58="Sí",E58="Sí",OR(F58="Correcto",F58="Incorrecto"),G58&lt;&gt;"",ISNUMBER(H58),H58&gt;=0,I58&lt;&gt;"",J58&lt;&gt;""),"VÁLIDO","INCOMPLETO"))))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2" t="str">
        <x:f>IF(COUNTA(A59:L59)=0,"",IF(AND(ISNUMBER(H59),H59&lt;0),"REVISAR",IF(AND(A59&lt;&gt;"",COUNTIF($A$5:$A$204,A59)&gt;1),"REVISAR",IF(AND(D59="No",E59="Sí"),"REVISAR",IF(AND(E59="No",K59&lt;&gt;"",I59&lt;&gt;""),"EXCLUIDO",IF(AND(A59&lt;&gt;"",B59&lt;&gt;"",C59&lt;&gt;"",D59="Sí",E59="Sí",OR(F59="Correcto",F59="Incorrecto"),G59&lt;&gt;"",ISNUMBER(H59),H59&gt;=0,I59&lt;&gt;"",J59&lt;&gt;""),"VÁLIDO","INCOMPLETO"))))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2" t="str">
        <x:f>IF(COUNTA(A60:L60)=0,"",IF(AND(ISNUMBER(H60),H60&lt;0),"REVISAR",IF(AND(A60&lt;&gt;"",COUNTIF($A$5:$A$204,A60)&gt;1),"REVISAR",IF(AND(D60="No",E60="Sí"),"REVISAR",IF(AND(E60="No",K60&lt;&gt;"",I60&lt;&gt;""),"EXCLUIDO",IF(AND(A60&lt;&gt;"",B60&lt;&gt;"",C60&lt;&gt;"",D60="Sí",E60="Sí",OR(F60="Correcto",F60="Incorrecto"),G60&lt;&gt;"",ISNUMBER(H60),H60&gt;=0,I60&lt;&gt;"",J60&lt;&gt;""),"VÁLIDO","INCOMPLETO"))))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2" t="str">
        <x:f>IF(COUNTA(A61:L61)=0,"",IF(AND(ISNUMBER(H61),H61&lt;0),"REVISAR",IF(AND(A61&lt;&gt;"",COUNTIF($A$5:$A$204,A61)&gt;1),"REVISAR",IF(AND(D61="No",E61="Sí"),"REVISAR",IF(AND(E61="No",K61&lt;&gt;"",I61&lt;&gt;""),"EXCLUIDO",IF(AND(A61&lt;&gt;"",B61&lt;&gt;"",C61&lt;&gt;"",D61="Sí",E61="Sí",OR(F61="Correcto",F61="Incorrecto"),G61&lt;&gt;"",ISNUMBER(H61),H61&gt;=0,I61&lt;&gt;"",J61&lt;&gt;""),"VÁLIDO","INCOMPLETO"))))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2" t="str">
        <x:f>IF(COUNTA(A62:L62)=0,"",IF(AND(ISNUMBER(H62),H62&lt;0),"REVISAR",IF(AND(A62&lt;&gt;"",COUNTIF($A$5:$A$204,A62)&gt;1),"REVISAR",IF(AND(D62="No",E62="Sí"),"REVISAR",IF(AND(E62="No",K62&lt;&gt;"",I62&lt;&gt;""),"EXCLUIDO",IF(AND(A62&lt;&gt;"",B62&lt;&gt;"",C62&lt;&gt;"",D62="Sí",E62="Sí",OR(F62="Correcto",F62="Incorrecto"),G62&lt;&gt;"",ISNUMBER(H62),H62&gt;=0,I62&lt;&gt;"",J62&lt;&gt;""),"VÁLIDO","INCOMPLETO"))))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2" t="str">
        <x:f>IF(COUNTA(A63:L63)=0,"",IF(AND(ISNUMBER(H63),H63&lt;0),"REVISAR",IF(AND(A63&lt;&gt;"",COUNTIF($A$5:$A$204,A63)&gt;1),"REVISAR",IF(AND(D63="No",E63="Sí"),"REVISAR",IF(AND(E63="No",K63&lt;&gt;"",I63&lt;&gt;""),"EXCLUIDO",IF(AND(A63&lt;&gt;"",B63&lt;&gt;"",C63&lt;&gt;"",D63="Sí",E63="Sí",OR(F63="Correcto",F63="Incorrecto"),G63&lt;&gt;"",ISNUMBER(H63),H63&gt;=0,I63&lt;&gt;"",J63&lt;&gt;""),"VÁLIDO","INCOMPLETO"))))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2" t="str">
        <x:f>IF(COUNTA(A64:L64)=0,"",IF(AND(ISNUMBER(H64),H64&lt;0),"REVISAR",IF(AND(A64&lt;&gt;"",COUNTIF($A$5:$A$204,A64)&gt;1),"REVISAR",IF(AND(D64="No",E64="Sí"),"REVISAR",IF(AND(E64="No",K64&lt;&gt;"",I64&lt;&gt;""),"EXCLUIDO",IF(AND(A64&lt;&gt;"",B64&lt;&gt;"",C64&lt;&gt;"",D64="Sí",E64="Sí",OR(F64="Correcto",F64="Incorrecto"),G64&lt;&gt;"",ISNUMBER(H64),H64&gt;=0,I64&lt;&gt;"",J64&lt;&gt;""),"VÁLIDO","INCOMPLETO"))))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2" t="str">
        <x:f>IF(COUNTA(A65:L65)=0,"",IF(AND(ISNUMBER(H65),H65&lt;0),"REVISAR",IF(AND(A65&lt;&gt;"",COUNTIF($A$5:$A$204,A65)&gt;1),"REVISAR",IF(AND(D65="No",E65="Sí"),"REVISAR",IF(AND(E65="No",K65&lt;&gt;"",I65&lt;&gt;""),"EXCLUIDO",IF(AND(A65&lt;&gt;"",B65&lt;&gt;"",C65&lt;&gt;"",D65="Sí",E65="Sí",OR(F65="Correcto",F65="Incorrecto"),G65&lt;&gt;"",ISNUMBER(H65),H65&gt;=0,I65&lt;&gt;"",J65&lt;&gt;""),"VÁLIDO","INCOMPLETO"))))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2" t="str">
        <x:f>IF(COUNTA(A66:L66)=0,"",IF(AND(ISNUMBER(H66),H66&lt;0),"REVISAR",IF(AND(A66&lt;&gt;"",COUNTIF($A$5:$A$204,A66)&gt;1),"REVISAR",IF(AND(D66="No",E66="Sí"),"REVISAR",IF(AND(E66="No",K66&lt;&gt;"",I66&lt;&gt;""),"EXCLUIDO",IF(AND(A66&lt;&gt;"",B66&lt;&gt;"",C66&lt;&gt;"",D66="Sí",E66="Sí",OR(F66="Correcto",F66="Incorrecto"),G66&lt;&gt;"",ISNUMBER(H66),H66&gt;=0,I66&lt;&gt;"",J66&lt;&gt;""),"VÁLIDO","INCOMPLETO"))))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2" t="str">
        <x:f>IF(COUNTA(A67:L67)=0,"",IF(AND(ISNUMBER(H67),H67&lt;0),"REVISAR",IF(AND(A67&lt;&gt;"",COUNTIF($A$5:$A$204,A67)&gt;1),"REVISAR",IF(AND(D67="No",E67="Sí"),"REVISAR",IF(AND(E67="No",K67&lt;&gt;"",I67&lt;&gt;""),"EXCLUIDO",IF(AND(A67&lt;&gt;"",B67&lt;&gt;"",C67&lt;&gt;"",D67="Sí",E67="Sí",OR(F67="Correcto",F67="Incorrecto"),G67&lt;&gt;"",ISNUMBER(H67),H67&gt;=0,I67&lt;&gt;"",J67&lt;&gt;""),"VÁLIDO","INCOMPLETO"))))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2" t="str">
        <x:f>IF(COUNTA(A68:L68)=0,"",IF(AND(ISNUMBER(H68),H68&lt;0),"REVISAR",IF(AND(A68&lt;&gt;"",COUNTIF($A$5:$A$204,A68)&gt;1),"REVISAR",IF(AND(D68="No",E68="Sí"),"REVISAR",IF(AND(E68="No",K68&lt;&gt;"",I68&lt;&gt;""),"EXCLUIDO",IF(AND(A68&lt;&gt;"",B68&lt;&gt;"",C68&lt;&gt;"",D68="Sí",E68="Sí",OR(F68="Correcto",F68="Incorrecto"),G68&lt;&gt;"",ISNUMBER(H68),H68&gt;=0,I68&lt;&gt;"",J68&lt;&gt;""),"VÁLIDO","INCOMPLETO"))))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2" t="str">
        <x:f>IF(COUNTA(A69:L69)=0,"",IF(AND(ISNUMBER(H69),H69&lt;0),"REVISAR",IF(AND(A69&lt;&gt;"",COUNTIF($A$5:$A$204,A69)&gt;1),"REVISAR",IF(AND(D69="No",E69="Sí"),"REVISAR",IF(AND(E69="No",K69&lt;&gt;"",I69&lt;&gt;""),"EXCLUIDO",IF(AND(A69&lt;&gt;"",B69&lt;&gt;"",C69&lt;&gt;"",D69="Sí",E69="Sí",OR(F69="Correcto",F69="Incorrecto"),G69&lt;&gt;"",ISNUMBER(H69),H69&gt;=0,I69&lt;&gt;"",J69&lt;&gt;""),"VÁLIDO","INCOMPLETO"))))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2" t="str">
        <x:f>IF(COUNTA(A70:L70)=0,"",IF(AND(ISNUMBER(H70),H70&lt;0),"REVISAR",IF(AND(A70&lt;&gt;"",COUNTIF($A$5:$A$204,A70)&gt;1),"REVISAR",IF(AND(D70="No",E70="Sí"),"REVISAR",IF(AND(E70="No",K70&lt;&gt;"",I70&lt;&gt;""),"EXCLUIDO",IF(AND(A70&lt;&gt;"",B70&lt;&gt;"",C70&lt;&gt;"",D70="Sí",E70="Sí",OR(F70="Correcto",F70="Incorrecto"),G70&lt;&gt;"",ISNUMBER(H70),H70&gt;=0,I70&lt;&gt;"",J70&lt;&gt;""),"VÁLIDO","INCOMPLETO"))))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2" t="str">
        <x:f>IF(COUNTA(A71:L71)=0,"",IF(AND(ISNUMBER(H71),H71&lt;0),"REVISAR",IF(AND(A71&lt;&gt;"",COUNTIF($A$5:$A$204,A71)&gt;1),"REVISAR",IF(AND(D71="No",E71="Sí"),"REVISAR",IF(AND(E71="No",K71&lt;&gt;"",I71&lt;&gt;""),"EXCLUIDO",IF(AND(A71&lt;&gt;"",B71&lt;&gt;"",C71&lt;&gt;"",D71="Sí",E71="Sí",OR(F71="Correcto",F71="Incorrecto"),G71&lt;&gt;"",ISNUMBER(H71),H71&gt;=0,I71&lt;&gt;"",J71&lt;&gt;""),"VÁLIDO","INCOMPLETO"))))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2" t="str">
        <x:f>IF(COUNTA(A72:L72)=0,"",IF(AND(ISNUMBER(H72),H72&lt;0),"REVISAR",IF(AND(A72&lt;&gt;"",COUNTIF($A$5:$A$204,A72)&gt;1),"REVISAR",IF(AND(D72="No",E72="Sí"),"REVISAR",IF(AND(E72="No",K72&lt;&gt;"",I72&lt;&gt;""),"EXCLUIDO",IF(AND(A72&lt;&gt;"",B72&lt;&gt;"",C72&lt;&gt;"",D72="Sí",E72="Sí",OR(F72="Correcto",F72="Incorrecto"),G72&lt;&gt;"",ISNUMBER(H72),H72&gt;=0,I72&lt;&gt;"",J72&lt;&gt;""),"VÁLIDO","INCOMPLETO"))))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2" t="str">
        <x:f>IF(COUNTA(A73:L73)=0,"",IF(AND(ISNUMBER(H73),H73&lt;0),"REVISAR",IF(AND(A73&lt;&gt;"",COUNTIF($A$5:$A$204,A73)&gt;1),"REVISAR",IF(AND(D73="No",E73="Sí"),"REVISAR",IF(AND(E73="No",K73&lt;&gt;"",I73&lt;&gt;""),"EXCLUIDO",IF(AND(A73&lt;&gt;"",B73&lt;&gt;"",C73&lt;&gt;"",D73="Sí",E73="Sí",OR(F73="Correcto",F73="Incorrecto"),G73&lt;&gt;"",ISNUMBER(H73),H73&gt;=0,I73&lt;&gt;"",J73&lt;&gt;""),"VÁLIDO","INCOMPLETO"))))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2" t="str">
        <x:f>IF(COUNTA(A74:L74)=0,"",IF(AND(ISNUMBER(H74),H74&lt;0),"REVISAR",IF(AND(A74&lt;&gt;"",COUNTIF($A$5:$A$204,A74)&gt;1),"REVISAR",IF(AND(D74="No",E74="Sí"),"REVISAR",IF(AND(E74="No",K74&lt;&gt;"",I74&lt;&gt;""),"EXCLUIDO",IF(AND(A74&lt;&gt;"",B74&lt;&gt;"",C74&lt;&gt;"",D74="Sí",E74="Sí",OR(F74="Correcto",F74="Incorrecto"),G74&lt;&gt;"",ISNUMBER(H74),H74&gt;=0,I74&lt;&gt;"",J74&lt;&gt;""),"VÁLIDO","INCOMPLETO"))))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2" t="str">
        <x:f>IF(COUNTA(A75:L75)=0,"",IF(AND(ISNUMBER(H75),H75&lt;0),"REVISAR",IF(AND(A75&lt;&gt;"",COUNTIF($A$5:$A$204,A75)&gt;1),"REVISAR",IF(AND(D75="No",E75="Sí"),"REVISAR",IF(AND(E75="No",K75&lt;&gt;"",I75&lt;&gt;""),"EXCLUIDO",IF(AND(A75&lt;&gt;"",B75&lt;&gt;"",C75&lt;&gt;"",D75="Sí",E75="Sí",OR(F75="Correcto",F75="Incorrecto"),G75&lt;&gt;"",ISNUMBER(H75),H75&gt;=0,I75&lt;&gt;"",J75&lt;&gt;""),"VÁLIDO","INCOMPLETO"))))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2" t="str">
        <x:f>IF(COUNTA(A76:L76)=0,"",IF(AND(ISNUMBER(H76),H76&lt;0),"REVISAR",IF(AND(A76&lt;&gt;"",COUNTIF($A$5:$A$204,A76)&gt;1),"REVISAR",IF(AND(D76="No",E76="Sí"),"REVISAR",IF(AND(E76="No",K76&lt;&gt;"",I76&lt;&gt;""),"EXCLUIDO",IF(AND(A76&lt;&gt;"",B76&lt;&gt;"",C76&lt;&gt;"",D76="Sí",E76="Sí",OR(F76="Correcto",F76="Incorrecto"),G76&lt;&gt;"",ISNUMBER(H76),H76&gt;=0,I76&lt;&gt;"",J76&lt;&gt;""),"VÁLIDO","INCOMPLETO"))))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2" t="str">
        <x:f>IF(COUNTA(A77:L77)=0,"",IF(AND(ISNUMBER(H77),H77&lt;0),"REVISAR",IF(AND(A77&lt;&gt;"",COUNTIF($A$5:$A$204,A77)&gt;1),"REVISAR",IF(AND(D77="No",E77="Sí"),"REVISAR",IF(AND(E77="No",K77&lt;&gt;"",I77&lt;&gt;""),"EXCLUIDO",IF(AND(A77&lt;&gt;"",B77&lt;&gt;"",C77&lt;&gt;"",D77="Sí",E77="Sí",OR(F77="Correcto",F77="Incorrecto"),G77&lt;&gt;"",ISNUMBER(H77),H77&gt;=0,I77&lt;&gt;"",J77&lt;&gt;""),"VÁLIDO","INCOMPLETO"))))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2" t="str">
        <x:f>IF(COUNTA(A78:L78)=0,"",IF(AND(ISNUMBER(H78),H78&lt;0),"REVISAR",IF(AND(A78&lt;&gt;"",COUNTIF($A$5:$A$204,A78)&gt;1),"REVISAR",IF(AND(D78="No",E78="Sí"),"REVISAR",IF(AND(E78="No",K78&lt;&gt;"",I78&lt;&gt;""),"EXCLUIDO",IF(AND(A78&lt;&gt;"",B78&lt;&gt;"",C78&lt;&gt;"",D78="Sí",E78="Sí",OR(F78="Correcto",F78="Incorrecto"),G78&lt;&gt;"",ISNUMBER(H78),H78&gt;=0,I78&lt;&gt;"",J78&lt;&gt;""),"VÁLIDO","INCOMPLETO"))))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2" t="str">
        <x:f>IF(COUNTA(A79:L79)=0,"",IF(AND(ISNUMBER(H79),H79&lt;0),"REVISAR",IF(AND(A79&lt;&gt;"",COUNTIF($A$5:$A$204,A79)&gt;1),"REVISAR",IF(AND(D79="No",E79="Sí"),"REVISAR",IF(AND(E79="No",K79&lt;&gt;"",I79&lt;&gt;""),"EXCLUIDO",IF(AND(A79&lt;&gt;"",B79&lt;&gt;"",C79&lt;&gt;"",D79="Sí",E79="Sí",OR(F79="Correcto",F79="Incorrecto"),G79&lt;&gt;"",ISNUMBER(H79),H79&gt;=0,I79&lt;&gt;"",J79&lt;&gt;""),"VÁLIDO","INCOMPLETO"))))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2" t="str">
        <x:f>IF(COUNTA(A80:L80)=0,"",IF(AND(ISNUMBER(H80),H80&lt;0),"REVISAR",IF(AND(A80&lt;&gt;"",COUNTIF($A$5:$A$204,A80)&gt;1),"REVISAR",IF(AND(D80="No",E80="Sí"),"REVISAR",IF(AND(E80="No",K80&lt;&gt;"",I80&lt;&gt;""),"EXCLUIDO",IF(AND(A80&lt;&gt;"",B80&lt;&gt;"",C80&lt;&gt;"",D80="Sí",E80="Sí",OR(F80="Correcto",F80="Incorrecto"),G80&lt;&gt;"",ISNUMBER(H80),H80&gt;=0,I80&lt;&gt;"",J80&lt;&gt;""),"VÁLIDO","INCOMPLETO"))))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2" t="str">
        <x:f>IF(COUNTA(A81:L81)=0,"",IF(AND(ISNUMBER(H81),H81&lt;0),"REVISAR",IF(AND(A81&lt;&gt;"",COUNTIF($A$5:$A$204,A81)&gt;1),"REVISAR",IF(AND(D81="No",E81="Sí"),"REVISAR",IF(AND(E81="No",K81&lt;&gt;"",I81&lt;&gt;""),"EXCLUIDO",IF(AND(A81&lt;&gt;"",B81&lt;&gt;"",C81&lt;&gt;"",D81="Sí",E81="Sí",OR(F81="Correcto",F81="Incorrecto"),G81&lt;&gt;"",ISNUMBER(H81),H81&gt;=0,I81&lt;&gt;"",J81&lt;&gt;""),"VÁLIDO","INCOMPLETO"))))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2" t="str">
        <x:f>IF(COUNTA(A82:L82)=0,"",IF(AND(ISNUMBER(H82),H82&lt;0),"REVISAR",IF(AND(A82&lt;&gt;"",COUNTIF($A$5:$A$204,A82)&gt;1),"REVISAR",IF(AND(D82="No",E82="Sí"),"REVISAR",IF(AND(E82="No",K82&lt;&gt;"",I82&lt;&gt;""),"EXCLUIDO",IF(AND(A82&lt;&gt;"",B82&lt;&gt;"",C82&lt;&gt;"",D82="Sí",E82="Sí",OR(F82="Correcto",F82="Incorrecto"),G82&lt;&gt;"",ISNUMBER(H82),H82&gt;=0,I82&lt;&gt;"",J82&lt;&gt;""),"VÁLIDO","INCOMPLETO"))))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2" t="str">
        <x:f>IF(COUNTA(A83:L83)=0,"",IF(AND(ISNUMBER(H83),H83&lt;0),"REVISAR",IF(AND(A83&lt;&gt;"",COUNTIF($A$5:$A$204,A83)&gt;1),"REVISAR",IF(AND(D83="No",E83="Sí"),"REVISAR",IF(AND(E83="No",K83&lt;&gt;"",I83&lt;&gt;""),"EXCLUIDO",IF(AND(A83&lt;&gt;"",B83&lt;&gt;"",C83&lt;&gt;"",D83="Sí",E83="Sí",OR(F83="Correcto",F83="Incorrecto"),G83&lt;&gt;"",ISNUMBER(H83),H83&gt;=0,I83&lt;&gt;"",J83&lt;&gt;""),"VÁLIDO","INCOMPLETO"))))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2" t="str">
        <x:f>IF(COUNTA(A84:L84)=0,"",IF(AND(ISNUMBER(H84),H84&lt;0),"REVISAR",IF(AND(A84&lt;&gt;"",COUNTIF($A$5:$A$204,A84)&gt;1),"REVISAR",IF(AND(D84="No",E84="Sí"),"REVISAR",IF(AND(E84="No",K84&lt;&gt;"",I84&lt;&gt;""),"EXCLUIDO",IF(AND(A84&lt;&gt;"",B84&lt;&gt;"",C84&lt;&gt;"",D84="Sí",E84="Sí",OR(F84="Correcto",F84="Incorrecto"),G84&lt;&gt;"",ISNUMBER(H84),H84&gt;=0,I84&lt;&gt;"",J84&lt;&gt;""),"VÁLIDO","INCOMPLETO"))))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2" t="str">
        <x:f>IF(COUNTA(A85:L85)=0,"",IF(AND(ISNUMBER(H85),H85&lt;0),"REVISAR",IF(AND(A85&lt;&gt;"",COUNTIF($A$5:$A$204,A85)&gt;1),"REVISAR",IF(AND(D85="No",E85="Sí"),"REVISAR",IF(AND(E85="No",K85&lt;&gt;"",I85&lt;&gt;""),"EXCLUIDO",IF(AND(A85&lt;&gt;"",B85&lt;&gt;"",C85&lt;&gt;"",D85="Sí",E85="Sí",OR(F85="Correcto",F85="Incorrecto"),G85&lt;&gt;"",ISNUMBER(H85),H85&gt;=0,I85&lt;&gt;"",J85&lt;&gt;""),"VÁLIDO","INCOMPLETO"))))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2" t="str">
        <x:f>IF(COUNTA(A86:L86)=0,"",IF(AND(ISNUMBER(H86),H86&lt;0),"REVISAR",IF(AND(A86&lt;&gt;"",COUNTIF($A$5:$A$204,A86)&gt;1),"REVISAR",IF(AND(D86="No",E86="Sí"),"REVISAR",IF(AND(E86="No",K86&lt;&gt;"",I86&lt;&gt;""),"EXCLUIDO",IF(AND(A86&lt;&gt;"",B86&lt;&gt;"",C86&lt;&gt;"",D86="Sí",E86="Sí",OR(F86="Correcto",F86="Incorrecto"),G86&lt;&gt;"",ISNUMBER(H86),H86&gt;=0,I86&lt;&gt;"",J86&lt;&gt;""),"VÁLIDO","INCOMPLETO"))))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2" t="str">
        <x:f>IF(COUNTA(A87:L87)=0,"",IF(AND(ISNUMBER(H87),H87&lt;0),"REVISAR",IF(AND(A87&lt;&gt;"",COUNTIF($A$5:$A$204,A87)&gt;1),"REVISAR",IF(AND(D87="No",E87="Sí"),"REVISAR",IF(AND(E87="No",K87&lt;&gt;"",I87&lt;&gt;""),"EXCLUIDO",IF(AND(A87&lt;&gt;"",B87&lt;&gt;"",C87&lt;&gt;"",D87="Sí",E87="Sí",OR(F87="Correcto",F87="Incorrecto"),G87&lt;&gt;"",ISNUMBER(H87),H87&gt;=0,I87&lt;&gt;"",J87&lt;&gt;""),"VÁLIDO","INCOMPLETO"))))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2" t="str">
        <x:f>IF(COUNTA(A88:L88)=0,"",IF(AND(ISNUMBER(H88),H88&lt;0),"REVISAR",IF(AND(A88&lt;&gt;"",COUNTIF($A$5:$A$204,A88)&gt;1),"REVISAR",IF(AND(D88="No",E88="Sí"),"REVISAR",IF(AND(E88="No",K88&lt;&gt;"",I88&lt;&gt;""),"EXCLUIDO",IF(AND(A88&lt;&gt;"",B88&lt;&gt;"",C88&lt;&gt;"",D88="Sí",E88="Sí",OR(F88="Correcto",F88="Incorrecto"),G88&lt;&gt;"",ISNUMBER(H88),H88&gt;=0,I88&lt;&gt;"",J88&lt;&gt;""),"VÁLIDO","INCOMPLETO"))))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2" t="str">
        <x:f>IF(COUNTA(A89:L89)=0,"",IF(AND(ISNUMBER(H89),H89&lt;0),"REVISAR",IF(AND(A89&lt;&gt;"",COUNTIF($A$5:$A$204,A89)&gt;1),"REVISAR",IF(AND(D89="No",E89="Sí"),"REVISAR",IF(AND(E89="No",K89&lt;&gt;"",I89&lt;&gt;""),"EXCLUIDO",IF(AND(A89&lt;&gt;"",B89&lt;&gt;"",C89&lt;&gt;"",D89="Sí",E89="Sí",OR(F89="Correcto",F89="Incorrecto"),G89&lt;&gt;"",ISNUMBER(H89),H89&gt;=0,I89&lt;&gt;"",J89&lt;&gt;""),"VÁLIDO","INCOMPLETO"))))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2" t="str">
        <x:f>IF(COUNTA(A90:L90)=0,"",IF(AND(ISNUMBER(H90),H90&lt;0),"REVISAR",IF(AND(A90&lt;&gt;"",COUNTIF($A$5:$A$204,A90)&gt;1),"REVISAR",IF(AND(D90="No",E90="Sí"),"REVISAR",IF(AND(E90="No",K90&lt;&gt;"",I90&lt;&gt;""),"EXCLUIDO",IF(AND(A90&lt;&gt;"",B90&lt;&gt;"",C90&lt;&gt;"",D90="Sí",E90="Sí",OR(F90="Correcto",F90="Incorrecto"),G90&lt;&gt;"",ISNUMBER(H90),H90&gt;=0,I90&lt;&gt;"",J90&lt;&gt;""),"VÁLIDO","INCOMPLETO"))))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2" t="str">
        <x:f>IF(COUNTA(A91:L91)=0,"",IF(AND(ISNUMBER(H91),H91&lt;0),"REVISAR",IF(AND(A91&lt;&gt;"",COUNTIF($A$5:$A$204,A91)&gt;1),"REVISAR",IF(AND(D91="No",E91="Sí"),"REVISAR",IF(AND(E91="No",K91&lt;&gt;"",I91&lt;&gt;""),"EXCLUIDO",IF(AND(A91&lt;&gt;"",B91&lt;&gt;"",C91&lt;&gt;"",D91="Sí",E91="Sí",OR(F91="Correcto",F91="Incorrecto"),G91&lt;&gt;"",ISNUMBER(H91),H91&gt;=0,I91&lt;&gt;"",J91&lt;&gt;""),"VÁLIDO","INCOMPLETO"))))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2" t="str">
        <x:f>IF(COUNTA(A92:L92)=0,"",IF(AND(ISNUMBER(H92),H92&lt;0),"REVISAR",IF(AND(A92&lt;&gt;"",COUNTIF($A$5:$A$204,A92)&gt;1),"REVISAR",IF(AND(D92="No",E92="Sí"),"REVISAR",IF(AND(E92="No",K92&lt;&gt;"",I92&lt;&gt;""),"EXCLUIDO",IF(AND(A92&lt;&gt;"",B92&lt;&gt;"",C92&lt;&gt;"",D92="Sí",E92="Sí",OR(F92="Correcto",F92="Incorrecto"),G92&lt;&gt;"",ISNUMBER(H92),H92&gt;=0,I92&lt;&gt;"",J92&lt;&gt;""),"VÁLIDO","INCOMPLETO"))))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2" t="str">
        <x:f>IF(COUNTA(A93:L93)=0,"",IF(AND(ISNUMBER(H93),H93&lt;0),"REVISAR",IF(AND(A93&lt;&gt;"",COUNTIF($A$5:$A$204,A93)&gt;1),"REVISAR",IF(AND(D93="No",E93="Sí"),"REVISAR",IF(AND(E93="No",K93&lt;&gt;"",I93&lt;&gt;""),"EXCLUIDO",IF(AND(A93&lt;&gt;"",B93&lt;&gt;"",C93&lt;&gt;"",D93="Sí",E93="Sí",OR(F93="Correcto",F93="Incorrecto"),G93&lt;&gt;"",ISNUMBER(H93),H93&gt;=0,I93&lt;&gt;"",J93&lt;&gt;""),"VÁLIDO","INCOMPLETO"))))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2" t="str">
        <x:f>IF(COUNTA(A94:L94)=0,"",IF(AND(ISNUMBER(H94),H94&lt;0),"REVISAR",IF(AND(A94&lt;&gt;"",COUNTIF($A$5:$A$204,A94)&gt;1),"REVISAR",IF(AND(D94="No",E94="Sí"),"REVISAR",IF(AND(E94="No",K94&lt;&gt;"",I94&lt;&gt;""),"EXCLUIDO",IF(AND(A94&lt;&gt;"",B94&lt;&gt;"",C94&lt;&gt;"",D94="Sí",E94="Sí",OR(F94="Correcto",F94="Incorrecto"),G94&lt;&gt;"",ISNUMBER(H94),H94&gt;=0,I94&lt;&gt;"",J94&lt;&gt;""),"VÁLIDO","INCOMPLETO"))))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2" t="str">
        <x:f>IF(COUNTA(A95:L95)=0,"",IF(AND(ISNUMBER(H95),H95&lt;0),"REVISAR",IF(AND(A95&lt;&gt;"",COUNTIF($A$5:$A$204,A95)&gt;1),"REVISAR",IF(AND(D95="No",E95="Sí"),"REVISAR",IF(AND(E95="No",K95&lt;&gt;"",I95&lt;&gt;""),"EXCLUIDO",IF(AND(A95&lt;&gt;"",B95&lt;&gt;"",C95&lt;&gt;"",D95="Sí",E95="Sí",OR(F95="Correcto",F95="Incorrecto"),G95&lt;&gt;"",ISNUMBER(H95),H95&gt;=0,I95&lt;&gt;"",J95&lt;&gt;""),"VÁLIDO","INCOMPLETO"))))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2" t="str">
        <x:f>IF(COUNTA(A96:L96)=0,"",IF(AND(ISNUMBER(H96),H96&lt;0),"REVISAR",IF(AND(A96&lt;&gt;"",COUNTIF($A$5:$A$204,A96)&gt;1),"REVISAR",IF(AND(D96="No",E96="Sí"),"REVISAR",IF(AND(E96="No",K96&lt;&gt;"",I96&lt;&gt;""),"EXCLUIDO",IF(AND(A96&lt;&gt;"",B96&lt;&gt;"",C96&lt;&gt;"",D96="Sí",E96="Sí",OR(F96="Correcto",F96="Incorrecto"),G96&lt;&gt;"",ISNUMBER(H96),H96&gt;=0,I96&lt;&gt;"",J96&lt;&gt;""),"VÁLIDO","INCOMPLETO"))))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2" t="str">
        <x:f>IF(COUNTA(A97:L97)=0,"",IF(AND(ISNUMBER(H97),H97&lt;0),"REVISAR",IF(AND(A97&lt;&gt;"",COUNTIF($A$5:$A$204,A97)&gt;1),"REVISAR",IF(AND(D97="No",E97="Sí"),"REVISAR",IF(AND(E97="No",K97&lt;&gt;"",I97&lt;&gt;""),"EXCLUIDO",IF(AND(A97&lt;&gt;"",B97&lt;&gt;"",C97&lt;&gt;"",D97="Sí",E97="Sí",OR(F97="Correcto",F97="Incorrecto"),G97&lt;&gt;"",ISNUMBER(H97),H97&gt;=0,I97&lt;&gt;"",J97&lt;&gt;""),"VÁLIDO","INCOMPLETO"))))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2" t="str">
        <x:f>IF(COUNTA(A98:L98)=0,"",IF(AND(ISNUMBER(H98),H98&lt;0),"REVISAR",IF(AND(A98&lt;&gt;"",COUNTIF($A$5:$A$204,A98)&gt;1),"REVISAR",IF(AND(D98="No",E98="Sí"),"REVISAR",IF(AND(E98="No",K98&lt;&gt;"",I98&lt;&gt;""),"EXCLUIDO",IF(AND(A98&lt;&gt;"",B98&lt;&gt;"",C98&lt;&gt;"",D98="Sí",E98="Sí",OR(F98="Correcto",F98="Incorrecto"),G98&lt;&gt;"",ISNUMBER(H98),H98&gt;=0,I98&lt;&gt;"",J98&lt;&gt;""),"VÁLIDO","INCOMPLETO"))))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2" t="str">
        <x:f>IF(COUNTA(A99:L99)=0,"",IF(AND(ISNUMBER(H99),H99&lt;0),"REVISAR",IF(AND(A99&lt;&gt;"",COUNTIF($A$5:$A$204,A99)&gt;1),"REVISAR",IF(AND(D99="No",E99="Sí"),"REVISAR",IF(AND(E99="No",K99&lt;&gt;"",I99&lt;&gt;""),"EXCLUIDO",IF(AND(A99&lt;&gt;"",B99&lt;&gt;"",C99&lt;&gt;"",D99="Sí",E99="Sí",OR(F99="Correcto",F99="Incorrecto"),G99&lt;&gt;"",ISNUMBER(H99),H99&gt;=0,I99&lt;&gt;"",J99&lt;&gt;""),"VÁLIDO","INCOMPLETO"))))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2" t="str">
        <x:f>IF(COUNTA(A100:L100)=0,"",IF(AND(ISNUMBER(H100),H100&lt;0),"REVISAR",IF(AND(A100&lt;&gt;"",COUNTIF($A$5:$A$204,A100)&gt;1),"REVISAR",IF(AND(D100="No",E100="Sí"),"REVISAR",IF(AND(E100="No",K100&lt;&gt;"",I100&lt;&gt;""),"EXCLUIDO",IF(AND(A100&lt;&gt;"",B100&lt;&gt;"",C100&lt;&gt;"",D100="Sí",E100="Sí",OR(F100="Correcto",F100="Incorrecto"),G100&lt;&gt;"",ISNUMBER(H100),H100&gt;=0,I100&lt;&gt;"",J100&lt;&gt;""),"VÁLIDO","INCOMPLETO"))))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2" t="str">
        <x:f>IF(COUNTA(A101:L101)=0,"",IF(AND(ISNUMBER(H101),H101&lt;0),"REVISAR",IF(AND(A101&lt;&gt;"",COUNTIF($A$5:$A$204,A101)&gt;1),"REVISAR",IF(AND(D101="No",E101="Sí"),"REVISAR",IF(AND(E101="No",K101&lt;&gt;"",I101&lt;&gt;""),"EXCLUIDO",IF(AND(A101&lt;&gt;"",B101&lt;&gt;"",C101&lt;&gt;"",D101="Sí",E101="Sí",OR(F101="Correcto",F101="Incorrecto"),G101&lt;&gt;"",ISNUMBER(H101),H101&gt;=0,I101&lt;&gt;"",J101&lt;&gt;""),"VÁLIDO","INCOMPLETO"))))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2" t="str">
        <x:f>IF(COUNTA(A102:L102)=0,"",IF(AND(ISNUMBER(H102),H102&lt;0),"REVISAR",IF(AND(A102&lt;&gt;"",COUNTIF($A$5:$A$204,A102)&gt;1),"REVISAR",IF(AND(D102="No",E102="Sí"),"REVISAR",IF(AND(E102="No",K102&lt;&gt;"",I102&lt;&gt;""),"EXCLUIDO",IF(AND(A102&lt;&gt;"",B102&lt;&gt;"",C102&lt;&gt;"",D102="Sí",E102="Sí",OR(F102="Correcto",F102="Incorrecto"),G102&lt;&gt;"",ISNUMBER(H102),H102&gt;=0,I102&lt;&gt;"",J102&lt;&gt;""),"VÁLIDO","INCOMPLETO"))))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2" t="str">
        <x:f>IF(COUNTA(A103:L103)=0,"",IF(AND(ISNUMBER(H103),H103&lt;0),"REVISAR",IF(AND(A103&lt;&gt;"",COUNTIF($A$5:$A$204,A103)&gt;1),"REVISAR",IF(AND(D103="No",E103="Sí"),"REVISAR",IF(AND(E103="No",K103&lt;&gt;"",I103&lt;&gt;""),"EXCLUIDO",IF(AND(A103&lt;&gt;"",B103&lt;&gt;"",C103&lt;&gt;"",D103="Sí",E103="Sí",OR(F103="Correcto",F103="Incorrecto"),G103&lt;&gt;"",ISNUMBER(H103),H103&gt;=0,I103&lt;&gt;"",J103&lt;&gt;""),"VÁLIDO","INCOMPLETO"))))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2" t="str">
        <x:f>IF(COUNTA(A104:L104)=0,"",IF(AND(ISNUMBER(H104),H104&lt;0),"REVISAR",IF(AND(A104&lt;&gt;"",COUNTIF($A$5:$A$204,A104)&gt;1),"REVISAR",IF(AND(D104="No",E104="Sí"),"REVISAR",IF(AND(E104="No",K104&lt;&gt;"",I104&lt;&gt;""),"EXCLUIDO",IF(AND(A104&lt;&gt;"",B104&lt;&gt;"",C104&lt;&gt;"",D104="Sí",E104="Sí",OR(F104="Correcto",F104="Incorrecto"),G104&lt;&gt;"",ISNUMBER(H104),H104&gt;=0,I104&lt;&gt;"",J104&lt;&gt;""),"VÁLIDO","INCOMPLETO"))))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2" t="str">
        <x:f>IF(COUNTA(A105:L105)=0,"",IF(AND(ISNUMBER(H105),H105&lt;0),"REVISAR",IF(AND(A105&lt;&gt;"",COUNTIF($A$5:$A$204,A105)&gt;1),"REVISAR",IF(AND(D105="No",E105="Sí"),"REVISAR",IF(AND(E105="No",K105&lt;&gt;"",I105&lt;&gt;""),"EXCLUIDO",IF(AND(A105&lt;&gt;"",B105&lt;&gt;"",C105&lt;&gt;"",D105="Sí",E105="Sí",OR(F105="Correcto",F105="Incorrecto"),G105&lt;&gt;"",ISNUMBER(H105),H105&gt;=0,I105&lt;&gt;"",J105&lt;&gt;""),"VÁLIDO","INCOMPLETO"))))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2" t="str">
        <x:f>IF(COUNTA(A106:L106)=0,"",IF(AND(ISNUMBER(H106),H106&lt;0),"REVISAR",IF(AND(A106&lt;&gt;"",COUNTIF($A$5:$A$204,A106)&gt;1),"REVISAR",IF(AND(D106="No",E106="Sí"),"REVISAR",IF(AND(E106="No",K106&lt;&gt;"",I106&lt;&gt;""),"EXCLUIDO",IF(AND(A106&lt;&gt;"",B106&lt;&gt;"",C106&lt;&gt;"",D106="Sí",E106="Sí",OR(F106="Correcto",F106="Incorrecto"),G106&lt;&gt;"",ISNUMBER(H106),H106&gt;=0,I106&lt;&gt;"",J106&lt;&gt;""),"VÁLIDO","INCOMPLETO"))))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2" t="str">
        <x:f>IF(COUNTA(A107:L107)=0,"",IF(AND(ISNUMBER(H107),H107&lt;0),"REVISAR",IF(AND(A107&lt;&gt;"",COUNTIF($A$5:$A$204,A107)&gt;1),"REVISAR",IF(AND(D107="No",E107="Sí"),"REVISAR",IF(AND(E107="No",K107&lt;&gt;"",I107&lt;&gt;""),"EXCLUIDO",IF(AND(A107&lt;&gt;"",B107&lt;&gt;"",C107&lt;&gt;"",D107="Sí",E107="Sí",OR(F107="Correcto",F107="Incorrecto"),G107&lt;&gt;"",ISNUMBER(H107),H107&gt;=0,I107&lt;&gt;"",J107&lt;&gt;""),"VÁLIDO","INCOMPLETO"))))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2" t="str">
        <x:f>IF(COUNTA(A108:L108)=0,"",IF(AND(ISNUMBER(H108),H108&lt;0),"REVISAR",IF(AND(A108&lt;&gt;"",COUNTIF($A$5:$A$204,A108)&gt;1),"REVISAR",IF(AND(D108="No",E108="Sí"),"REVISAR",IF(AND(E108="No",K108&lt;&gt;"",I108&lt;&gt;""),"EXCLUIDO",IF(AND(A108&lt;&gt;"",B108&lt;&gt;"",C108&lt;&gt;"",D108="Sí",E108="Sí",OR(F108="Correcto",F108="Incorrecto"),G108&lt;&gt;"",ISNUMBER(H108),H108&gt;=0,I108&lt;&gt;"",J108&lt;&gt;""),"VÁLIDO","INCOMPLETO"))))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2" t="str">
        <x:f>IF(COUNTA(A109:L109)=0,"",IF(AND(ISNUMBER(H109),H109&lt;0),"REVISAR",IF(AND(A109&lt;&gt;"",COUNTIF($A$5:$A$204,A109)&gt;1),"REVISAR",IF(AND(D109="No",E109="Sí"),"REVISAR",IF(AND(E109="No",K109&lt;&gt;"",I109&lt;&gt;""),"EXCLUIDO",IF(AND(A109&lt;&gt;"",B109&lt;&gt;"",C109&lt;&gt;"",D109="Sí",E109="Sí",OR(F109="Correcto",F109="Incorrecto"),G109&lt;&gt;"",ISNUMBER(H109),H109&gt;=0,I109&lt;&gt;"",J109&lt;&gt;""),"VÁLIDO","INCOMPLETO"))))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2" t="str">
        <x:f>IF(COUNTA(A110:L110)=0,"",IF(AND(ISNUMBER(H110),H110&lt;0),"REVISAR",IF(AND(A110&lt;&gt;"",COUNTIF($A$5:$A$204,A110)&gt;1),"REVISAR",IF(AND(D110="No",E110="Sí"),"REVISAR",IF(AND(E110="No",K110&lt;&gt;"",I110&lt;&gt;""),"EXCLUIDO",IF(AND(A110&lt;&gt;"",B110&lt;&gt;"",C110&lt;&gt;"",D110="Sí",E110="Sí",OR(F110="Correcto",F110="Incorrecto"),G110&lt;&gt;"",ISNUMBER(H110),H110&gt;=0,I110&lt;&gt;"",J110&lt;&gt;""),"VÁLIDO","INCOMPLETO"))))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2" t="str">
        <x:f>IF(COUNTA(A111:L111)=0,"",IF(AND(ISNUMBER(H111),H111&lt;0),"REVISAR",IF(AND(A111&lt;&gt;"",COUNTIF($A$5:$A$204,A111)&gt;1),"REVISAR",IF(AND(D111="No",E111="Sí"),"REVISAR",IF(AND(E111="No",K111&lt;&gt;"",I111&lt;&gt;""),"EXCLUIDO",IF(AND(A111&lt;&gt;"",B111&lt;&gt;"",C111&lt;&gt;"",D111="Sí",E111="Sí",OR(F111="Correcto",F111="Incorrecto"),G111&lt;&gt;"",ISNUMBER(H111),H111&gt;=0,I111&lt;&gt;"",J111&lt;&gt;""),"VÁLIDO","INCOMPLETO"))))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2" t="str">
        <x:f>IF(COUNTA(A112:L112)=0,"",IF(AND(ISNUMBER(H112),H112&lt;0),"REVISAR",IF(AND(A112&lt;&gt;"",COUNTIF($A$5:$A$204,A112)&gt;1),"REVISAR",IF(AND(D112="No",E112="Sí"),"REVISAR",IF(AND(E112="No",K112&lt;&gt;"",I112&lt;&gt;""),"EXCLUIDO",IF(AND(A112&lt;&gt;"",B112&lt;&gt;"",C112&lt;&gt;"",D112="Sí",E112="Sí",OR(F112="Correcto",F112="Incorrecto"),G112&lt;&gt;"",ISNUMBER(H112),H112&gt;=0,I112&lt;&gt;"",J112&lt;&gt;""),"VÁLIDO","INCOMPLETO"))))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2" t="str">
        <x:f>IF(COUNTA(A113:L113)=0,"",IF(AND(ISNUMBER(H113),H113&lt;0),"REVISAR",IF(AND(A113&lt;&gt;"",COUNTIF($A$5:$A$204,A113)&gt;1),"REVISAR",IF(AND(D113="No",E113="Sí"),"REVISAR",IF(AND(E113="No",K113&lt;&gt;"",I113&lt;&gt;""),"EXCLUIDO",IF(AND(A113&lt;&gt;"",B113&lt;&gt;"",C113&lt;&gt;"",D113="Sí",E113="Sí",OR(F113="Correcto",F113="Incorrecto"),G113&lt;&gt;"",ISNUMBER(H113),H113&gt;=0,I113&lt;&gt;"",J113&lt;&gt;""),"VÁLIDO","INCOMPLETO"))))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2" t="str">
        <x:f>IF(COUNTA(A114:L114)=0,"",IF(AND(ISNUMBER(H114),H114&lt;0),"REVISAR",IF(AND(A114&lt;&gt;"",COUNTIF($A$5:$A$204,A114)&gt;1),"REVISAR",IF(AND(D114="No",E114="Sí"),"REVISAR",IF(AND(E114="No",K114&lt;&gt;"",I114&lt;&gt;""),"EXCLUIDO",IF(AND(A114&lt;&gt;"",B114&lt;&gt;"",C114&lt;&gt;"",D114="Sí",E114="Sí",OR(F114="Correcto",F114="Incorrecto"),G114&lt;&gt;"",ISNUMBER(H114),H114&gt;=0,I114&lt;&gt;"",J114&lt;&gt;""),"VÁLIDO","INCOMPLETO"))))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2" t="str">
        <x:f>IF(COUNTA(A115:L115)=0,"",IF(AND(ISNUMBER(H115),H115&lt;0),"REVISAR",IF(AND(A115&lt;&gt;"",COUNTIF($A$5:$A$204,A115)&gt;1),"REVISAR",IF(AND(D115="No",E115="Sí"),"REVISAR",IF(AND(E115="No",K115&lt;&gt;"",I115&lt;&gt;""),"EXCLUIDO",IF(AND(A115&lt;&gt;"",B115&lt;&gt;"",C115&lt;&gt;"",D115="Sí",E115="Sí",OR(F115="Correcto",F115="Incorrecto"),G115&lt;&gt;"",ISNUMBER(H115),H115&gt;=0,I115&lt;&gt;"",J115&lt;&gt;""),"VÁLIDO","INCOMPLETO"))))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2" t="str">
        <x:f>IF(COUNTA(A116:L116)=0,"",IF(AND(ISNUMBER(H116),H116&lt;0),"REVISAR",IF(AND(A116&lt;&gt;"",COUNTIF($A$5:$A$204,A116)&gt;1),"REVISAR",IF(AND(D116="No",E116="Sí"),"REVISAR",IF(AND(E116="No",K116&lt;&gt;"",I116&lt;&gt;""),"EXCLUIDO",IF(AND(A116&lt;&gt;"",B116&lt;&gt;"",C116&lt;&gt;"",D116="Sí",E116="Sí",OR(F116="Correcto",F116="Incorrecto"),G116&lt;&gt;"",ISNUMBER(H116),H116&gt;=0,I116&lt;&gt;"",J116&lt;&gt;""),"VÁLIDO","INCOMPLETO"))))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2" t="str">
        <x:f>IF(COUNTA(A117:L117)=0,"",IF(AND(ISNUMBER(H117),H117&lt;0),"REVISAR",IF(AND(A117&lt;&gt;"",COUNTIF($A$5:$A$204,A117)&gt;1),"REVISAR",IF(AND(D117="No",E117="Sí"),"REVISAR",IF(AND(E117="No",K117&lt;&gt;"",I117&lt;&gt;""),"EXCLUIDO",IF(AND(A117&lt;&gt;"",B117&lt;&gt;"",C117&lt;&gt;"",D117="Sí",E117="Sí",OR(F117="Correcto",F117="Incorrecto"),G117&lt;&gt;"",ISNUMBER(H117),H117&gt;=0,I117&lt;&gt;"",J117&lt;&gt;""),"VÁLIDO","INCOMPLETO"))))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2" t="str">
        <x:f>IF(COUNTA(A118:L118)=0,"",IF(AND(ISNUMBER(H118),H118&lt;0),"REVISAR",IF(AND(A118&lt;&gt;"",COUNTIF($A$5:$A$204,A118)&gt;1),"REVISAR",IF(AND(D118="No",E118="Sí"),"REVISAR",IF(AND(E118="No",K118&lt;&gt;"",I118&lt;&gt;""),"EXCLUIDO",IF(AND(A118&lt;&gt;"",B118&lt;&gt;"",C118&lt;&gt;"",D118="Sí",E118="Sí",OR(F118="Correcto",F118="Incorrecto"),G118&lt;&gt;"",ISNUMBER(H118),H118&gt;=0,I118&lt;&gt;"",J118&lt;&gt;""),"VÁLIDO","INCOMPLETO"))))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2" t="str">
        <x:f>IF(COUNTA(A119:L119)=0,"",IF(AND(ISNUMBER(H119),H119&lt;0),"REVISAR",IF(AND(A119&lt;&gt;"",COUNTIF($A$5:$A$204,A119)&gt;1),"REVISAR",IF(AND(D119="No",E119="Sí"),"REVISAR",IF(AND(E119="No",K119&lt;&gt;"",I119&lt;&gt;""),"EXCLUIDO",IF(AND(A119&lt;&gt;"",B119&lt;&gt;"",C119&lt;&gt;"",D119="Sí",E119="Sí",OR(F119="Correcto",F119="Incorrecto"),G119&lt;&gt;"",ISNUMBER(H119),H119&gt;=0,I119&lt;&gt;"",J119&lt;&gt;""),"VÁLIDO","INCOMPLETO"))))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2" t="str">
        <x:f>IF(COUNTA(A120:L120)=0,"",IF(AND(ISNUMBER(H120),H120&lt;0),"REVISAR",IF(AND(A120&lt;&gt;"",COUNTIF($A$5:$A$204,A120)&gt;1),"REVISAR",IF(AND(D120="No",E120="Sí"),"REVISAR",IF(AND(E120="No",K120&lt;&gt;"",I120&lt;&gt;""),"EXCLUIDO",IF(AND(A120&lt;&gt;"",B120&lt;&gt;"",C120&lt;&gt;"",D120="Sí",E120="Sí",OR(F120="Correcto",F120="Incorrecto"),G120&lt;&gt;"",ISNUMBER(H120),H120&gt;=0,I120&lt;&gt;"",J120&lt;&gt;""),"VÁLIDO","INCOMPLETO"))))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2" t="str">
        <x:f>IF(COUNTA(A121:L121)=0,"",IF(AND(ISNUMBER(H121),H121&lt;0),"REVISAR",IF(AND(A121&lt;&gt;"",COUNTIF($A$5:$A$204,A121)&gt;1),"REVISAR",IF(AND(D121="No",E121="Sí"),"REVISAR",IF(AND(E121="No",K121&lt;&gt;"",I121&lt;&gt;""),"EXCLUIDO",IF(AND(A121&lt;&gt;"",B121&lt;&gt;"",C121&lt;&gt;"",D121="Sí",E121="Sí",OR(F121="Correcto",F121="Incorrecto"),G121&lt;&gt;"",ISNUMBER(H121),H121&gt;=0,I121&lt;&gt;"",J121&lt;&gt;""),"VÁLIDO","INCOMPLETO"))))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2" t="str">
        <x:f>IF(COUNTA(A122:L122)=0,"",IF(AND(ISNUMBER(H122),H122&lt;0),"REVISAR",IF(AND(A122&lt;&gt;"",COUNTIF($A$5:$A$204,A122)&gt;1),"REVISAR",IF(AND(D122="No",E122="Sí"),"REVISAR",IF(AND(E122="No",K122&lt;&gt;"",I122&lt;&gt;""),"EXCLUIDO",IF(AND(A122&lt;&gt;"",B122&lt;&gt;"",C122&lt;&gt;"",D122="Sí",E122="Sí",OR(F122="Correcto",F122="Incorrecto"),G122&lt;&gt;"",ISNUMBER(H122),H122&gt;=0,I122&lt;&gt;"",J122&lt;&gt;""),"VÁLIDO","INCOMPLETO"))))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2" t="str">
        <x:f>IF(COUNTA(A123:L123)=0,"",IF(AND(ISNUMBER(H123),H123&lt;0),"REVISAR",IF(AND(A123&lt;&gt;"",COUNTIF($A$5:$A$204,A123)&gt;1),"REVISAR",IF(AND(D123="No",E123="Sí"),"REVISAR",IF(AND(E123="No",K123&lt;&gt;"",I123&lt;&gt;""),"EXCLUIDO",IF(AND(A123&lt;&gt;"",B123&lt;&gt;"",C123&lt;&gt;"",D123="Sí",E123="Sí",OR(F123="Correcto",F123="Incorrecto"),G123&lt;&gt;"",ISNUMBER(H123),H123&gt;=0,I123&lt;&gt;"",J123&lt;&gt;""),"VÁLIDO","INCOMPLETO"))))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2" t="str">
        <x:f>IF(COUNTA(A124:L124)=0,"",IF(AND(ISNUMBER(H124),H124&lt;0),"REVISAR",IF(AND(A124&lt;&gt;"",COUNTIF($A$5:$A$204,A124)&gt;1),"REVISAR",IF(AND(D124="No",E124="Sí"),"REVISAR",IF(AND(E124="No",K124&lt;&gt;"",I124&lt;&gt;""),"EXCLUIDO",IF(AND(A124&lt;&gt;"",B124&lt;&gt;"",C124&lt;&gt;"",D124="Sí",E124="Sí",OR(F124="Correcto",F124="Incorrecto"),G124&lt;&gt;"",ISNUMBER(H124),H124&gt;=0,I124&lt;&gt;"",J124&lt;&gt;""),"VÁLIDO","INCOMPLETO"))))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2" t="str">
        <x:f>IF(COUNTA(A125:L125)=0,"",IF(AND(ISNUMBER(H125),H125&lt;0),"REVISAR",IF(AND(A125&lt;&gt;"",COUNTIF($A$5:$A$204,A125)&gt;1),"REVISAR",IF(AND(D125="No",E125="Sí"),"REVISAR",IF(AND(E125="No",K125&lt;&gt;"",I125&lt;&gt;""),"EXCLUIDO",IF(AND(A125&lt;&gt;"",B125&lt;&gt;"",C125&lt;&gt;"",D125="Sí",E125="Sí",OR(F125="Correcto",F125="Incorrecto"),G125&lt;&gt;"",ISNUMBER(H125),H125&gt;=0,I125&lt;&gt;"",J125&lt;&gt;""),"VÁLIDO","INCOMPLETO"))))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2" t="str">
        <x:f>IF(COUNTA(A126:L126)=0,"",IF(AND(ISNUMBER(H126),H126&lt;0),"REVISAR",IF(AND(A126&lt;&gt;"",COUNTIF($A$5:$A$204,A126)&gt;1),"REVISAR",IF(AND(D126="No",E126="Sí"),"REVISAR",IF(AND(E126="No",K126&lt;&gt;"",I126&lt;&gt;""),"EXCLUIDO",IF(AND(A126&lt;&gt;"",B126&lt;&gt;"",C126&lt;&gt;"",D126="Sí",E126="Sí",OR(F126="Correcto",F126="Incorrecto"),G126&lt;&gt;"",ISNUMBER(H126),H126&gt;=0,I126&lt;&gt;"",J126&lt;&gt;""),"VÁLIDO","INCOMPLETO"))))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2" t="str">
        <x:f>IF(COUNTA(A127:L127)=0,"",IF(AND(ISNUMBER(H127),H127&lt;0),"REVISAR",IF(AND(A127&lt;&gt;"",COUNTIF($A$5:$A$204,A127)&gt;1),"REVISAR",IF(AND(D127="No",E127="Sí"),"REVISAR",IF(AND(E127="No",K127&lt;&gt;"",I127&lt;&gt;""),"EXCLUIDO",IF(AND(A127&lt;&gt;"",B127&lt;&gt;"",C127&lt;&gt;"",D127="Sí",E127="Sí",OR(F127="Correcto",F127="Incorrecto"),G127&lt;&gt;"",ISNUMBER(H127),H127&gt;=0,I127&lt;&gt;"",J127&lt;&gt;""),"VÁLIDO","INCOMPLETO"))))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2" t="str">
        <x:f>IF(COUNTA(A128:L128)=0,"",IF(AND(ISNUMBER(H128),H128&lt;0),"REVISAR",IF(AND(A128&lt;&gt;"",COUNTIF($A$5:$A$204,A128)&gt;1),"REVISAR",IF(AND(D128="No",E128="Sí"),"REVISAR",IF(AND(E128="No",K128&lt;&gt;"",I128&lt;&gt;""),"EXCLUIDO",IF(AND(A128&lt;&gt;"",B128&lt;&gt;"",C128&lt;&gt;"",D128="Sí",E128="Sí",OR(F128="Correcto",F128="Incorrecto"),G128&lt;&gt;"",ISNUMBER(H128),H128&gt;=0,I128&lt;&gt;"",J128&lt;&gt;""),"VÁLIDO","INCOMPLETO"))))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2" t="str">
        <x:f>IF(COUNTA(A129:L129)=0,"",IF(AND(ISNUMBER(H129),H129&lt;0),"REVISAR",IF(AND(A129&lt;&gt;"",COUNTIF($A$5:$A$204,A129)&gt;1),"REVISAR",IF(AND(D129="No",E129="Sí"),"REVISAR",IF(AND(E129="No",K129&lt;&gt;"",I129&lt;&gt;""),"EXCLUIDO",IF(AND(A129&lt;&gt;"",B129&lt;&gt;"",C129&lt;&gt;"",D129="Sí",E129="Sí",OR(F129="Correcto",F129="Incorrecto"),G129&lt;&gt;"",ISNUMBER(H129),H129&gt;=0,I129&lt;&gt;"",J129&lt;&gt;""),"VÁLIDO","INCOMPLETO"))))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2" t="str">
        <x:f>IF(COUNTA(A130:L130)=0,"",IF(AND(ISNUMBER(H130),H130&lt;0),"REVISAR",IF(AND(A130&lt;&gt;"",COUNTIF($A$5:$A$204,A130)&gt;1),"REVISAR",IF(AND(D130="No",E130="Sí"),"REVISAR",IF(AND(E130="No",K130&lt;&gt;"",I130&lt;&gt;""),"EXCLUIDO",IF(AND(A130&lt;&gt;"",B130&lt;&gt;"",C130&lt;&gt;"",D130="Sí",E130="Sí",OR(F130="Correcto",F130="Incorrecto"),G130&lt;&gt;"",ISNUMBER(H130),H130&gt;=0,I130&lt;&gt;"",J130&lt;&gt;""),"VÁLIDO","INCOMPLETO"))))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2" t="str">
        <x:f>IF(COUNTA(A131:L131)=0,"",IF(AND(ISNUMBER(H131),H131&lt;0),"REVISAR",IF(AND(A131&lt;&gt;"",COUNTIF($A$5:$A$204,A131)&gt;1),"REVISAR",IF(AND(D131="No",E131="Sí"),"REVISAR",IF(AND(E131="No",K131&lt;&gt;"",I131&lt;&gt;""),"EXCLUIDO",IF(AND(A131&lt;&gt;"",B131&lt;&gt;"",C131&lt;&gt;"",D131="Sí",E131="Sí",OR(F131="Correcto",F131="Incorrecto"),G131&lt;&gt;"",ISNUMBER(H131),H131&gt;=0,I131&lt;&gt;"",J131&lt;&gt;""),"VÁLIDO","INCOMPLETO"))))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2" t="str">
        <x:f>IF(COUNTA(A132:L132)=0,"",IF(AND(ISNUMBER(H132),H132&lt;0),"REVISAR",IF(AND(A132&lt;&gt;"",COUNTIF($A$5:$A$204,A132)&gt;1),"REVISAR",IF(AND(D132="No",E132="Sí"),"REVISAR",IF(AND(E132="No",K132&lt;&gt;"",I132&lt;&gt;""),"EXCLUIDO",IF(AND(A132&lt;&gt;"",B132&lt;&gt;"",C132&lt;&gt;"",D132="Sí",E132="Sí",OR(F132="Correcto",F132="Incorrecto"),G132&lt;&gt;"",ISNUMBER(H132),H132&gt;=0,I132&lt;&gt;"",J132&lt;&gt;""),"VÁLIDO","INCOMPLETO"))))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2" t="str">
        <x:f>IF(COUNTA(A133:L133)=0,"",IF(AND(ISNUMBER(H133),H133&lt;0),"REVISAR",IF(AND(A133&lt;&gt;"",COUNTIF($A$5:$A$204,A133)&gt;1),"REVISAR",IF(AND(D133="No",E133="Sí"),"REVISAR",IF(AND(E133="No",K133&lt;&gt;"",I133&lt;&gt;""),"EXCLUIDO",IF(AND(A133&lt;&gt;"",B133&lt;&gt;"",C133&lt;&gt;"",D133="Sí",E133="Sí",OR(F133="Correcto",F133="Incorrecto"),G133&lt;&gt;"",ISNUMBER(H133),H133&gt;=0,I133&lt;&gt;"",J133&lt;&gt;""),"VÁLIDO","INCOMPLETO"))))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2" t="str">
        <x:f>IF(COUNTA(A134:L134)=0,"",IF(AND(ISNUMBER(H134),H134&lt;0),"REVISAR",IF(AND(A134&lt;&gt;"",COUNTIF($A$5:$A$204,A134)&gt;1),"REVISAR",IF(AND(D134="No",E134="Sí"),"REVISAR",IF(AND(E134="No",K134&lt;&gt;"",I134&lt;&gt;""),"EXCLUIDO",IF(AND(A134&lt;&gt;"",B134&lt;&gt;"",C134&lt;&gt;"",D134="Sí",E134="Sí",OR(F134="Correcto",F134="Incorrecto"),G134&lt;&gt;"",ISNUMBER(H134),H134&gt;=0,I134&lt;&gt;"",J134&lt;&gt;""),"VÁLIDO","INCOMPLETO"))))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2" t="str">
        <x:f>IF(COUNTA(A135:L135)=0,"",IF(AND(ISNUMBER(H135),H135&lt;0),"REVISAR",IF(AND(A135&lt;&gt;"",COUNTIF($A$5:$A$204,A135)&gt;1),"REVISAR",IF(AND(D135="No",E135="Sí"),"REVISAR",IF(AND(E135="No",K135&lt;&gt;"",I135&lt;&gt;""),"EXCLUIDO",IF(AND(A135&lt;&gt;"",B135&lt;&gt;"",C135&lt;&gt;"",D135="Sí",E135="Sí",OR(F135="Correcto",F135="Incorrecto"),G135&lt;&gt;"",ISNUMBER(H135),H135&gt;=0,I135&lt;&gt;"",J135&lt;&gt;""),"VÁLIDO","INCOMPLETO"))))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2" t="str">
        <x:f>IF(COUNTA(A136:L136)=0,"",IF(AND(ISNUMBER(H136),H136&lt;0),"REVISAR",IF(AND(A136&lt;&gt;"",COUNTIF($A$5:$A$204,A136)&gt;1),"REVISAR",IF(AND(D136="No",E136="Sí"),"REVISAR",IF(AND(E136="No",K136&lt;&gt;"",I136&lt;&gt;""),"EXCLUIDO",IF(AND(A136&lt;&gt;"",B136&lt;&gt;"",C136&lt;&gt;"",D136="Sí",E136="Sí",OR(F136="Correcto",F136="Incorrecto"),G136&lt;&gt;"",ISNUMBER(H136),H136&gt;=0,I136&lt;&gt;"",J136&lt;&gt;""),"VÁLIDO","INCOMPLETO"))))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2" t="str">
        <x:f>IF(COUNTA(A137:L137)=0,"",IF(AND(ISNUMBER(H137),H137&lt;0),"REVISAR",IF(AND(A137&lt;&gt;"",COUNTIF($A$5:$A$204,A137)&gt;1),"REVISAR",IF(AND(D137="No",E137="Sí"),"REVISAR",IF(AND(E137="No",K137&lt;&gt;"",I137&lt;&gt;""),"EXCLUIDO",IF(AND(A137&lt;&gt;"",B137&lt;&gt;"",C137&lt;&gt;"",D137="Sí",E137="Sí",OR(F137="Correcto",F137="Incorrecto"),G137&lt;&gt;"",ISNUMBER(H137),H137&gt;=0,I137&lt;&gt;"",J137&lt;&gt;""),"VÁLIDO","INCOMPLETO"))))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2" t="str">
        <x:f>IF(COUNTA(A138:L138)=0,"",IF(AND(ISNUMBER(H138),H138&lt;0),"REVISAR",IF(AND(A138&lt;&gt;"",COUNTIF($A$5:$A$204,A138)&gt;1),"REVISAR",IF(AND(D138="No",E138="Sí"),"REVISAR",IF(AND(E138="No",K138&lt;&gt;"",I138&lt;&gt;""),"EXCLUIDO",IF(AND(A138&lt;&gt;"",B138&lt;&gt;"",C138&lt;&gt;"",D138="Sí",E138="Sí",OR(F138="Correcto",F138="Incorrecto"),G138&lt;&gt;"",ISNUMBER(H138),H138&gt;=0,I138&lt;&gt;"",J138&lt;&gt;""),"VÁLIDO","INCOMPLETO"))))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2" t="str">
        <x:f>IF(COUNTA(A139:L139)=0,"",IF(AND(ISNUMBER(H139),H139&lt;0),"REVISAR",IF(AND(A139&lt;&gt;"",COUNTIF($A$5:$A$204,A139)&gt;1),"REVISAR",IF(AND(D139="No",E139="Sí"),"REVISAR",IF(AND(E139="No",K139&lt;&gt;"",I139&lt;&gt;""),"EXCLUIDO",IF(AND(A139&lt;&gt;"",B139&lt;&gt;"",C139&lt;&gt;"",D139="Sí",E139="Sí",OR(F139="Correcto",F139="Incorrecto"),G139&lt;&gt;"",ISNUMBER(H139),H139&gt;=0,I139&lt;&gt;"",J139&lt;&gt;""),"VÁLIDO","INCOMPLETO"))))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2" t="str">
        <x:f>IF(COUNTA(A140:L140)=0,"",IF(AND(ISNUMBER(H140),H140&lt;0),"REVISAR",IF(AND(A140&lt;&gt;"",COUNTIF($A$5:$A$204,A140)&gt;1),"REVISAR",IF(AND(D140="No",E140="Sí"),"REVISAR",IF(AND(E140="No",K140&lt;&gt;"",I140&lt;&gt;""),"EXCLUIDO",IF(AND(A140&lt;&gt;"",B140&lt;&gt;"",C140&lt;&gt;"",D140="Sí",E140="Sí",OR(F140="Correcto",F140="Incorrecto"),G140&lt;&gt;"",ISNUMBER(H140),H140&gt;=0,I140&lt;&gt;"",J140&lt;&gt;""),"VÁLIDO","INCOMPLETO"))))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2" t="str">
        <x:f>IF(COUNTA(A141:L141)=0,"",IF(AND(ISNUMBER(H141),H141&lt;0),"REVISAR",IF(AND(A141&lt;&gt;"",COUNTIF($A$5:$A$204,A141)&gt;1),"REVISAR",IF(AND(D141="No",E141="Sí"),"REVISAR",IF(AND(E141="No",K141&lt;&gt;"",I141&lt;&gt;""),"EXCLUIDO",IF(AND(A141&lt;&gt;"",B141&lt;&gt;"",C141&lt;&gt;"",D141="Sí",E141="Sí",OR(F141="Correcto",F141="Incorrecto"),G141&lt;&gt;"",ISNUMBER(H141),H141&gt;=0,I141&lt;&gt;"",J141&lt;&gt;""),"VÁLIDO","INCOMPLETO"))))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2" t="str">
        <x:f>IF(COUNTA(A142:L142)=0,"",IF(AND(ISNUMBER(H142),H142&lt;0),"REVISAR",IF(AND(A142&lt;&gt;"",COUNTIF($A$5:$A$204,A142)&gt;1),"REVISAR",IF(AND(D142="No",E142="Sí"),"REVISAR",IF(AND(E142="No",K142&lt;&gt;"",I142&lt;&gt;""),"EXCLUIDO",IF(AND(A142&lt;&gt;"",B142&lt;&gt;"",C142&lt;&gt;"",D142="Sí",E142="Sí",OR(F142="Correcto",F142="Incorrecto"),G142&lt;&gt;"",ISNUMBER(H142),H142&gt;=0,I142&lt;&gt;"",J142&lt;&gt;""),"VÁLIDO","INCOMPLETO"))))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2" t="str">
        <x:f>IF(COUNTA(A143:L143)=0,"",IF(AND(ISNUMBER(H143),H143&lt;0),"REVISAR",IF(AND(A143&lt;&gt;"",COUNTIF($A$5:$A$204,A143)&gt;1),"REVISAR",IF(AND(D143="No",E143="Sí"),"REVISAR",IF(AND(E143="No",K143&lt;&gt;"",I143&lt;&gt;""),"EXCLUIDO",IF(AND(A143&lt;&gt;"",B143&lt;&gt;"",C143&lt;&gt;"",D143="Sí",E143="Sí",OR(F143="Correcto",F143="Incorrecto"),G143&lt;&gt;"",ISNUMBER(H143),H143&gt;=0,I143&lt;&gt;"",J143&lt;&gt;""),"VÁLIDO","INCOMPLETO"))))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2" t="str">
        <x:f>IF(COUNTA(A144:L144)=0,"",IF(AND(ISNUMBER(H144),H144&lt;0),"REVISAR",IF(AND(A144&lt;&gt;"",COUNTIF($A$5:$A$204,A144)&gt;1),"REVISAR",IF(AND(D144="No",E144="Sí"),"REVISAR",IF(AND(E144="No",K144&lt;&gt;"",I144&lt;&gt;""),"EXCLUIDO",IF(AND(A144&lt;&gt;"",B144&lt;&gt;"",C144&lt;&gt;"",D144="Sí",E144="Sí",OR(F144="Correcto",F144="Incorrecto"),G144&lt;&gt;"",ISNUMBER(H144),H144&gt;=0,I144&lt;&gt;"",J144&lt;&gt;""),"VÁLIDO","INCOMPLETO"))))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2" t="str">
        <x:f>IF(COUNTA(A145:L145)=0,"",IF(AND(ISNUMBER(H145),H145&lt;0),"REVISAR",IF(AND(A145&lt;&gt;"",COUNTIF($A$5:$A$204,A145)&gt;1),"REVISAR",IF(AND(D145="No",E145="Sí"),"REVISAR",IF(AND(E145="No",K145&lt;&gt;"",I145&lt;&gt;""),"EXCLUIDO",IF(AND(A145&lt;&gt;"",B145&lt;&gt;"",C145&lt;&gt;"",D145="Sí",E145="Sí",OR(F145="Correcto",F145="Incorrecto"),G145&lt;&gt;"",ISNUMBER(H145),H145&gt;=0,I145&lt;&gt;"",J145&lt;&gt;""),"VÁLIDO","INCOMPLETO"))))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2" t="str">
        <x:f>IF(COUNTA(A146:L146)=0,"",IF(AND(ISNUMBER(H146),H146&lt;0),"REVISAR",IF(AND(A146&lt;&gt;"",COUNTIF($A$5:$A$204,A146)&gt;1),"REVISAR",IF(AND(D146="No",E146="Sí"),"REVISAR",IF(AND(E146="No",K146&lt;&gt;"",I146&lt;&gt;""),"EXCLUIDO",IF(AND(A146&lt;&gt;"",B146&lt;&gt;"",C146&lt;&gt;"",D146="Sí",E146="Sí",OR(F146="Correcto",F146="Incorrecto"),G146&lt;&gt;"",ISNUMBER(H146),H146&gt;=0,I146&lt;&gt;"",J146&lt;&gt;""),"VÁLIDO","INCOMPLETO"))))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2" t="str">
        <x:f>IF(COUNTA(A147:L147)=0,"",IF(AND(ISNUMBER(H147),H147&lt;0),"REVISAR",IF(AND(A147&lt;&gt;"",COUNTIF($A$5:$A$204,A147)&gt;1),"REVISAR",IF(AND(D147="No",E147="Sí"),"REVISAR",IF(AND(E147="No",K147&lt;&gt;"",I147&lt;&gt;""),"EXCLUIDO",IF(AND(A147&lt;&gt;"",B147&lt;&gt;"",C147&lt;&gt;"",D147="Sí",E147="Sí",OR(F147="Correcto",F147="Incorrecto"),G147&lt;&gt;"",ISNUMBER(H147),H147&gt;=0,I147&lt;&gt;"",J147&lt;&gt;""),"VÁLIDO","INCOMPLETO"))))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2" t="str">
        <x:f>IF(COUNTA(A148:L148)=0,"",IF(AND(ISNUMBER(H148),H148&lt;0),"REVISAR",IF(AND(A148&lt;&gt;"",COUNTIF($A$5:$A$204,A148)&gt;1),"REVISAR",IF(AND(D148="No",E148="Sí"),"REVISAR",IF(AND(E148="No",K148&lt;&gt;"",I148&lt;&gt;""),"EXCLUIDO",IF(AND(A148&lt;&gt;"",B148&lt;&gt;"",C148&lt;&gt;"",D148="Sí",E148="Sí",OR(F148="Correcto",F148="Incorrecto"),G148&lt;&gt;"",ISNUMBER(H148),H148&gt;=0,I148&lt;&gt;"",J148&lt;&gt;""),"VÁLIDO","INCOMPLETO"))))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2" t="str">
        <x:f>IF(COUNTA(A149:L149)=0,"",IF(AND(ISNUMBER(H149),H149&lt;0),"REVISAR",IF(AND(A149&lt;&gt;"",COUNTIF($A$5:$A$204,A149)&gt;1),"REVISAR",IF(AND(D149="No",E149="Sí"),"REVISAR",IF(AND(E149="No",K149&lt;&gt;"",I149&lt;&gt;""),"EXCLUIDO",IF(AND(A149&lt;&gt;"",B149&lt;&gt;"",C149&lt;&gt;"",D149="Sí",E149="Sí",OR(F149="Correcto",F149="Incorrecto"),G149&lt;&gt;"",ISNUMBER(H149),H149&gt;=0,I149&lt;&gt;"",J149&lt;&gt;""),"VÁLIDO","INCOMPLETO"))))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2" t="str">
        <x:f>IF(COUNTA(A150:L150)=0,"",IF(AND(ISNUMBER(H150),H150&lt;0),"REVISAR",IF(AND(A150&lt;&gt;"",COUNTIF($A$5:$A$204,A150)&gt;1),"REVISAR",IF(AND(D150="No",E150="Sí"),"REVISAR",IF(AND(E150="No",K150&lt;&gt;"",I150&lt;&gt;""),"EXCLUIDO",IF(AND(A150&lt;&gt;"",B150&lt;&gt;"",C150&lt;&gt;"",D150="Sí",E150="Sí",OR(F150="Correcto",F150="Incorrecto"),G150&lt;&gt;"",ISNUMBER(H150),H150&gt;=0,I150&lt;&gt;"",J150&lt;&gt;""),"VÁLIDO","INCOMPLETO"))))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2" t="str">
        <x:f>IF(COUNTA(A151:L151)=0,"",IF(AND(ISNUMBER(H151),H151&lt;0),"REVISAR",IF(AND(A151&lt;&gt;"",COUNTIF($A$5:$A$204,A151)&gt;1),"REVISAR",IF(AND(D151="No",E151="Sí"),"REVISAR",IF(AND(E151="No",K151&lt;&gt;"",I151&lt;&gt;""),"EXCLUIDO",IF(AND(A151&lt;&gt;"",B151&lt;&gt;"",C151&lt;&gt;"",D151="Sí",E151="Sí",OR(F151="Correcto",F151="Incorrecto"),G151&lt;&gt;"",ISNUMBER(H151),H151&gt;=0,I151&lt;&gt;"",J151&lt;&gt;""),"VÁLIDO","INCOMPLETO"))))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2" t="str">
        <x:f>IF(COUNTA(A152:L152)=0,"",IF(AND(ISNUMBER(H152),H152&lt;0),"REVISAR",IF(AND(A152&lt;&gt;"",COUNTIF($A$5:$A$204,A152)&gt;1),"REVISAR",IF(AND(D152="No",E152="Sí"),"REVISAR",IF(AND(E152="No",K152&lt;&gt;"",I152&lt;&gt;""),"EXCLUIDO",IF(AND(A152&lt;&gt;"",B152&lt;&gt;"",C152&lt;&gt;"",D152="Sí",E152="Sí",OR(F152="Correcto",F152="Incorrecto"),G152&lt;&gt;"",ISNUMBER(H152),H152&gt;=0,I152&lt;&gt;"",J152&lt;&gt;""),"VÁLIDO","INCOMPLETO"))))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2" t="str">
        <x:f>IF(COUNTA(A153:L153)=0,"",IF(AND(ISNUMBER(H153),H153&lt;0),"REVISAR",IF(AND(A153&lt;&gt;"",COUNTIF($A$5:$A$204,A153)&gt;1),"REVISAR",IF(AND(D153="No",E153="Sí"),"REVISAR",IF(AND(E153="No",K153&lt;&gt;"",I153&lt;&gt;""),"EXCLUIDO",IF(AND(A153&lt;&gt;"",B153&lt;&gt;"",C153&lt;&gt;"",D153="Sí",E153="Sí",OR(F153="Correcto",F153="Incorrecto"),G153&lt;&gt;"",ISNUMBER(H153),H153&gt;=0,I153&lt;&gt;"",J153&lt;&gt;""),"VÁLIDO","INCOMPLETO"))))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2" t="str">
        <x:f>IF(COUNTA(A154:L154)=0,"",IF(AND(ISNUMBER(H154),H154&lt;0),"REVISAR",IF(AND(A154&lt;&gt;"",COUNTIF($A$5:$A$204,A154)&gt;1),"REVISAR",IF(AND(D154="No",E154="Sí"),"REVISAR",IF(AND(E154="No",K154&lt;&gt;"",I154&lt;&gt;""),"EXCLUIDO",IF(AND(A154&lt;&gt;"",B154&lt;&gt;"",C154&lt;&gt;"",D154="Sí",E154="Sí",OR(F154="Correcto",F154="Incorrecto"),G154&lt;&gt;"",ISNUMBER(H154),H154&gt;=0,I154&lt;&gt;"",J154&lt;&gt;""),"VÁLIDO","INCOMPLETO"))))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2" t="str">
        <x:f>IF(COUNTA(A155:L155)=0,"",IF(AND(ISNUMBER(H155),H155&lt;0),"REVISAR",IF(AND(A155&lt;&gt;"",COUNTIF($A$5:$A$204,A155)&gt;1),"REVISAR",IF(AND(D155="No",E155="Sí"),"REVISAR",IF(AND(E155="No",K155&lt;&gt;"",I155&lt;&gt;""),"EXCLUIDO",IF(AND(A155&lt;&gt;"",B155&lt;&gt;"",C155&lt;&gt;"",D155="Sí",E155="Sí",OR(F155="Correcto",F155="Incorrecto"),G155&lt;&gt;"",ISNUMBER(H155),H155&gt;=0,I155&lt;&gt;"",J155&lt;&gt;""),"VÁLIDO","INCOMPLETO"))))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2" t="str">
        <x:f>IF(COUNTA(A156:L156)=0,"",IF(AND(ISNUMBER(H156),H156&lt;0),"REVISAR",IF(AND(A156&lt;&gt;"",COUNTIF($A$5:$A$204,A156)&gt;1),"REVISAR",IF(AND(D156="No",E156="Sí"),"REVISAR",IF(AND(E156="No",K156&lt;&gt;"",I156&lt;&gt;""),"EXCLUIDO",IF(AND(A156&lt;&gt;"",B156&lt;&gt;"",C156&lt;&gt;"",D156="Sí",E156="Sí",OR(F156="Correcto",F156="Incorrecto"),G156&lt;&gt;"",ISNUMBER(H156),H156&gt;=0,I156&lt;&gt;"",J156&lt;&gt;""),"VÁLIDO","INCOMPLETO"))))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2" t="str">
        <x:f>IF(COUNTA(A157:L157)=0,"",IF(AND(ISNUMBER(H157),H157&lt;0),"REVISAR",IF(AND(A157&lt;&gt;"",COUNTIF($A$5:$A$204,A157)&gt;1),"REVISAR",IF(AND(D157="No",E157="Sí"),"REVISAR",IF(AND(E157="No",K157&lt;&gt;"",I157&lt;&gt;""),"EXCLUIDO",IF(AND(A157&lt;&gt;"",B157&lt;&gt;"",C157&lt;&gt;"",D157="Sí",E157="Sí",OR(F157="Correcto",F157="Incorrecto"),G157&lt;&gt;"",ISNUMBER(H157),H157&gt;=0,I157&lt;&gt;"",J157&lt;&gt;""),"VÁLIDO","INCOMPLETO"))))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2" t="str">
        <x:f>IF(COUNTA(A158:L158)=0,"",IF(AND(ISNUMBER(H158),H158&lt;0),"REVISAR",IF(AND(A158&lt;&gt;"",COUNTIF($A$5:$A$204,A158)&gt;1),"REVISAR",IF(AND(D158="No",E158="Sí"),"REVISAR",IF(AND(E158="No",K158&lt;&gt;"",I158&lt;&gt;""),"EXCLUIDO",IF(AND(A158&lt;&gt;"",B158&lt;&gt;"",C158&lt;&gt;"",D158="Sí",E158="Sí",OR(F158="Correcto",F158="Incorrecto"),G158&lt;&gt;"",ISNUMBER(H158),H158&gt;=0,I158&lt;&gt;"",J158&lt;&gt;""),"VÁLIDO","INCOMPLETO"))))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2" t="str">
        <x:f>IF(COUNTA(A159:L159)=0,"",IF(AND(ISNUMBER(H159),H159&lt;0),"REVISAR",IF(AND(A159&lt;&gt;"",COUNTIF($A$5:$A$204,A159)&gt;1),"REVISAR",IF(AND(D159="No",E159="Sí"),"REVISAR",IF(AND(E159="No",K159&lt;&gt;"",I159&lt;&gt;""),"EXCLUIDO",IF(AND(A159&lt;&gt;"",B159&lt;&gt;"",C159&lt;&gt;"",D159="Sí",E159="Sí",OR(F159="Correcto",F159="Incorrecto"),G159&lt;&gt;"",ISNUMBER(H159),H159&gt;=0,I159&lt;&gt;"",J159&lt;&gt;""),"VÁLIDO","INCOMPLETO"))))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2" t="str">
        <x:f>IF(COUNTA(A160:L160)=0,"",IF(AND(ISNUMBER(H160),H160&lt;0),"REVISAR",IF(AND(A160&lt;&gt;"",COUNTIF($A$5:$A$204,A160)&gt;1),"REVISAR",IF(AND(D160="No",E160="Sí"),"REVISAR",IF(AND(E160="No",K160&lt;&gt;"",I160&lt;&gt;""),"EXCLUIDO",IF(AND(A160&lt;&gt;"",B160&lt;&gt;"",C160&lt;&gt;"",D160="Sí",E160="Sí",OR(F160="Correcto",F160="Incorrecto"),G160&lt;&gt;"",ISNUMBER(H160),H160&gt;=0,I160&lt;&gt;"",J160&lt;&gt;""),"VÁLIDO","INCOMPLETO"))))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2" t="str">
        <x:f>IF(COUNTA(A161:L161)=0,"",IF(AND(ISNUMBER(H161),H161&lt;0),"REVISAR",IF(AND(A161&lt;&gt;"",COUNTIF($A$5:$A$204,A161)&gt;1),"REVISAR",IF(AND(D161="No",E161="Sí"),"REVISAR",IF(AND(E161="No",K161&lt;&gt;"",I161&lt;&gt;""),"EXCLUIDO",IF(AND(A161&lt;&gt;"",B161&lt;&gt;"",C161&lt;&gt;"",D161="Sí",E161="Sí",OR(F161="Correcto",F161="Incorrecto"),G161&lt;&gt;"",ISNUMBER(H161),H161&gt;=0,I161&lt;&gt;"",J161&lt;&gt;""),"VÁLIDO","INCOMPLETO"))))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2" t="str">
        <x:f>IF(COUNTA(A162:L162)=0,"",IF(AND(ISNUMBER(H162),H162&lt;0),"REVISAR",IF(AND(A162&lt;&gt;"",COUNTIF($A$5:$A$204,A162)&gt;1),"REVISAR",IF(AND(D162="No",E162="Sí"),"REVISAR",IF(AND(E162="No",K162&lt;&gt;"",I162&lt;&gt;""),"EXCLUIDO",IF(AND(A162&lt;&gt;"",B162&lt;&gt;"",C162&lt;&gt;"",D162="Sí",E162="Sí",OR(F162="Correcto",F162="Incorrecto"),G162&lt;&gt;"",ISNUMBER(H162),H162&gt;=0,I162&lt;&gt;"",J162&lt;&gt;""),"VÁLIDO","INCOMPLETO"))))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2" t="str">
        <x:f>IF(COUNTA(A163:L163)=0,"",IF(AND(ISNUMBER(H163),H163&lt;0),"REVISAR",IF(AND(A163&lt;&gt;"",COUNTIF($A$5:$A$204,A163)&gt;1),"REVISAR",IF(AND(D163="No",E163="Sí"),"REVISAR",IF(AND(E163="No",K163&lt;&gt;"",I163&lt;&gt;""),"EXCLUIDO",IF(AND(A163&lt;&gt;"",B163&lt;&gt;"",C163&lt;&gt;"",D163="Sí",E163="Sí",OR(F163="Correcto",F163="Incorrecto"),G163&lt;&gt;"",ISNUMBER(H163),H163&gt;=0,I163&lt;&gt;"",J163&lt;&gt;""),"VÁLIDO","INCOMPLETO"))))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2" t="str">
        <x:f>IF(COUNTA(A164:L164)=0,"",IF(AND(ISNUMBER(H164),H164&lt;0),"REVISAR",IF(AND(A164&lt;&gt;"",COUNTIF($A$5:$A$204,A164)&gt;1),"REVISAR",IF(AND(D164="No",E164="Sí"),"REVISAR",IF(AND(E164="No",K164&lt;&gt;"",I164&lt;&gt;""),"EXCLUIDO",IF(AND(A164&lt;&gt;"",B164&lt;&gt;"",C164&lt;&gt;"",D164="Sí",E164="Sí",OR(F164="Correcto",F164="Incorrecto"),G164&lt;&gt;"",ISNUMBER(H164),H164&gt;=0,I164&lt;&gt;"",J164&lt;&gt;""),"VÁLIDO","INCOMPLETO"))))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2" t="str">
        <x:f>IF(COUNTA(A165:L165)=0,"",IF(AND(ISNUMBER(H165),H165&lt;0),"REVISAR",IF(AND(A165&lt;&gt;"",COUNTIF($A$5:$A$204,A165)&gt;1),"REVISAR",IF(AND(D165="No",E165="Sí"),"REVISAR",IF(AND(E165="No",K165&lt;&gt;"",I165&lt;&gt;""),"EXCLUIDO",IF(AND(A165&lt;&gt;"",B165&lt;&gt;"",C165&lt;&gt;"",D165="Sí",E165="Sí",OR(F165="Correcto",F165="Incorrecto"),G165&lt;&gt;"",ISNUMBER(H165),H165&gt;=0,I165&lt;&gt;"",J165&lt;&gt;""),"VÁLIDO","INCOMPLETO"))))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2" t="str">
        <x:f>IF(COUNTA(A166:L166)=0,"",IF(AND(ISNUMBER(H166),H166&lt;0),"REVISAR",IF(AND(A166&lt;&gt;"",COUNTIF($A$5:$A$204,A166)&gt;1),"REVISAR",IF(AND(D166="No",E166="Sí"),"REVISAR",IF(AND(E166="No",K166&lt;&gt;"",I166&lt;&gt;""),"EXCLUIDO",IF(AND(A166&lt;&gt;"",B166&lt;&gt;"",C166&lt;&gt;"",D166="Sí",E166="Sí",OR(F166="Correcto",F166="Incorrecto"),G166&lt;&gt;"",ISNUMBER(H166),H166&gt;=0,I166&lt;&gt;"",J166&lt;&gt;""),"VÁLIDO","INCOMPLETO"))))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2" t="str">
        <x:f>IF(COUNTA(A167:L167)=0,"",IF(AND(ISNUMBER(H167),H167&lt;0),"REVISAR",IF(AND(A167&lt;&gt;"",COUNTIF($A$5:$A$204,A167)&gt;1),"REVISAR",IF(AND(D167="No",E167="Sí"),"REVISAR",IF(AND(E167="No",K167&lt;&gt;"",I167&lt;&gt;""),"EXCLUIDO",IF(AND(A167&lt;&gt;"",B167&lt;&gt;"",C167&lt;&gt;"",D167="Sí",E167="Sí",OR(F167="Correcto",F167="Incorrecto"),G167&lt;&gt;"",ISNUMBER(H167),H167&gt;=0,I167&lt;&gt;"",J167&lt;&gt;""),"VÁLIDO","INCOMPLETO"))))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2" t="str">
        <x:f>IF(COUNTA(A168:L168)=0,"",IF(AND(ISNUMBER(H168),H168&lt;0),"REVISAR",IF(AND(A168&lt;&gt;"",COUNTIF($A$5:$A$204,A168)&gt;1),"REVISAR",IF(AND(D168="No",E168="Sí"),"REVISAR",IF(AND(E168="No",K168&lt;&gt;"",I168&lt;&gt;""),"EXCLUIDO",IF(AND(A168&lt;&gt;"",B168&lt;&gt;"",C168&lt;&gt;"",D168="Sí",E168="Sí",OR(F168="Correcto",F168="Incorrecto"),G168&lt;&gt;"",ISNUMBER(H168),H168&gt;=0,I168&lt;&gt;"",J168&lt;&gt;""),"VÁLIDO","INCOMPLETO"))))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2" t="str">
        <x:f>IF(COUNTA(A169:L169)=0,"",IF(AND(ISNUMBER(H169),H169&lt;0),"REVISAR",IF(AND(A169&lt;&gt;"",COUNTIF($A$5:$A$204,A169)&gt;1),"REVISAR",IF(AND(D169="No",E169="Sí"),"REVISAR",IF(AND(E169="No",K169&lt;&gt;"",I169&lt;&gt;""),"EXCLUIDO",IF(AND(A169&lt;&gt;"",B169&lt;&gt;"",C169&lt;&gt;"",D169="Sí",E169="Sí",OR(F169="Correcto",F169="Incorrecto"),G169&lt;&gt;"",ISNUMBER(H169),H169&gt;=0,I169&lt;&gt;"",J169&lt;&gt;""),"VÁLIDO","INCOMPLETO"))))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2" t="str">
        <x:f>IF(COUNTA(A170:L170)=0,"",IF(AND(ISNUMBER(H170),H170&lt;0),"REVISAR",IF(AND(A170&lt;&gt;"",COUNTIF($A$5:$A$204,A170)&gt;1),"REVISAR",IF(AND(D170="No",E170="Sí"),"REVISAR",IF(AND(E170="No",K170&lt;&gt;"",I170&lt;&gt;""),"EXCLUIDO",IF(AND(A170&lt;&gt;"",B170&lt;&gt;"",C170&lt;&gt;"",D170="Sí",E170="Sí",OR(F170="Correcto",F170="Incorrecto"),G170&lt;&gt;"",ISNUMBER(H170),H170&gt;=0,I170&lt;&gt;"",J170&lt;&gt;""),"VÁLIDO","INCOMPLETO"))))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2" t="str">
        <x:f>IF(COUNTA(A171:L171)=0,"",IF(AND(ISNUMBER(H171),H171&lt;0),"REVISAR",IF(AND(A171&lt;&gt;"",COUNTIF($A$5:$A$204,A171)&gt;1),"REVISAR",IF(AND(D171="No",E171="Sí"),"REVISAR",IF(AND(E171="No",K171&lt;&gt;"",I171&lt;&gt;""),"EXCLUIDO",IF(AND(A171&lt;&gt;"",B171&lt;&gt;"",C171&lt;&gt;"",D171="Sí",E171="Sí",OR(F171="Correcto",F171="Incorrecto"),G171&lt;&gt;"",ISNUMBER(H171),H171&gt;=0,I171&lt;&gt;"",J171&lt;&gt;""),"VÁLIDO","INCOMPLETO"))))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2" t="str">
        <x:f>IF(COUNTA(A172:L172)=0,"",IF(AND(ISNUMBER(H172),H172&lt;0),"REVISAR",IF(AND(A172&lt;&gt;"",COUNTIF($A$5:$A$204,A172)&gt;1),"REVISAR",IF(AND(D172="No",E172="Sí"),"REVISAR",IF(AND(E172="No",K172&lt;&gt;"",I172&lt;&gt;""),"EXCLUIDO",IF(AND(A172&lt;&gt;"",B172&lt;&gt;"",C172&lt;&gt;"",D172="Sí",E172="Sí",OR(F172="Correcto",F172="Incorrecto"),G172&lt;&gt;"",ISNUMBER(H172),H172&gt;=0,I172&lt;&gt;"",J172&lt;&gt;""),"VÁLIDO","INCOMPLETO"))))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2" t="str">
        <x:f>IF(COUNTA(A173:L173)=0,"",IF(AND(ISNUMBER(H173),H173&lt;0),"REVISAR",IF(AND(A173&lt;&gt;"",COUNTIF($A$5:$A$204,A173)&gt;1),"REVISAR",IF(AND(D173="No",E173="Sí"),"REVISAR",IF(AND(E173="No",K173&lt;&gt;"",I173&lt;&gt;""),"EXCLUIDO",IF(AND(A173&lt;&gt;"",B173&lt;&gt;"",C173&lt;&gt;"",D173="Sí",E173="Sí",OR(F173="Correcto",F173="Incorrecto"),G173&lt;&gt;"",ISNUMBER(H173),H173&gt;=0,I173&lt;&gt;"",J173&lt;&gt;""),"VÁLIDO","INCOMPLETO"))))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2" t="str">
        <x:f>IF(COUNTA(A174:L174)=0,"",IF(AND(ISNUMBER(H174),H174&lt;0),"REVISAR",IF(AND(A174&lt;&gt;"",COUNTIF($A$5:$A$204,A174)&gt;1),"REVISAR",IF(AND(D174="No",E174="Sí"),"REVISAR",IF(AND(E174="No",K174&lt;&gt;"",I174&lt;&gt;""),"EXCLUIDO",IF(AND(A174&lt;&gt;"",B174&lt;&gt;"",C174&lt;&gt;"",D174="Sí",E174="Sí",OR(F174="Correcto",F174="Incorrecto"),G174&lt;&gt;"",ISNUMBER(H174),H174&gt;=0,I174&lt;&gt;"",J174&lt;&gt;""),"VÁLIDO","INCOMPLETO"))))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2" t="str">
        <x:f>IF(COUNTA(A175:L175)=0,"",IF(AND(ISNUMBER(H175),H175&lt;0),"REVISAR",IF(AND(A175&lt;&gt;"",COUNTIF($A$5:$A$204,A175)&gt;1),"REVISAR",IF(AND(D175="No",E175="Sí"),"REVISAR",IF(AND(E175="No",K175&lt;&gt;"",I175&lt;&gt;""),"EXCLUIDO",IF(AND(A175&lt;&gt;"",B175&lt;&gt;"",C175&lt;&gt;"",D175="Sí",E175="Sí",OR(F175="Correcto",F175="Incorrecto"),G175&lt;&gt;"",ISNUMBER(H175),H175&gt;=0,I175&lt;&gt;"",J175&lt;&gt;""),"VÁLIDO","INCOMPLETO"))))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2" t="str">
        <x:f>IF(COUNTA(A176:L176)=0,"",IF(AND(ISNUMBER(H176),H176&lt;0),"REVISAR",IF(AND(A176&lt;&gt;"",COUNTIF($A$5:$A$204,A176)&gt;1),"REVISAR",IF(AND(D176="No",E176="Sí"),"REVISAR",IF(AND(E176="No",K176&lt;&gt;"",I176&lt;&gt;""),"EXCLUIDO",IF(AND(A176&lt;&gt;"",B176&lt;&gt;"",C176&lt;&gt;"",D176="Sí",E176="Sí",OR(F176="Correcto",F176="Incorrecto"),G176&lt;&gt;"",ISNUMBER(H176),H176&gt;=0,I176&lt;&gt;"",J176&lt;&gt;""),"VÁLIDO","INCOMPLETO"))))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2" t="str">
        <x:f>IF(COUNTA(A177:L177)=0,"",IF(AND(ISNUMBER(H177),H177&lt;0),"REVISAR",IF(AND(A177&lt;&gt;"",COUNTIF($A$5:$A$204,A177)&gt;1),"REVISAR",IF(AND(D177="No",E177="Sí"),"REVISAR",IF(AND(E177="No",K177&lt;&gt;"",I177&lt;&gt;""),"EXCLUIDO",IF(AND(A177&lt;&gt;"",B177&lt;&gt;"",C177&lt;&gt;"",D177="Sí",E177="Sí",OR(F177="Correcto",F177="Incorrecto"),G177&lt;&gt;"",ISNUMBER(H177),H177&gt;=0,I177&lt;&gt;"",J177&lt;&gt;""),"VÁLIDO","INCOMPLETO"))))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2" t="str">
        <x:f>IF(COUNTA(A178:L178)=0,"",IF(AND(ISNUMBER(H178),H178&lt;0),"REVISAR",IF(AND(A178&lt;&gt;"",COUNTIF($A$5:$A$204,A178)&gt;1),"REVISAR",IF(AND(D178="No",E178="Sí"),"REVISAR",IF(AND(E178="No",K178&lt;&gt;"",I178&lt;&gt;""),"EXCLUIDO",IF(AND(A178&lt;&gt;"",B178&lt;&gt;"",C178&lt;&gt;"",D178="Sí",E178="Sí",OR(F178="Correcto",F178="Incorrecto"),G178&lt;&gt;"",ISNUMBER(H178),H178&gt;=0,I178&lt;&gt;"",J178&lt;&gt;""),"VÁLIDO","INCOMPLETO"))))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2" t="str">
        <x:f>IF(COUNTA(A179:L179)=0,"",IF(AND(ISNUMBER(H179),H179&lt;0),"REVISAR",IF(AND(A179&lt;&gt;"",COUNTIF($A$5:$A$204,A179)&gt;1),"REVISAR",IF(AND(D179="No",E179="Sí"),"REVISAR",IF(AND(E179="No",K179&lt;&gt;"",I179&lt;&gt;""),"EXCLUIDO",IF(AND(A179&lt;&gt;"",B179&lt;&gt;"",C179&lt;&gt;"",D179="Sí",E179="Sí",OR(F179="Correcto",F179="Incorrecto"),G179&lt;&gt;"",ISNUMBER(H179),H179&gt;=0,I179&lt;&gt;"",J179&lt;&gt;""),"VÁLIDO","INCOMPLETO"))))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2" t="str">
        <x:f>IF(COUNTA(A180:L180)=0,"",IF(AND(ISNUMBER(H180),H180&lt;0),"REVISAR",IF(AND(A180&lt;&gt;"",COUNTIF($A$5:$A$204,A180)&gt;1),"REVISAR",IF(AND(D180="No",E180="Sí"),"REVISAR",IF(AND(E180="No",K180&lt;&gt;"",I180&lt;&gt;""),"EXCLUIDO",IF(AND(A180&lt;&gt;"",B180&lt;&gt;"",C180&lt;&gt;"",D180="Sí",E180="Sí",OR(F180="Correcto",F180="Incorrecto"),G180&lt;&gt;"",ISNUMBER(H180),H180&gt;=0,I180&lt;&gt;"",J180&lt;&gt;""),"VÁLIDO","INCOMPLETO"))))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2" t="str">
        <x:f>IF(COUNTA(A181:L181)=0,"",IF(AND(ISNUMBER(H181),H181&lt;0),"REVISAR",IF(AND(A181&lt;&gt;"",COUNTIF($A$5:$A$204,A181)&gt;1),"REVISAR",IF(AND(D181="No",E181="Sí"),"REVISAR",IF(AND(E181="No",K181&lt;&gt;"",I181&lt;&gt;""),"EXCLUIDO",IF(AND(A181&lt;&gt;"",B181&lt;&gt;"",C181&lt;&gt;"",D181="Sí",E181="Sí",OR(F181="Correcto",F181="Incorrecto"),G181&lt;&gt;"",ISNUMBER(H181),H181&gt;=0,I181&lt;&gt;"",J181&lt;&gt;""),"VÁLIDO","INCOMPLETO"))))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2" t="str">
        <x:f>IF(COUNTA(A182:L182)=0,"",IF(AND(ISNUMBER(H182),H182&lt;0),"REVISAR",IF(AND(A182&lt;&gt;"",COUNTIF($A$5:$A$204,A182)&gt;1),"REVISAR",IF(AND(D182="No",E182="Sí"),"REVISAR",IF(AND(E182="No",K182&lt;&gt;"",I182&lt;&gt;""),"EXCLUIDO",IF(AND(A182&lt;&gt;"",B182&lt;&gt;"",C182&lt;&gt;"",D182="Sí",E182="Sí",OR(F182="Correcto",F182="Incorrecto"),G182&lt;&gt;"",ISNUMBER(H182),H182&gt;=0,I182&lt;&gt;"",J182&lt;&gt;""),"VÁLIDO","INCOMPLETO"))))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2" t="str">
        <x:f>IF(COUNTA(A183:L183)=0,"",IF(AND(ISNUMBER(H183),H183&lt;0),"REVISAR",IF(AND(A183&lt;&gt;"",COUNTIF($A$5:$A$204,A183)&gt;1),"REVISAR",IF(AND(D183="No",E183="Sí"),"REVISAR",IF(AND(E183="No",K183&lt;&gt;"",I183&lt;&gt;""),"EXCLUIDO",IF(AND(A183&lt;&gt;"",B183&lt;&gt;"",C183&lt;&gt;"",D183="Sí",E183="Sí",OR(F183="Correcto",F183="Incorrecto"),G183&lt;&gt;"",ISNUMBER(H183),H183&gt;=0,I183&lt;&gt;"",J183&lt;&gt;""),"VÁLIDO","INCOMPLETO"))))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2" t="str">
        <x:f>IF(COUNTA(A184:L184)=0,"",IF(AND(ISNUMBER(H184),H184&lt;0),"REVISAR",IF(AND(A184&lt;&gt;"",COUNTIF($A$5:$A$204,A184)&gt;1),"REVISAR",IF(AND(D184="No",E184="Sí"),"REVISAR",IF(AND(E184="No",K184&lt;&gt;"",I184&lt;&gt;""),"EXCLUIDO",IF(AND(A184&lt;&gt;"",B184&lt;&gt;"",C184&lt;&gt;"",D184="Sí",E184="Sí",OR(F184="Correcto",F184="Incorrecto"),G184&lt;&gt;"",ISNUMBER(H184),H184&gt;=0,I184&lt;&gt;"",J184&lt;&gt;""),"VÁLIDO","INCOMPLETO"))))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2" t="str">
        <x:f>IF(COUNTA(A185:L185)=0,"",IF(AND(ISNUMBER(H185),H185&lt;0),"REVISAR",IF(AND(A185&lt;&gt;"",COUNTIF($A$5:$A$204,A185)&gt;1),"REVISAR",IF(AND(D185="No",E185="Sí"),"REVISAR",IF(AND(E185="No",K185&lt;&gt;"",I185&lt;&gt;""),"EXCLUIDO",IF(AND(A185&lt;&gt;"",B185&lt;&gt;"",C185&lt;&gt;"",D185="Sí",E185="Sí",OR(F185="Correcto",F185="Incorrecto"),G185&lt;&gt;"",ISNUMBER(H185),H185&gt;=0,I185&lt;&gt;"",J185&lt;&gt;""),"VÁLIDO","INCOMPLETO"))))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2" t="str">
        <x:f>IF(COUNTA(A186:L186)=0,"",IF(AND(ISNUMBER(H186),H186&lt;0),"REVISAR",IF(AND(A186&lt;&gt;"",COUNTIF($A$5:$A$204,A186)&gt;1),"REVISAR",IF(AND(D186="No",E186="Sí"),"REVISAR",IF(AND(E186="No",K186&lt;&gt;"",I186&lt;&gt;""),"EXCLUIDO",IF(AND(A186&lt;&gt;"",B186&lt;&gt;"",C186&lt;&gt;"",D186="Sí",E186="Sí",OR(F186="Correcto",F186="Incorrecto"),G186&lt;&gt;"",ISNUMBER(H186),H186&gt;=0,I186&lt;&gt;"",J186&lt;&gt;""),"VÁLIDO","INCOMPLETO"))))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2" t="str">
        <x:f>IF(COUNTA(A187:L187)=0,"",IF(AND(ISNUMBER(H187),H187&lt;0),"REVISAR",IF(AND(A187&lt;&gt;"",COUNTIF($A$5:$A$204,A187)&gt;1),"REVISAR",IF(AND(D187="No",E187="Sí"),"REVISAR",IF(AND(E187="No",K187&lt;&gt;"",I187&lt;&gt;""),"EXCLUIDO",IF(AND(A187&lt;&gt;"",B187&lt;&gt;"",C187&lt;&gt;"",D187="Sí",E187="Sí",OR(F187="Correcto",F187="Incorrecto"),G187&lt;&gt;"",ISNUMBER(H187),H187&gt;=0,I187&lt;&gt;"",J187&lt;&gt;""),"VÁLIDO","INCOMPLETO"))))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2" t="str">
        <x:f>IF(COUNTA(A188:L188)=0,"",IF(AND(ISNUMBER(H188),H188&lt;0),"REVISAR",IF(AND(A188&lt;&gt;"",COUNTIF($A$5:$A$204,A188)&gt;1),"REVISAR",IF(AND(D188="No",E188="Sí"),"REVISAR",IF(AND(E188="No",K188&lt;&gt;"",I188&lt;&gt;""),"EXCLUIDO",IF(AND(A188&lt;&gt;"",B188&lt;&gt;"",C188&lt;&gt;"",D188="Sí",E188="Sí",OR(F188="Correcto",F188="Incorrecto"),G188&lt;&gt;"",ISNUMBER(H188),H188&gt;=0,I188&lt;&gt;"",J188&lt;&gt;""),"VÁLIDO","INCOMPLETO"))))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2" t="str">
        <x:f>IF(COUNTA(A189:L189)=0,"",IF(AND(ISNUMBER(H189),H189&lt;0),"REVISAR",IF(AND(A189&lt;&gt;"",COUNTIF($A$5:$A$204,A189)&gt;1),"REVISAR",IF(AND(D189="No",E189="Sí"),"REVISAR",IF(AND(E189="No",K189&lt;&gt;"",I189&lt;&gt;""),"EXCLUIDO",IF(AND(A189&lt;&gt;"",B189&lt;&gt;"",C189&lt;&gt;"",D189="Sí",E189="Sí",OR(F189="Correcto",F189="Incorrecto"),G189&lt;&gt;"",ISNUMBER(H189),H189&gt;=0,I189&lt;&gt;"",J189&lt;&gt;""),"VÁLIDO","INCOMPLETO"))))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2" t="str">
        <x:f>IF(COUNTA(A190:L190)=0,"",IF(AND(ISNUMBER(H190),H190&lt;0),"REVISAR",IF(AND(A190&lt;&gt;"",COUNTIF($A$5:$A$204,A190)&gt;1),"REVISAR",IF(AND(D190="No",E190="Sí"),"REVISAR",IF(AND(E190="No",K190&lt;&gt;"",I190&lt;&gt;""),"EXCLUIDO",IF(AND(A190&lt;&gt;"",B190&lt;&gt;"",C190&lt;&gt;"",D190="Sí",E190="Sí",OR(F190="Correcto",F190="Incorrecto"),G190&lt;&gt;"",ISNUMBER(H190),H190&gt;=0,I190&lt;&gt;"",J190&lt;&gt;""),"VÁLIDO","INCOMPLETO"))))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2" t="str">
        <x:f>IF(COUNTA(A191:L191)=0,"",IF(AND(ISNUMBER(H191),H191&lt;0),"REVISAR",IF(AND(A191&lt;&gt;"",COUNTIF($A$5:$A$204,A191)&gt;1),"REVISAR",IF(AND(D191="No",E191="Sí"),"REVISAR",IF(AND(E191="No",K191&lt;&gt;"",I191&lt;&gt;""),"EXCLUIDO",IF(AND(A191&lt;&gt;"",B191&lt;&gt;"",C191&lt;&gt;"",D191="Sí",E191="Sí",OR(F191="Correcto",F191="Incorrecto"),G191&lt;&gt;"",ISNUMBER(H191),H191&gt;=0,I191&lt;&gt;"",J191&lt;&gt;""),"VÁLIDO","INCOMPLETO"))))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2" t="str">
        <x:f>IF(COUNTA(A192:L192)=0,"",IF(AND(ISNUMBER(H192),H192&lt;0),"REVISAR",IF(AND(A192&lt;&gt;"",COUNTIF($A$5:$A$204,A192)&gt;1),"REVISAR",IF(AND(D192="No",E192="Sí"),"REVISAR",IF(AND(E192="No",K192&lt;&gt;"",I192&lt;&gt;""),"EXCLUIDO",IF(AND(A192&lt;&gt;"",B192&lt;&gt;"",C192&lt;&gt;"",D192="Sí",E192="Sí",OR(F192="Correcto",F192="Incorrecto"),G192&lt;&gt;"",ISNUMBER(H192),H192&gt;=0,I192&lt;&gt;"",J192&lt;&gt;""),"VÁLIDO","INCOMPLETO"))))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2" t="str">
        <x:f>IF(COUNTA(A193:L193)=0,"",IF(AND(ISNUMBER(H193),H193&lt;0),"REVISAR",IF(AND(A193&lt;&gt;"",COUNTIF($A$5:$A$204,A193)&gt;1),"REVISAR",IF(AND(D193="No",E193="Sí"),"REVISAR",IF(AND(E193="No",K193&lt;&gt;"",I193&lt;&gt;""),"EXCLUIDO",IF(AND(A193&lt;&gt;"",B193&lt;&gt;"",C193&lt;&gt;"",D193="Sí",E193="Sí",OR(F193="Correcto",F193="Incorrecto"),G193&lt;&gt;"",ISNUMBER(H193),H193&gt;=0,I193&lt;&gt;"",J193&lt;&gt;""),"VÁLIDO","INCOMPLETO"))))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2" t="str">
        <x:f>IF(COUNTA(A194:L194)=0,"",IF(AND(ISNUMBER(H194),H194&lt;0),"REVISAR",IF(AND(A194&lt;&gt;"",COUNTIF($A$5:$A$204,A194)&gt;1),"REVISAR",IF(AND(D194="No",E194="Sí"),"REVISAR",IF(AND(E194="No",K194&lt;&gt;"",I194&lt;&gt;""),"EXCLUIDO",IF(AND(A194&lt;&gt;"",B194&lt;&gt;"",C194&lt;&gt;"",D194="Sí",E194="Sí",OR(F194="Correcto",F194="Incorrecto"),G194&lt;&gt;"",ISNUMBER(H194),H194&gt;=0,I194&lt;&gt;"",J194&lt;&gt;""),"VÁLIDO","INCOMPLETO"))))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2" t="str">
        <x:f>IF(COUNTA(A195:L195)=0,"",IF(AND(ISNUMBER(H195),H195&lt;0),"REVISAR",IF(AND(A195&lt;&gt;"",COUNTIF($A$5:$A$204,A195)&gt;1),"REVISAR",IF(AND(D195="No",E195="Sí"),"REVISAR",IF(AND(E195="No",K195&lt;&gt;"",I195&lt;&gt;""),"EXCLUIDO",IF(AND(A195&lt;&gt;"",B195&lt;&gt;"",C195&lt;&gt;"",D195="Sí",E195="Sí",OR(F195="Correcto",F195="Incorrecto"),G195&lt;&gt;"",ISNUMBER(H195),H195&gt;=0,I195&lt;&gt;"",J195&lt;&gt;""),"VÁLIDO","INCOMPLETO"))))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2" t="str">
        <x:f>IF(COUNTA(A196:L196)=0,"",IF(AND(ISNUMBER(H196),H196&lt;0),"REVISAR",IF(AND(A196&lt;&gt;"",COUNTIF($A$5:$A$204,A196)&gt;1),"REVISAR",IF(AND(D196="No",E196="Sí"),"REVISAR",IF(AND(E196="No",K196&lt;&gt;"",I196&lt;&gt;""),"EXCLUIDO",IF(AND(A196&lt;&gt;"",B196&lt;&gt;"",C196&lt;&gt;"",D196="Sí",E196="Sí",OR(F196="Correcto",F196="Incorrecto"),G196&lt;&gt;"",ISNUMBER(H196),H196&gt;=0,I196&lt;&gt;"",J196&lt;&gt;""),"VÁLIDO","INCOMPLETO"))))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2" t="str">
        <x:f>IF(COUNTA(A197:L197)=0,"",IF(AND(ISNUMBER(H197),H197&lt;0),"REVISAR",IF(AND(A197&lt;&gt;"",COUNTIF($A$5:$A$204,A197)&gt;1),"REVISAR",IF(AND(D197="No",E197="Sí"),"REVISAR",IF(AND(E197="No",K197&lt;&gt;"",I197&lt;&gt;""),"EXCLUIDO",IF(AND(A197&lt;&gt;"",B197&lt;&gt;"",C197&lt;&gt;"",D197="Sí",E197="Sí",OR(F197="Correcto",F197="Incorrecto"),G197&lt;&gt;"",ISNUMBER(H197),H197&gt;=0,I197&lt;&gt;"",J197&lt;&gt;""),"VÁLIDO","INCOMPLETO"))))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2" t="str">
        <x:f>IF(COUNTA(A198:L198)=0,"",IF(AND(ISNUMBER(H198),H198&lt;0),"REVISAR",IF(AND(A198&lt;&gt;"",COUNTIF($A$5:$A$204,A198)&gt;1),"REVISAR",IF(AND(D198="No",E198="Sí"),"REVISAR",IF(AND(E198="No",K198&lt;&gt;"",I198&lt;&gt;""),"EXCLUIDO",IF(AND(A198&lt;&gt;"",B198&lt;&gt;"",C198&lt;&gt;"",D198="Sí",E198="Sí",OR(F198="Correcto",F198="Incorrecto"),G198&lt;&gt;"",ISNUMBER(H198),H198&gt;=0,I198&lt;&gt;"",J198&lt;&gt;""),"VÁLIDO","INCOMPLETO"))))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2" t="str">
        <x:f>IF(COUNTA(A199:L199)=0,"",IF(AND(ISNUMBER(H199),H199&lt;0),"REVISAR",IF(AND(A199&lt;&gt;"",COUNTIF($A$5:$A$204,A199)&gt;1),"REVISAR",IF(AND(D199="No",E199="Sí"),"REVISAR",IF(AND(E199="No",K199&lt;&gt;"",I199&lt;&gt;""),"EXCLUIDO",IF(AND(A199&lt;&gt;"",B199&lt;&gt;"",C199&lt;&gt;"",D199="Sí",E199="Sí",OR(F199="Correcto",F199="Incorrecto"),G199&lt;&gt;"",ISNUMBER(H199),H199&gt;=0,I199&lt;&gt;"",J199&lt;&gt;""),"VÁLIDO","INCOMPLETO"))))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2" t="str">
        <x:f>IF(COUNTA(A200:L200)=0,"",IF(AND(ISNUMBER(H200),H200&lt;0),"REVISAR",IF(AND(A200&lt;&gt;"",COUNTIF($A$5:$A$204,A200)&gt;1),"REVISAR",IF(AND(D200="No",E200="Sí"),"REVISAR",IF(AND(E200="No",K200&lt;&gt;"",I200&lt;&gt;""),"EXCLUIDO",IF(AND(A200&lt;&gt;"",B200&lt;&gt;"",C200&lt;&gt;"",D200="Sí",E200="Sí",OR(F200="Correcto",F200="Incorrecto"),G200&lt;&gt;"",ISNUMBER(H200),H200&gt;=0,I200&lt;&gt;"",J200&lt;&gt;""),"VÁLIDO","INCOMPLETO"))))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2" t="str">
        <x:f>IF(COUNTA(A201:L201)=0,"",IF(AND(ISNUMBER(H201),H201&lt;0),"REVISAR",IF(AND(A201&lt;&gt;"",COUNTIF($A$5:$A$204,A201)&gt;1),"REVISAR",IF(AND(D201="No",E201="Sí"),"REVISAR",IF(AND(E201="No",K201&lt;&gt;"",I201&lt;&gt;""),"EXCLUIDO",IF(AND(A201&lt;&gt;"",B201&lt;&gt;"",C201&lt;&gt;"",D201="Sí",E201="Sí",OR(F201="Correcto",F201="Incorrecto"),G201&lt;&gt;"",ISNUMBER(H201),H201&gt;=0,I201&lt;&gt;"",J201&lt;&gt;""),"VÁLIDO","INCOMPLETO"))))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2" t="str">
        <x:f>IF(COUNTA(A202:L202)=0,"",IF(AND(ISNUMBER(H202),H202&lt;0),"REVISAR",IF(AND(A202&lt;&gt;"",COUNTIF($A$5:$A$204,A202)&gt;1),"REVISAR",IF(AND(D202="No",E202="Sí"),"REVISAR",IF(AND(E202="No",K202&lt;&gt;"",I202&lt;&gt;""),"EXCLUIDO",IF(AND(A202&lt;&gt;"",B202&lt;&gt;"",C202&lt;&gt;"",D202="Sí",E202="Sí",OR(F202="Correcto",F202="Incorrecto"),G202&lt;&gt;"",ISNUMBER(H202),H202&gt;=0,I202&lt;&gt;"",J202&lt;&gt;""),"VÁLIDO","INCOMPLETO"))))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2" t="str">
        <x:f>IF(COUNTA(A203:L203)=0,"",IF(AND(ISNUMBER(H203),H203&lt;0),"REVISAR",IF(AND(A203&lt;&gt;"",COUNTIF($A$5:$A$204,A203)&gt;1),"REVISAR",IF(AND(D203="No",E203="Sí"),"REVISAR",IF(AND(E203="No",K203&lt;&gt;"",I203&lt;&gt;""),"EXCLUIDO",IF(AND(A203&lt;&gt;"",B203&lt;&gt;"",C203&lt;&gt;"",D203="Sí",E203="Sí",OR(F203="Correcto",F203="Incorrecto"),G203&lt;&gt;"",ISNUMBER(H203),H203&gt;=0,I203&lt;&gt;"",J203&lt;&gt;""),"VÁLIDO","INCOMPLETO"))))))</x:f>
      </x:c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2" t="str">
        <x:f>IF(COUNTA(A204:L204)=0,"",IF(AND(ISNUMBER(H204),H204&lt;0),"REVISAR",IF(AND(A204&lt;&gt;"",COUNTIF($A$5:$A$204,A204)&gt;1),"REVISAR",IF(AND(D204="No",E204="Sí"),"REVISAR",IF(AND(E204="No",K204&lt;&gt;"",I204&lt;&gt;""),"EXCLUIDO",IF(AND(A204&lt;&gt;"",B204&lt;&gt;"",C204&lt;&gt;"",D204="Sí",E204="Sí",OR(F204="Correcto",F204="Incorrecto"),G204&lt;&gt;"",ISNUMBER(H204),H204&gt;=0,I204&lt;&gt;"",J204&lt;&gt;""),"VÁLIDO","INCOMPLETO"))))))</x:f>
      </x:c>
    </x:row>
  </x:sheetData>
  <x:mergeCells>
    <x:mergeCell ref="A1:M1"/>
    <x:mergeCell ref="A2:M2"/>
  </x:mergeCells>
  <x:conditionalFormatting sqref="M5:M204">
    <x:cfRule type="expression" dxfId="2" priority="1">
      <x:formula>M5="REVISAR"</x:formula>
    </x:cfRule>
  </x:conditionalFormatting>
  <x:dataValidations count="5">
    <x:dataValidation type="list" sqref="D5:E204">
      <x:formula1>"Sí,No,Pendiente"</x:formula1>
    </x:dataValidation>
    <x:dataValidation type="list" sqref="F5:F204">
      <x:formula1>"Correcto,Incorrecto,No realizado"</x:formula1>
    </x:dataValidation>
    <x:dataValidation type="list" sqref="G5:G204">
      <x:formula1>"Sí,No,Pendiente"</x:formula1>
    </x:dataValidation>
    <x:dataValidation type="decimal" sqref="H5:H204">
      <x:formula1>0</x:formula1>
    </x:dataValidation>
    <x:dataValidation type="list" sqref="C5:C204">
      <x:formula1>"T-US-01,T-US-02,T-US-03,T-US-04,T-US-05,T-US-06"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0431728c7e40b9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52" hidden="0" customWidth="1"/>
    <x:col min="4" max="4" width="48" hidden="0" customWidth="1"/>
    <x:col min="5" max="5" width="48" hidden="0" customWidth="1"/>
    <x:col min="6" max="6" width="32" hidden="0" customWidth="1"/>
    <x:col min="7" max="7" width="19" hidden="0" customWidth="1"/>
    <x:col min="8" max="8" width="18" hidden="0" customWidth="1"/>
    <x:col min="9" max="9" width="45" hidden="0" customWidth="1"/>
    <x:col min="10" max="10" width="37" hidden="0" customWidth="1"/>
    <x:col min="11" max="11" width="48" hidden="0" customWidth="1"/>
    <x:col min="12" max="12" width="25" hidden="0" customWidth="1"/>
  </x:cols>
  <x:sheetData>
    <x:row r="1" ht="35" customHeight="1">
      <x:c r="A1" s="3" t="str">
        <x:v>CAPTURA DE OPERACIONES Y FALLOS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9" customHeight="1">
      <x:c r="A2" s="7" t="str">
        <x:v>Clasificar el resultado con base en expectativa y comportamiento; exigir evidencia.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3" t="str">
        <x:v>ID operación</x:v>
      </x:c>
      <x:c r="B4" s="13" t="str">
        <x:v>Escenario ET</x:v>
      </x:c>
      <x:c r="C4" s="13" t="str">
        <x:v>Operación / endpoint</x:v>
      </x:c>
      <x:c r="D4" s="13" t="str">
        <x:v>Respuesta esperada</x:v>
      </x:c>
      <x:c r="E4" s="13" t="str">
        <x:v>Respuesta observada</x:v>
      </x:c>
      <x:c r="F4" s="13" t="str">
        <x:v>Clasificación</x:v>
      </x:c>
      <x:c r="G4" s="13" t="str">
        <x:v>Elegible</x:v>
      </x:c>
      <x:c r="H4" s="13" t="str">
        <x:v>Código HTTP</x:v>
      </x:c>
      <x:c r="I4" s="13" t="str">
        <x:v>Evidencia</x:v>
      </x:c>
      <x:c r="J4" s="13" t="str">
        <x:v>Fuente sesión</x:v>
      </x:c>
      <x:c r="K4" s="13" t="str">
        <x:v>Motivo exclusión</x:v>
      </x:c>
      <x:c r="L4" s="13" t="str">
        <x:v>Estado control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2" t="str">
        <x:f>IF(COUNTA(A5:K5)=0,"",IF(AND(A5&lt;&gt;"",COUNTIF($A$5:$A$304,A5)&gt;1),"REVISAR",IF(AND(F5="EXCLUIDA",G5="No",I5&lt;&gt;"",K5&lt;&gt;""),"EXCLUIDO",IF(AND(A5&lt;&gt;"",B5&lt;&gt;"",C5&lt;&gt;"",D5&lt;&gt;"",E5&lt;&gt;"",OR(F5="CORRECTA",F5="RESPUESTA ESPERADA",F5="FALLO CONFIRMADO"),G5="Sí",I5&lt;&gt;"",J5&lt;&gt;""),"VÁLIDO","INCOMPLETO"))))</x:f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2" t="str">
        <x:f>IF(COUNTA(A6:K6)=0,"",IF(AND(A6&lt;&gt;"",COUNTIF($A$5:$A$304,A6)&gt;1),"REVISAR",IF(AND(F6="EXCLUIDA",G6="No",I6&lt;&gt;"",K6&lt;&gt;""),"EXCLUIDO",IF(AND(A6&lt;&gt;"",B6&lt;&gt;"",C6&lt;&gt;"",D6&lt;&gt;"",E6&lt;&gt;"",OR(F6="CORRECTA",F6="RESPUESTA ESPERADA",F6="FALLO CONFIRMADO"),G6="Sí",I6&lt;&gt;"",J6&lt;&gt;""),"VÁLIDO","INCOMPLETO"))))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2" t="str">
        <x:f>IF(COUNTA(A7:K7)=0,"",IF(AND(A7&lt;&gt;"",COUNTIF($A$5:$A$304,A7)&gt;1),"REVISAR",IF(AND(F7="EXCLUIDA",G7="No",I7&lt;&gt;"",K7&lt;&gt;""),"EXCLUIDO",IF(AND(A7&lt;&gt;"",B7&lt;&gt;"",C7&lt;&gt;"",D7&lt;&gt;"",E7&lt;&gt;"",OR(F7="CORRECTA",F7="RESPUESTA ESPERADA",F7="FALLO CONFIRMADO"),G7="Sí",I7&lt;&gt;"",J7&lt;&gt;""),"VÁLIDO","INCOMPLETO"))))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2" t="str">
        <x:f>IF(COUNTA(A8:K8)=0,"",IF(AND(A8&lt;&gt;"",COUNTIF($A$5:$A$304,A8)&gt;1),"REVISAR",IF(AND(F8="EXCLUIDA",G8="No",I8&lt;&gt;"",K8&lt;&gt;""),"EXCLUIDO",IF(AND(A8&lt;&gt;"",B8&lt;&gt;"",C8&lt;&gt;"",D8&lt;&gt;"",E8&lt;&gt;"",OR(F8="CORRECTA",F8="RESPUESTA ESPERADA",F8="FALLO CONFIRMADO"),G8="Sí",I8&lt;&gt;"",J8&lt;&gt;""),"VÁLIDO","INCOMPLETO"))))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2" t="str">
        <x:f>IF(COUNTA(A9:K9)=0,"",IF(AND(A9&lt;&gt;"",COUNTIF($A$5:$A$304,A9)&gt;1),"REVISAR",IF(AND(F9="EXCLUIDA",G9="No",I9&lt;&gt;"",K9&lt;&gt;""),"EXCLUIDO",IF(AND(A9&lt;&gt;"",B9&lt;&gt;"",C9&lt;&gt;"",D9&lt;&gt;"",E9&lt;&gt;"",OR(F9="CORRECTA",F9="RESPUESTA ESPERADA",F9="FALLO CONFIRMADO"),G9="Sí",I9&lt;&gt;"",J9&lt;&gt;""),"VÁLIDO","INCOMPLETO"))))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2" t="str">
        <x:f>IF(COUNTA(A10:K10)=0,"",IF(AND(A10&lt;&gt;"",COUNTIF($A$5:$A$304,A10)&gt;1),"REVISAR",IF(AND(F10="EXCLUIDA",G10="No",I10&lt;&gt;"",K10&lt;&gt;""),"EXCLUIDO",IF(AND(A10&lt;&gt;"",B10&lt;&gt;"",C10&lt;&gt;"",D10&lt;&gt;"",E10&lt;&gt;"",OR(F10="CORRECTA",F10="RESPUESTA ESPERADA",F10="FALLO CONFIRMADO"),G10="Sí",I10&lt;&gt;"",J10&lt;&gt;""),"VÁLIDO","INCOMPLETO"))))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2" t="str">
        <x:f>IF(COUNTA(A11:K11)=0,"",IF(AND(A11&lt;&gt;"",COUNTIF($A$5:$A$304,A11)&gt;1),"REVISAR",IF(AND(F11="EXCLUIDA",G11="No",I11&lt;&gt;"",K11&lt;&gt;""),"EXCLUIDO",IF(AND(A11&lt;&gt;"",B11&lt;&gt;"",C11&lt;&gt;"",D11&lt;&gt;"",E11&lt;&gt;"",OR(F11="CORRECTA",F11="RESPUESTA ESPERADA",F11="FALLO CONFIRMADO"),G11="Sí",I11&lt;&gt;"",J11&lt;&gt;""),"VÁLIDO","INCOMPLETO"))))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2" t="str">
        <x:f>IF(COUNTA(A12:K12)=0,"",IF(AND(A12&lt;&gt;"",COUNTIF($A$5:$A$304,A12)&gt;1),"REVISAR",IF(AND(F12="EXCLUIDA",G12="No",I12&lt;&gt;"",K12&lt;&gt;""),"EXCLUIDO",IF(AND(A12&lt;&gt;"",B12&lt;&gt;"",C12&lt;&gt;"",D12&lt;&gt;"",E12&lt;&gt;"",OR(F12="CORRECTA",F12="RESPUESTA ESPERADA",F12="FALLO CONFIRMADO"),G12="Sí",I12&lt;&gt;"",J12&lt;&gt;""),"VÁLIDO","INCOMPLETO"))))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2" t="str">
        <x:f>IF(COUNTA(A13:K13)=0,"",IF(AND(A13&lt;&gt;"",COUNTIF($A$5:$A$304,A13)&gt;1),"REVISAR",IF(AND(F13="EXCLUIDA",G13="No",I13&lt;&gt;"",K13&lt;&gt;""),"EXCLUIDO",IF(AND(A13&lt;&gt;"",B13&lt;&gt;"",C13&lt;&gt;"",D13&lt;&gt;"",E13&lt;&gt;"",OR(F13="CORRECTA",F13="RESPUESTA ESPERADA",F13="FALLO CONFIRMADO"),G13="Sí",I13&lt;&gt;"",J13&lt;&gt;""),"VÁLIDO","INCOMPLETO"))))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2" t="str">
        <x:f>IF(COUNTA(A14:K14)=0,"",IF(AND(A14&lt;&gt;"",COUNTIF($A$5:$A$304,A14)&gt;1),"REVISAR",IF(AND(F14="EXCLUIDA",G14="No",I14&lt;&gt;"",K14&lt;&gt;""),"EXCLUIDO",IF(AND(A14&lt;&gt;"",B14&lt;&gt;"",C14&lt;&gt;"",D14&lt;&gt;"",E14&lt;&gt;"",OR(F14="CORRECTA",F14="RESPUESTA ESPERADA",F14="FALLO CONFIRMADO"),G14="Sí",I14&lt;&gt;"",J14&lt;&gt;""),"VÁLIDO","INCOMPLETO"))))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2" t="str">
        <x:f>IF(COUNTA(A15:K15)=0,"",IF(AND(A15&lt;&gt;"",COUNTIF($A$5:$A$304,A15)&gt;1),"REVISAR",IF(AND(F15="EXCLUIDA",G15="No",I15&lt;&gt;"",K15&lt;&gt;""),"EXCLUIDO",IF(AND(A15&lt;&gt;"",B15&lt;&gt;"",C15&lt;&gt;"",D15&lt;&gt;"",E15&lt;&gt;"",OR(F15="CORRECTA",F15="RESPUESTA ESPERADA",F15="FALLO CONFIRMADO"),G15="Sí",I15&lt;&gt;"",J15&lt;&gt;""),"VÁLIDO","INCOMPLETO"))))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2" t="str">
        <x:f>IF(COUNTA(A16:K16)=0,"",IF(AND(A16&lt;&gt;"",COUNTIF($A$5:$A$304,A16)&gt;1),"REVISAR",IF(AND(F16="EXCLUIDA",G16="No",I16&lt;&gt;"",K16&lt;&gt;""),"EXCLUIDO",IF(AND(A16&lt;&gt;"",B16&lt;&gt;"",C16&lt;&gt;"",D16&lt;&gt;"",E16&lt;&gt;"",OR(F16="CORRECTA",F16="RESPUESTA ESPERADA",F16="FALLO CONFIRMADO"),G16="Sí",I16&lt;&gt;"",J16&lt;&gt;""),"VÁLIDO","INCOMPLETO"))))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2" t="str">
        <x:f>IF(COUNTA(A17:K17)=0,"",IF(AND(A17&lt;&gt;"",COUNTIF($A$5:$A$304,A17)&gt;1),"REVISAR",IF(AND(F17="EXCLUIDA",G17="No",I17&lt;&gt;"",K17&lt;&gt;""),"EXCLUIDO",IF(AND(A17&lt;&gt;"",B17&lt;&gt;"",C17&lt;&gt;"",D17&lt;&gt;"",E17&lt;&gt;"",OR(F17="CORRECTA",F17="RESPUESTA ESPERADA",F17="FALLO CONFIRMADO"),G17="Sí",I17&lt;&gt;"",J17&lt;&gt;""),"VÁLIDO","INCOMPLETO"))))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2" t="str">
        <x:f>IF(COUNTA(A18:K18)=0,"",IF(AND(A18&lt;&gt;"",COUNTIF($A$5:$A$304,A18)&gt;1),"REVISAR",IF(AND(F18="EXCLUIDA",G18="No",I18&lt;&gt;"",K18&lt;&gt;""),"EXCLUIDO",IF(AND(A18&lt;&gt;"",B18&lt;&gt;"",C18&lt;&gt;"",D18&lt;&gt;"",E18&lt;&gt;"",OR(F18="CORRECTA",F18="RESPUESTA ESPERADA",F18="FALLO CONFIRMADO"),G18="Sí",I18&lt;&gt;"",J18&lt;&gt;""),"VÁLIDO","INCOMPLETO"))))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2" t="str">
        <x:f>IF(COUNTA(A19:K19)=0,"",IF(AND(A19&lt;&gt;"",COUNTIF($A$5:$A$304,A19)&gt;1),"REVISAR",IF(AND(F19="EXCLUIDA",G19="No",I19&lt;&gt;"",K19&lt;&gt;""),"EXCLUIDO",IF(AND(A19&lt;&gt;"",B19&lt;&gt;"",C19&lt;&gt;"",D19&lt;&gt;"",E19&lt;&gt;"",OR(F19="CORRECTA",F19="RESPUESTA ESPERADA",F19="FALLO CONFIRMADO"),G19="Sí",I19&lt;&gt;"",J19&lt;&gt;""),"VÁLIDO","INCOMPLETO"))))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2" t="str">
        <x:f>IF(COUNTA(A20:K20)=0,"",IF(AND(A20&lt;&gt;"",COUNTIF($A$5:$A$304,A20)&gt;1),"REVISAR",IF(AND(F20="EXCLUIDA",G20="No",I20&lt;&gt;"",K20&lt;&gt;""),"EXCLUIDO",IF(AND(A20&lt;&gt;"",B20&lt;&gt;"",C20&lt;&gt;"",D20&lt;&gt;"",E20&lt;&gt;"",OR(F20="CORRECTA",F20="RESPUESTA ESPERADA",F20="FALLO CONFIRMADO"),G20="Sí",I20&lt;&gt;"",J20&lt;&gt;""),"VÁLIDO","INCOMPLETO"))))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2" t="str">
        <x:f>IF(COUNTA(A21:K21)=0,"",IF(AND(A21&lt;&gt;"",COUNTIF($A$5:$A$304,A21)&gt;1),"REVISAR",IF(AND(F21="EXCLUIDA",G21="No",I21&lt;&gt;"",K21&lt;&gt;""),"EXCLUIDO",IF(AND(A21&lt;&gt;"",B21&lt;&gt;"",C21&lt;&gt;"",D21&lt;&gt;"",E21&lt;&gt;"",OR(F21="CORRECTA",F21="RESPUESTA ESPERADA",F21="FALLO CONFIRMADO"),G21="Sí",I21&lt;&gt;"",J21&lt;&gt;""),"VÁLIDO","INCOMPLETO"))))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2" t="str">
        <x:f>IF(COUNTA(A22:K22)=0,"",IF(AND(A22&lt;&gt;"",COUNTIF($A$5:$A$304,A22)&gt;1),"REVISAR",IF(AND(F22="EXCLUIDA",G22="No",I22&lt;&gt;"",K22&lt;&gt;""),"EXCLUIDO",IF(AND(A22&lt;&gt;"",B22&lt;&gt;"",C22&lt;&gt;"",D22&lt;&gt;"",E22&lt;&gt;"",OR(F22="CORRECTA",F22="RESPUESTA ESPERADA",F22="FALLO CONFIRMADO"),G22="Sí",I22&lt;&gt;"",J22&lt;&gt;""),"VÁLIDO","INCOMPLETO"))))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2" t="str">
        <x:f>IF(COUNTA(A23:K23)=0,"",IF(AND(A23&lt;&gt;"",COUNTIF($A$5:$A$304,A23)&gt;1),"REVISAR",IF(AND(F23="EXCLUIDA",G23="No",I23&lt;&gt;"",K23&lt;&gt;""),"EXCLUIDO",IF(AND(A23&lt;&gt;"",B23&lt;&gt;"",C23&lt;&gt;"",D23&lt;&gt;"",E23&lt;&gt;"",OR(F23="CORRECTA",F23="RESPUESTA ESPERADA",F23="FALLO CONFIRMADO"),G23="Sí",I23&lt;&gt;"",J23&lt;&gt;""),"VÁLIDO","INCOMPLETO"))))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2" t="str">
        <x:f>IF(COUNTA(A24:K24)=0,"",IF(AND(A24&lt;&gt;"",COUNTIF($A$5:$A$304,A24)&gt;1),"REVISAR",IF(AND(F24="EXCLUIDA",G24="No",I24&lt;&gt;"",K24&lt;&gt;""),"EXCLUIDO",IF(AND(A24&lt;&gt;"",B24&lt;&gt;"",C24&lt;&gt;"",D24&lt;&gt;"",E24&lt;&gt;"",OR(F24="CORRECTA",F24="RESPUESTA ESPERADA",F24="FALLO CONFIRMADO"),G24="Sí",I24&lt;&gt;"",J24&lt;&gt;""),"VÁLIDO","INCOMPLETO"))))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2" t="str">
        <x:f>IF(COUNTA(A25:K25)=0,"",IF(AND(A25&lt;&gt;"",COUNTIF($A$5:$A$304,A25)&gt;1),"REVISAR",IF(AND(F25="EXCLUIDA",G25="No",I25&lt;&gt;"",K25&lt;&gt;""),"EXCLUIDO",IF(AND(A25&lt;&gt;"",B25&lt;&gt;"",C25&lt;&gt;"",D25&lt;&gt;"",E25&lt;&gt;"",OR(F25="CORRECTA",F25="RESPUESTA ESPERADA",F25="FALLO CONFIRMADO"),G25="Sí",I25&lt;&gt;"",J25&lt;&gt;""),"VÁLIDO","INCOMPLETO"))))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2" t="str">
        <x:f>IF(COUNTA(A26:K26)=0,"",IF(AND(A26&lt;&gt;"",COUNTIF($A$5:$A$304,A26)&gt;1),"REVISAR",IF(AND(F26="EXCLUIDA",G26="No",I26&lt;&gt;"",K26&lt;&gt;""),"EXCLUIDO",IF(AND(A26&lt;&gt;"",B26&lt;&gt;"",C26&lt;&gt;"",D26&lt;&gt;"",E26&lt;&gt;"",OR(F26="CORRECTA",F26="RESPUESTA ESPERADA",F26="FALLO CONFIRMADO"),G26="Sí",I26&lt;&gt;"",J26&lt;&gt;""),"VÁLIDO","INCOMPLETO"))))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2" t="str">
        <x:f>IF(COUNTA(A27:K27)=0,"",IF(AND(A27&lt;&gt;"",COUNTIF($A$5:$A$304,A27)&gt;1),"REVISAR",IF(AND(F27="EXCLUIDA",G27="No",I27&lt;&gt;"",K27&lt;&gt;""),"EXCLUIDO",IF(AND(A27&lt;&gt;"",B27&lt;&gt;"",C27&lt;&gt;"",D27&lt;&gt;"",E27&lt;&gt;"",OR(F27="CORRECTA",F27="RESPUESTA ESPERADA",F27="FALLO CONFIRMADO"),G27="Sí",I27&lt;&gt;"",J27&lt;&gt;""),"VÁLIDO","INCOMPLETO"))))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2" t="str">
        <x:f>IF(COUNTA(A28:K28)=0,"",IF(AND(A28&lt;&gt;"",COUNTIF($A$5:$A$304,A28)&gt;1),"REVISAR",IF(AND(F28="EXCLUIDA",G28="No",I28&lt;&gt;"",K28&lt;&gt;""),"EXCLUIDO",IF(AND(A28&lt;&gt;"",B28&lt;&gt;"",C28&lt;&gt;"",D28&lt;&gt;"",E28&lt;&gt;"",OR(F28="CORRECTA",F28="RESPUESTA ESPERADA",F28="FALLO CONFIRMADO"),G28="Sí",I28&lt;&gt;"",J28&lt;&gt;""),"VÁLIDO","INCOMPLETO"))))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2" t="str">
        <x:f>IF(COUNTA(A29:K29)=0,"",IF(AND(A29&lt;&gt;"",COUNTIF($A$5:$A$304,A29)&gt;1),"REVISAR",IF(AND(F29="EXCLUIDA",G29="No",I29&lt;&gt;"",K29&lt;&gt;""),"EXCLUIDO",IF(AND(A29&lt;&gt;"",B29&lt;&gt;"",C29&lt;&gt;"",D29&lt;&gt;"",E29&lt;&gt;"",OR(F29="CORRECTA",F29="RESPUESTA ESPERADA",F29="FALLO CONFIRMADO"),G29="Sí",I29&lt;&gt;"",J29&lt;&gt;""),"VÁLIDO","INCOMPLETO"))))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2" t="str">
        <x:f>IF(COUNTA(A30:K30)=0,"",IF(AND(A30&lt;&gt;"",COUNTIF($A$5:$A$304,A30)&gt;1),"REVISAR",IF(AND(F30="EXCLUIDA",G30="No",I30&lt;&gt;"",K30&lt;&gt;""),"EXCLUIDO",IF(AND(A30&lt;&gt;"",B30&lt;&gt;"",C30&lt;&gt;"",D30&lt;&gt;"",E30&lt;&gt;"",OR(F30="CORRECTA",F30="RESPUESTA ESPERADA",F30="FALLO CONFIRMADO"),G30="Sí",I30&lt;&gt;"",J30&lt;&gt;""),"VÁLIDO","INCOMPLETO"))))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2" t="str">
        <x:f>IF(COUNTA(A31:K31)=0,"",IF(AND(A31&lt;&gt;"",COUNTIF($A$5:$A$304,A31)&gt;1),"REVISAR",IF(AND(F31="EXCLUIDA",G31="No",I31&lt;&gt;"",K31&lt;&gt;""),"EXCLUIDO",IF(AND(A31&lt;&gt;"",B31&lt;&gt;"",C31&lt;&gt;"",D31&lt;&gt;"",E31&lt;&gt;"",OR(F31="CORRECTA",F31="RESPUESTA ESPERADA",F31="FALLO CONFIRMADO"),G31="Sí",I31&lt;&gt;"",J31&lt;&gt;""),"VÁLIDO","INCOMPLETO"))))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2" t="str">
        <x:f>IF(COUNTA(A32:K32)=0,"",IF(AND(A32&lt;&gt;"",COUNTIF($A$5:$A$304,A32)&gt;1),"REVISAR",IF(AND(F32="EXCLUIDA",G32="No",I32&lt;&gt;"",K32&lt;&gt;""),"EXCLUIDO",IF(AND(A32&lt;&gt;"",B32&lt;&gt;"",C32&lt;&gt;"",D32&lt;&gt;"",E32&lt;&gt;"",OR(F32="CORRECTA",F32="RESPUESTA ESPERADA",F32="FALLO CONFIRMADO"),G32="Sí",I32&lt;&gt;"",J32&lt;&gt;""),"VÁLIDO","INCOMPLETO"))))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2" t="str">
        <x:f>IF(COUNTA(A33:K33)=0,"",IF(AND(A33&lt;&gt;"",COUNTIF($A$5:$A$304,A33)&gt;1),"REVISAR",IF(AND(F33="EXCLUIDA",G33="No",I33&lt;&gt;"",K33&lt;&gt;""),"EXCLUIDO",IF(AND(A33&lt;&gt;"",B33&lt;&gt;"",C33&lt;&gt;"",D33&lt;&gt;"",E33&lt;&gt;"",OR(F33="CORRECTA",F33="RESPUESTA ESPERADA",F33="FALLO CONFIRMADO"),G33="Sí",I33&lt;&gt;"",J33&lt;&gt;""),"VÁLIDO","INCOMPLETO"))))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2" t="str">
        <x:f>IF(COUNTA(A34:K34)=0,"",IF(AND(A34&lt;&gt;"",COUNTIF($A$5:$A$304,A34)&gt;1),"REVISAR",IF(AND(F34="EXCLUIDA",G34="No",I34&lt;&gt;"",K34&lt;&gt;""),"EXCLUIDO",IF(AND(A34&lt;&gt;"",B34&lt;&gt;"",C34&lt;&gt;"",D34&lt;&gt;"",E34&lt;&gt;"",OR(F34="CORRECTA",F34="RESPUESTA ESPERADA",F34="FALLO CONFIRMADO"),G34="Sí",I34&lt;&gt;"",J34&lt;&gt;""),"VÁLIDO","INCOMPLETO"))))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2" t="str">
        <x:f>IF(COUNTA(A35:K35)=0,"",IF(AND(A35&lt;&gt;"",COUNTIF($A$5:$A$304,A35)&gt;1),"REVISAR",IF(AND(F35="EXCLUIDA",G35="No",I35&lt;&gt;"",K35&lt;&gt;""),"EXCLUIDO",IF(AND(A35&lt;&gt;"",B35&lt;&gt;"",C35&lt;&gt;"",D35&lt;&gt;"",E35&lt;&gt;"",OR(F35="CORRECTA",F35="RESPUESTA ESPERADA",F35="FALLO CONFIRMADO"),G35="Sí",I35&lt;&gt;"",J35&lt;&gt;""),"VÁLIDO","INCOMPLETO"))))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2" t="str">
        <x:f>IF(COUNTA(A36:K36)=0,"",IF(AND(A36&lt;&gt;"",COUNTIF($A$5:$A$304,A36)&gt;1),"REVISAR",IF(AND(F36="EXCLUIDA",G36="No",I36&lt;&gt;"",K36&lt;&gt;""),"EXCLUIDO",IF(AND(A36&lt;&gt;"",B36&lt;&gt;"",C36&lt;&gt;"",D36&lt;&gt;"",E36&lt;&gt;"",OR(F36="CORRECTA",F36="RESPUESTA ESPERADA",F36="FALLO CONFIRMADO"),G36="Sí",I36&lt;&gt;"",J36&lt;&gt;""),"VÁLIDO","INCOMPLETO"))))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2" t="str">
        <x:f>IF(COUNTA(A37:K37)=0,"",IF(AND(A37&lt;&gt;"",COUNTIF($A$5:$A$304,A37)&gt;1),"REVISAR",IF(AND(F37="EXCLUIDA",G37="No",I37&lt;&gt;"",K37&lt;&gt;""),"EXCLUIDO",IF(AND(A37&lt;&gt;"",B37&lt;&gt;"",C37&lt;&gt;"",D37&lt;&gt;"",E37&lt;&gt;"",OR(F37="CORRECTA",F37="RESPUESTA ESPERADA",F37="FALLO CONFIRMADO"),G37="Sí",I37&lt;&gt;"",J37&lt;&gt;""),"VÁLIDO","INCOMPLETO"))))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2" t="str">
        <x:f>IF(COUNTA(A38:K38)=0,"",IF(AND(A38&lt;&gt;"",COUNTIF($A$5:$A$304,A38)&gt;1),"REVISAR",IF(AND(F38="EXCLUIDA",G38="No",I38&lt;&gt;"",K38&lt;&gt;""),"EXCLUIDO",IF(AND(A38&lt;&gt;"",B38&lt;&gt;"",C38&lt;&gt;"",D38&lt;&gt;"",E38&lt;&gt;"",OR(F38="CORRECTA",F38="RESPUESTA ESPERADA",F38="FALLO CONFIRMADO"),G38="Sí",I38&lt;&gt;"",J38&lt;&gt;""),"VÁLIDO","INCOMPLETO"))))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2" t="str">
        <x:f>IF(COUNTA(A39:K39)=0,"",IF(AND(A39&lt;&gt;"",COUNTIF($A$5:$A$304,A39)&gt;1),"REVISAR",IF(AND(F39="EXCLUIDA",G39="No",I39&lt;&gt;"",K39&lt;&gt;""),"EXCLUIDO",IF(AND(A39&lt;&gt;"",B39&lt;&gt;"",C39&lt;&gt;"",D39&lt;&gt;"",E39&lt;&gt;"",OR(F39="CORRECTA",F39="RESPUESTA ESPERADA",F39="FALLO CONFIRMADO"),G39="Sí",I39&lt;&gt;"",J39&lt;&gt;""),"VÁLIDO","INCOMPLETO"))))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2" t="str">
        <x:f>IF(COUNTA(A40:K40)=0,"",IF(AND(A40&lt;&gt;"",COUNTIF($A$5:$A$304,A40)&gt;1),"REVISAR",IF(AND(F40="EXCLUIDA",G40="No",I40&lt;&gt;"",K40&lt;&gt;""),"EXCLUIDO",IF(AND(A40&lt;&gt;"",B40&lt;&gt;"",C40&lt;&gt;"",D40&lt;&gt;"",E40&lt;&gt;"",OR(F40="CORRECTA",F40="RESPUESTA ESPERADA",F40="FALLO CONFIRMADO"),G40="Sí",I40&lt;&gt;"",J40&lt;&gt;""),"VÁLIDO","INCOMPLETO"))))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2" t="str">
        <x:f>IF(COUNTA(A41:K41)=0,"",IF(AND(A41&lt;&gt;"",COUNTIF($A$5:$A$304,A41)&gt;1),"REVISAR",IF(AND(F41="EXCLUIDA",G41="No",I41&lt;&gt;"",K41&lt;&gt;""),"EXCLUIDO",IF(AND(A41&lt;&gt;"",B41&lt;&gt;"",C41&lt;&gt;"",D41&lt;&gt;"",E41&lt;&gt;"",OR(F41="CORRECTA",F41="RESPUESTA ESPERADA",F41="FALLO CONFIRMADO"),G41="Sí",I41&lt;&gt;"",J41&lt;&gt;""),"VÁLIDO","INCOMPLETO"))))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2" t="str">
        <x:f>IF(COUNTA(A42:K42)=0,"",IF(AND(A42&lt;&gt;"",COUNTIF($A$5:$A$304,A42)&gt;1),"REVISAR",IF(AND(F42="EXCLUIDA",G42="No",I42&lt;&gt;"",K42&lt;&gt;""),"EXCLUIDO",IF(AND(A42&lt;&gt;"",B42&lt;&gt;"",C42&lt;&gt;"",D42&lt;&gt;"",E42&lt;&gt;"",OR(F42="CORRECTA",F42="RESPUESTA ESPERADA",F42="FALLO CONFIRMADO"),G42="Sí",I42&lt;&gt;"",J42&lt;&gt;""),"VÁLIDO","INCOMPLETO"))))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2" t="str">
        <x:f>IF(COUNTA(A43:K43)=0,"",IF(AND(A43&lt;&gt;"",COUNTIF($A$5:$A$304,A43)&gt;1),"REVISAR",IF(AND(F43="EXCLUIDA",G43="No",I43&lt;&gt;"",K43&lt;&gt;""),"EXCLUIDO",IF(AND(A43&lt;&gt;"",B43&lt;&gt;"",C43&lt;&gt;"",D43&lt;&gt;"",E43&lt;&gt;"",OR(F43="CORRECTA",F43="RESPUESTA ESPERADA",F43="FALLO CONFIRMADO"),G43="Sí",I43&lt;&gt;"",J43&lt;&gt;""),"VÁLIDO","INCOMPLETO"))))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2" t="str">
        <x:f>IF(COUNTA(A44:K44)=0,"",IF(AND(A44&lt;&gt;"",COUNTIF($A$5:$A$304,A44)&gt;1),"REVISAR",IF(AND(F44="EXCLUIDA",G44="No",I44&lt;&gt;"",K44&lt;&gt;""),"EXCLUIDO",IF(AND(A44&lt;&gt;"",B44&lt;&gt;"",C44&lt;&gt;"",D44&lt;&gt;"",E44&lt;&gt;"",OR(F44="CORRECTA",F44="RESPUESTA ESPERADA",F44="FALLO CONFIRMADO"),G44="Sí",I44&lt;&gt;"",J44&lt;&gt;""),"VÁLIDO","INCOMPLETO"))))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2" t="str">
        <x:f>IF(COUNTA(A45:K45)=0,"",IF(AND(A45&lt;&gt;"",COUNTIF($A$5:$A$304,A45)&gt;1),"REVISAR",IF(AND(F45="EXCLUIDA",G45="No",I45&lt;&gt;"",K45&lt;&gt;""),"EXCLUIDO",IF(AND(A45&lt;&gt;"",B45&lt;&gt;"",C45&lt;&gt;"",D45&lt;&gt;"",E45&lt;&gt;"",OR(F45="CORRECTA",F45="RESPUESTA ESPERADA",F45="FALLO CONFIRMADO"),G45="Sí",I45&lt;&gt;"",J45&lt;&gt;""),"VÁLIDO","INCOMPLETO"))))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2" t="str">
        <x:f>IF(COUNTA(A46:K46)=0,"",IF(AND(A46&lt;&gt;"",COUNTIF($A$5:$A$304,A46)&gt;1),"REVISAR",IF(AND(F46="EXCLUIDA",G46="No",I46&lt;&gt;"",K46&lt;&gt;""),"EXCLUIDO",IF(AND(A46&lt;&gt;"",B46&lt;&gt;"",C46&lt;&gt;"",D46&lt;&gt;"",E46&lt;&gt;"",OR(F46="CORRECTA",F46="RESPUESTA ESPERADA",F46="FALLO CONFIRMADO"),G46="Sí",I46&lt;&gt;"",J46&lt;&gt;""),"VÁLIDO","INCOMPLETO"))))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2" t="str">
        <x:f>IF(COUNTA(A47:K47)=0,"",IF(AND(A47&lt;&gt;"",COUNTIF($A$5:$A$304,A47)&gt;1),"REVISAR",IF(AND(F47="EXCLUIDA",G47="No",I47&lt;&gt;"",K47&lt;&gt;""),"EXCLUIDO",IF(AND(A47&lt;&gt;"",B47&lt;&gt;"",C47&lt;&gt;"",D47&lt;&gt;"",E47&lt;&gt;"",OR(F47="CORRECTA",F47="RESPUESTA ESPERADA",F47="FALLO CONFIRMADO"),G47="Sí",I47&lt;&gt;"",J47&lt;&gt;""),"VÁLIDO","INCOMPLETO"))))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2" t="str">
        <x:f>IF(COUNTA(A48:K48)=0,"",IF(AND(A48&lt;&gt;"",COUNTIF($A$5:$A$304,A48)&gt;1),"REVISAR",IF(AND(F48="EXCLUIDA",G48="No",I48&lt;&gt;"",K48&lt;&gt;""),"EXCLUIDO",IF(AND(A48&lt;&gt;"",B48&lt;&gt;"",C48&lt;&gt;"",D48&lt;&gt;"",E48&lt;&gt;"",OR(F48="CORRECTA",F48="RESPUESTA ESPERADA",F48="FALLO CONFIRMADO"),G48="Sí",I48&lt;&gt;"",J48&lt;&gt;""),"VÁLIDO","INCOMPLETO"))))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2" t="str">
        <x:f>IF(COUNTA(A49:K49)=0,"",IF(AND(A49&lt;&gt;"",COUNTIF($A$5:$A$304,A49)&gt;1),"REVISAR",IF(AND(F49="EXCLUIDA",G49="No",I49&lt;&gt;"",K49&lt;&gt;""),"EXCLUIDO",IF(AND(A49&lt;&gt;"",B49&lt;&gt;"",C49&lt;&gt;"",D49&lt;&gt;"",E49&lt;&gt;"",OR(F49="CORRECTA",F49="RESPUESTA ESPERADA",F49="FALLO CONFIRMADO"),G49="Sí",I49&lt;&gt;"",J49&lt;&gt;""),"VÁLIDO","INCOMPLETO"))))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2" t="str">
        <x:f>IF(COUNTA(A50:K50)=0,"",IF(AND(A50&lt;&gt;"",COUNTIF($A$5:$A$304,A50)&gt;1),"REVISAR",IF(AND(F50="EXCLUIDA",G50="No",I50&lt;&gt;"",K50&lt;&gt;""),"EXCLUIDO",IF(AND(A50&lt;&gt;"",B50&lt;&gt;"",C50&lt;&gt;"",D50&lt;&gt;"",E50&lt;&gt;"",OR(F50="CORRECTA",F50="RESPUESTA ESPERADA",F50="FALLO CONFIRMADO"),G50="Sí",I50&lt;&gt;"",J50&lt;&gt;""),"VÁLIDO","INCOMPLETO"))))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2" t="str">
        <x:f>IF(COUNTA(A51:K51)=0,"",IF(AND(A51&lt;&gt;"",COUNTIF($A$5:$A$304,A51)&gt;1),"REVISAR",IF(AND(F51="EXCLUIDA",G51="No",I51&lt;&gt;"",K51&lt;&gt;""),"EXCLUIDO",IF(AND(A51&lt;&gt;"",B51&lt;&gt;"",C51&lt;&gt;"",D51&lt;&gt;"",E51&lt;&gt;"",OR(F51="CORRECTA",F51="RESPUESTA ESPERADA",F51="FALLO CONFIRMADO"),G51="Sí",I51&lt;&gt;"",J51&lt;&gt;""),"VÁLIDO","INCOMPLETO"))))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2" t="str">
        <x:f>IF(COUNTA(A52:K52)=0,"",IF(AND(A52&lt;&gt;"",COUNTIF($A$5:$A$304,A52)&gt;1),"REVISAR",IF(AND(F52="EXCLUIDA",G52="No",I52&lt;&gt;"",K52&lt;&gt;""),"EXCLUIDO",IF(AND(A52&lt;&gt;"",B52&lt;&gt;"",C52&lt;&gt;"",D52&lt;&gt;"",E52&lt;&gt;"",OR(F52="CORRECTA",F52="RESPUESTA ESPERADA",F52="FALLO CONFIRMADO"),G52="Sí",I52&lt;&gt;"",J52&lt;&gt;""),"VÁLIDO","INCOMPLETO"))))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2" t="str">
        <x:f>IF(COUNTA(A53:K53)=0,"",IF(AND(A53&lt;&gt;"",COUNTIF($A$5:$A$304,A53)&gt;1),"REVISAR",IF(AND(F53="EXCLUIDA",G53="No",I53&lt;&gt;"",K53&lt;&gt;""),"EXCLUIDO",IF(AND(A53&lt;&gt;"",B53&lt;&gt;"",C53&lt;&gt;"",D53&lt;&gt;"",E53&lt;&gt;"",OR(F53="CORRECTA",F53="RESPUESTA ESPERADA",F53="FALLO CONFIRMADO"),G53="Sí",I53&lt;&gt;"",J53&lt;&gt;""),"VÁLIDO","INCOMPLETO"))))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2" t="str">
        <x:f>IF(COUNTA(A54:K54)=0,"",IF(AND(A54&lt;&gt;"",COUNTIF($A$5:$A$304,A54)&gt;1),"REVISAR",IF(AND(F54="EXCLUIDA",G54="No",I54&lt;&gt;"",K54&lt;&gt;""),"EXCLUIDO",IF(AND(A54&lt;&gt;"",B54&lt;&gt;"",C54&lt;&gt;"",D54&lt;&gt;"",E54&lt;&gt;"",OR(F54="CORRECTA",F54="RESPUESTA ESPERADA",F54="FALLO CONFIRMADO"),G54="Sí",I54&lt;&gt;"",J54&lt;&gt;""),"VÁLIDO","INCOMPLETO"))))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2" t="str">
        <x:f>IF(COUNTA(A55:K55)=0,"",IF(AND(A55&lt;&gt;"",COUNTIF($A$5:$A$304,A55)&gt;1),"REVISAR",IF(AND(F55="EXCLUIDA",G55="No",I55&lt;&gt;"",K55&lt;&gt;""),"EXCLUIDO",IF(AND(A55&lt;&gt;"",B55&lt;&gt;"",C55&lt;&gt;"",D55&lt;&gt;"",E55&lt;&gt;"",OR(F55="CORRECTA",F55="RESPUESTA ESPERADA",F55="FALLO CONFIRMADO"),G55="Sí",I55&lt;&gt;"",J55&lt;&gt;""),"VÁLIDO","INCOMPLETO"))))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2" t="str">
        <x:f>IF(COUNTA(A56:K56)=0,"",IF(AND(A56&lt;&gt;"",COUNTIF($A$5:$A$304,A56)&gt;1),"REVISAR",IF(AND(F56="EXCLUIDA",G56="No",I56&lt;&gt;"",K56&lt;&gt;""),"EXCLUIDO",IF(AND(A56&lt;&gt;"",B56&lt;&gt;"",C56&lt;&gt;"",D56&lt;&gt;"",E56&lt;&gt;"",OR(F56="CORRECTA",F56="RESPUESTA ESPERADA",F56="FALLO CONFIRMADO"),G56="Sí",I56&lt;&gt;"",J56&lt;&gt;""),"VÁLIDO","INCOMPLETO"))))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2" t="str">
        <x:f>IF(COUNTA(A57:K57)=0,"",IF(AND(A57&lt;&gt;"",COUNTIF($A$5:$A$304,A57)&gt;1),"REVISAR",IF(AND(F57="EXCLUIDA",G57="No",I57&lt;&gt;"",K57&lt;&gt;""),"EXCLUIDO",IF(AND(A57&lt;&gt;"",B57&lt;&gt;"",C57&lt;&gt;"",D57&lt;&gt;"",E57&lt;&gt;"",OR(F57="CORRECTA",F57="RESPUESTA ESPERADA",F57="FALLO CONFIRMADO"),G57="Sí",I57&lt;&gt;"",J57&lt;&gt;""),"VÁLIDO","INCOMPLETO"))))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2" t="str">
        <x:f>IF(COUNTA(A58:K58)=0,"",IF(AND(A58&lt;&gt;"",COUNTIF($A$5:$A$304,A58)&gt;1),"REVISAR",IF(AND(F58="EXCLUIDA",G58="No",I58&lt;&gt;"",K58&lt;&gt;""),"EXCLUIDO",IF(AND(A58&lt;&gt;"",B58&lt;&gt;"",C58&lt;&gt;"",D58&lt;&gt;"",E58&lt;&gt;"",OR(F58="CORRECTA",F58="RESPUESTA ESPERADA",F58="FALLO CONFIRMADO"),G58="Sí",I58&lt;&gt;"",J58&lt;&gt;""),"VÁLIDO","INCOMPLETO"))))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2" t="str">
        <x:f>IF(COUNTA(A59:K59)=0,"",IF(AND(A59&lt;&gt;"",COUNTIF($A$5:$A$304,A59)&gt;1),"REVISAR",IF(AND(F59="EXCLUIDA",G59="No",I59&lt;&gt;"",K59&lt;&gt;""),"EXCLUIDO",IF(AND(A59&lt;&gt;"",B59&lt;&gt;"",C59&lt;&gt;"",D59&lt;&gt;"",E59&lt;&gt;"",OR(F59="CORRECTA",F59="RESPUESTA ESPERADA",F59="FALLO CONFIRMADO"),G59="Sí",I59&lt;&gt;"",J59&lt;&gt;""),"VÁLIDO","INCOMPLETO"))))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2" t="str">
        <x:f>IF(COUNTA(A60:K60)=0,"",IF(AND(A60&lt;&gt;"",COUNTIF($A$5:$A$304,A60)&gt;1),"REVISAR",IF(AND(F60="EXCLUIDA",G60="No",I60&lt;&gt;"",K60&lt;&gt;""),"EXCLUIDO",IF(AND(A60&lt;&gt;"",B60&lt;&gt;"",C60&lt;&gt;"",D60&lt;&gt;"",E60&lt;&gt;"",OR(F60="CORRECTA",F60="RESPUESTA ESPERADA",F60="FALLO CONFIRMADO"),G60="Sí",I60&lt;&gt;"",J60&lt;&gt;""),"VÁLIDO","INCOMPLETO"))))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2" t="str">
        <x:f>IF(COUNTA(A61:K61)=0,"",IF(AND(A61&lt;&gt;"",COUNTIF($A$5:$A$304,A61)&gt;1),"REVISAR",IF(AND(F61="EXCLUIDA",G61="No",I61&lt;&gt;"",K61&lt;&gt;""),"EXCLUIDO",IF(AND(A61&lt;&gt;"",B61&lt;&gt;"",C61&lt;&gt;"",D61&lt;&gt;"",E61&lt;&gt;"",OR(F61="CORRECTA",F61="RESPUESTA ESPERADA",F61="FALLO CONFIRMADO"),G61="Sí",I61&lt;&gt;"",J61&lt;&gt;""),"VÁLIDO","INCOMPLETO"))))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2" t="str">
        <x:f>IF(COUNTA(A62:K62)=0,"",IF(AND(A62&lt;&gt;"",COUNTIF($A$5:$A$304,A62)&gt;1),"REVISAR",IF(AND(F62="EXCLUIDA",G62="No",I62&lt;&gt;"",K62&lt;&gt;""),"EXCLUIDO",IF(AND(A62&lt;&gt;"",B62&lt;&gt;"",C62&lt;&gt;"",D62&lt;&gt;"",E62&lt;&gt;"",OR(F62="CORRECTA",F62="RESPUESTA ESPERADA",F62="FALLO CONFIRMADO"),G62="Sí",I62&lt;&gt;"",J62&lt;&gt;""),"VÁLIDO","INCOMPLETO"))))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2" t="str">
        <x:f>IF(COUNTA(A63:K63)=0,"",IF(AND(A63&lt;&gt;"",COUNTIF($A$5:$A$304,A63)&gt;1),"REVISAR",IF(AND(F63="EXCLUIDA",G63="No",I63&lt;&gt;"",K63&lt;&gt;""),"EXCLUIDO",IF(AND(A63&lt;&gt;"",B63&lt;&gt;"",C63&lt;&gt;"",D63&lt;&gt;"",E63&lt;&gt;"",OR(F63="CORRECTA",F63="RESPUESTA ESPERADA",F63="FALLO CONFIRMADO"),G63="Sí",I63&lt;&gt;"",J63&lt;&gt;""),"VÁLIDO","INCOMPLETO"))))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2" t="str">
        <x:f>IF(COUNTA(A64:K64)=0,"",IF(AND(A64&lt;&gt;"",COUNTIF($A$5:$A$304,A64)&gt;1),"REVISAR",IF(AND(F64="EXCLUIDA",G64="No",I64&lt;&gt;"",K64&lt;&gt;""),"EXCLUIDO",IF(AND(A64&lt;&gt;"",B64&lt;&gt;"",C64&lt;&gt;"",D64&lt;&gt;"",E64&lt;&gt;"",OR(F64="CORRECTA",F64="RESPUESTA ESPERADA",F64="FALLO CONFIRMADO"),G64="Sí",I64&lt;&gt;"",J64&lt;&gt;""),"VÁLIDO","INCOMPLETO"))))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2" t="str">
        <x:f>IF(COUNTA(A65:K65)=0,"",IF(AND(A65&lt;&gt;"",COUNTIF($A$5:$A$304,A65)&gt;1),"REVISAR",IF(AND(F65="EXCLUIDA",G65="No",I65&lt;&gt;"",K65&lt;&gt;""),"EXCLUIDO",IF(AND(A65&lt;&gt;"",B65&lt;&gt;"",C65&lt;&gt;"",D65&lt;&gt;"",E65&lt;&gt;"",OR(F65="CORRECTA",F65="RESPUESTA ESPERADA",F65="FALLO CONFIRMADO"),G65="Sí",I65&lt;&gt;"",J65&lt;&gt;""),"VÁLIDO","INCOMPLETO"))))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2" t="str">
        <x:f>IF(COUNTA(A66:K66)=0,"",IF(AND(A66&lt;&gt;"",COUNTIF($A$5:$A$304,A66)&gt;1),"REVISAR",IF(AND(F66="EXCLUIDA",G66="No",I66&lt;&gt;"",K66&lt;&gt;""),"EXCLUIDO",IF(AND(A66&lt;&gt;"",B66&lt;&gt;"",C66&lt;&gt;"",D66&lt;&gt;"",E66&lt;&gt;"",OR(F66="CORRECTA",F66="RESPUESTA ESPERADA",F66="FALLO CONFIRMADO"),G66="Sí",I66&lt;&gt;"",J66&lt;&gt;""),"VÁLIDO","INCOMPLETO"))))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2" t="str">
        <x:f>IF(COUNTA(A67:K67)=0,"",IF(AND(A67&lt;&gt;"",COUNTIF($A$5:$A$304,A67)&gt;1),"REVISAR",IF(AND(F67="EXCLUIDA",G67="No",I67&lt;&gt;"",K67&lt;&gt;""),"EXCLUIDO",IF(AND(A67&lt;&gt;"",B67&lt;&gt;"",C67&lt;&gt;"",D67&lt;&gt;"",E67&lt;&gt;"",OR(F67="CORRECTA",F67="RESPUESTA ESPERADA",F67="FALLO CONFIRMADO"),G67="Sí",I67&lt;&gt;"",J67&lt;&gt;""),"VÁLIDO","INCOMPLETO"))))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2" t="str">
        <x:f>IF(COUNTA(A68:K68)=0,"",IF(AND(A68&lt;&gt;"",COUNTIF($A$5:$A$304,A68)&gt;1),"REVISAR",IF(AND(F68="EXCLUIDA",G68="No",I68&lt;&gt;"",K68&lt;&gt;""),"EXCLUIDO",IF(AND(A68&lt;&gt;"",B68&lt;&gt;"",C68&lt;&gt;"",D68&lt;&gt;"",E68&lt;&gt;"",OR(F68="CORRECTA",F68="RESPUESTA ESPERADA",F68="FALLO CONFIRMADO"),G68="Sí",I68&lt;&gt;"",J68&lt;&gt;""),"VÁLIDO","INCOMPLETO"))))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2" t="str">
        <x:f>IF(COUNTA(A69:K69)=0,"",IF(AND(A69&lt;&gt;"",COUNTIF($A$5:$A$304,A69)&gt;1),"REVISAR",IF(AND(F69="EXCLUIDA",G69="No",I69&lt;&gt;"",K69&lt;&gt;""),"EXCLUIDO",IF(AND(A69&lt;&gt;"",B69&lt;&gt;"",C69&lt;&gt;"",D69&lt;&gt;"",E69&lt;&gt;"",OR(F69="CORRECTA",F69="RESPUESTA ESPERADA",F69="FALLO CONFIRMADO"),G69="Sí",I69&lt;&gt;"",J69&lt;&gt;""),"VÁLIDO","INCOMPLETO"))))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2" t="str">
        <x:f>IF(COUNTA(A70:K70)=0,"",IF(AND(A70&lt;&gt;"",COUNTIF($A$5:$A$304,A70)&gt;1),"REVISAR",IF(AND(F70="EXCLUIDA",G70="No",I70&lt;&gt;"",K70&lt;&gt;""),"EXCLUIDO",IF(AND(A70&lt;&gt;"",B70&lt;&gt;"",C70&lt;&gt;"",D70&lt;&gt;"",E70&lt;&gt;"",OR(F70="CORRECTA",F70="RESPUESTA ESPERADA",F70="FALLO CONFIRMADO"),G70="Sí",I70&lt;&gt;"",J70&lt;&gt;""),"VÁLIDO","INCOMPLETO"))))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2" t="str">
        <x:f>IF(COUNTA(A71:K71)=0,"",IF(AND(A71&lt;&gt;"",COUNTIF($A$5:$A$304,A71)&gt;1),"REVISAR",IF(AND(F71="EXCLUIDA",G71="No",I71&lt;&gt;"",K71&lt;&gt;""),"EXCLUIDO",IF(AND(A71&lt;&gt;"",B71&lt;&gt;"",C71&lt;&gt;"",D71&lt;&gt;"",E71&lt;&gt;"",OR(F71="CORRECTA",F71="RESPUESTA ESPERADA",F71="FALLO CONFIRMADO"),G71="Sí",I71&lt;&gt;"",J71&lt;&gt;""),"VÁLIDO","INCOMPLETO"))))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2" t="str">
        <x:f>IF(COUNTA(A72:K72)=0,"",IF(AND(A72&lt;&gt;"",COUNTIF($A$5:$A$304,A72)&gt;1),"REVISAR",IF(AND(F72="EXCLUIDA",G72="No",I72&lt;&gt;"",K72&lt;&gt;""),"EXCLUIDO",IF(AND(A72&lt;&gt;"",B72&lt;&gt;"",C72&lt;&gt;"",D72&lt;&gt;"",E72&lt;&gt;"",OR(F72="CORRECTA",F72="RESPUESTA ESPERADA",F72="FALLO CONFIRMADO"),G72="Sí",I72&lt;&gt;"",J72&lt;&gt;""),"VÁLIDO","INCOMPLETO"))))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2" t="str">
        <x:f>IF(COUNTA(A73:K73)=0,"",IF(AND(A73&lt;&gt;"",COUNTIF($A$5:$A$304,A73)&gt;1),"REVISAR",IF(AND(F73="EXCLUIDA",G73="No",I73&lt;&gt;"",K73&lt;&gt;""),"EXCLUIDO",IF(AND(A73&lt;&gt;"",B73&lt;&gt;"",C73&lt;&gt;"",D73&lt;&gt;"",E73&lt;&gt;"",OR(F73="CORRECTA",F73="RESPUESTA ESPERADA",F73="FALLO CONFIRMADO"),G73="Sí",I73&lt;&gt;"",J73&lt;&gt;""),"VÁLIDO","INCOMPLETO"))))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2" t="str">
        <x:f>IF(COUNTA(A74:K74)=0,"",IF(AND(A74&lt;&gt;"",COUNTIF($A$5:$A$304,A74)&gt;1),"REVISAR",IF(AND(F74="EXCLUIDA",G74="No",I74&lt;&gt;"",K74&lt;&gt;""),"EXCLUIDO",IF(AND(A74&lt;&gt;"",B74&lt;&gt;"",C74&lt;&gt;"",D74&lt;&gt;"",E74&lt;&gt;"",OR(F74="CORRECTA",F74="RESPUESTA ESPERADA",F74="FALLO CONFIRMADO"),G74="Sí",I74&lt;&gt;"",J74&lt;&gt;""),"VÁLIDO","INCOMPLETO"))))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2" t="str">
        <x:f>IF(COUNTA(A75:K75)=0,"",IF(AND(A75&lt;&gt;"",COUNTIF($A$5:$A$304,A75)&gt;1),"REVISAR",IF(AND(F75="EXCLUIDA",G75="No",I75&lt;&gt;"",K75&lt;&gt;""),"EXCLUIDO",IF(AND(A75&lt;&gt;"",B75&lt;&gt;"",C75&lt;&gt;"",D75&lt;&gt;"",E75&lt;&gt;"",OR(F75="CORRECTA",F75="RESPUESTA ESPERADA",F75="FALLO CONFIRMADO"),G75="Sí",I75&lt;&gt;"",J75&lt;&gt;""),"VÁLIDO","INCOMPLETO"))))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2" t="str">
        <x:f>IF(COUNTA(A76:K76)=0,"",IF(AND(A76&lt;&gt;"",COUNTIF($A$5:$A$304,A76)&gt;1),"REVISAR",IF(AND(F76="EXCLUIDA",G76="No",I76&lt;&gt;"",K76&lt;&gt;""),"EXCLUIDO",IF(AND(A76&lt;&gt;"",B76&lt;&gt;"",C76&lt;&gt;"",D76&lt;&gt;"",E76&lt;&gt;"",OR(F76="CORRECTA",F76="RESPUESTA ESPERADA",F76="FALLO CONFIRMADO"),G76="Sí",I76&lt;&gt;"",J76&lt;&gt;""),"VÁLIDO","INCOMPLETO"))))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2" t="str">
        <x:f>IF(COUNTA(A77:K77)=0,"",IF(AND(A77&lt;&gt;"",COUNTIF($A$5:$A$304,A77)&gt;1),"REVISAR",IF(AND(F77="EXCLUIDA",G77="No",I77&lt;&gt;"",K77&lt;&gt;""),"EXCLUIDO",IF(AND(A77&lt;&gt;"",B77&lt;&gt;"",C77&lt;&gt;"",D77&lt;&gt;"",E77&lt;&gt;"",OR(F77="CORRECTA",F77="RESPUESTA ESPERADA",F77="FALLO CONFIRMADO"),G77="Sí",I77&lt;&gt;"",J77&lt;&gt;""),"VÁLIDO","INCOMPLETO"))))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2" t="str">
        <x:f>IF(COUNTA(A78:K78)=0,"",IF(AND(A78&lt;&gt;"",COUNTIF($A$5:$A$304,A78)&gt;1),"REVISAR",IF(AND(F78="EXCLUIDA",G78="No",I78&lt;&gt;"",K78&lt;&gt;""),"EXCLUIDO",IF(AND(A78&lt;&gt;"",B78&lt;&gt;"",C78&lt;&gt;"",D78&lt;&gt;"",E78&lt;&gt;"",OR(F78="CORRECTA",F78="RESPUESTA ESPERADA",F78="FALLO CONFIRMADO"),G78="Sí",I78&lt;&gt;"",J78&lt;&gt;""),"VÁLIDO","INCOMPLETO"))))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2" t="str">
        <x:f>IF(COUNTA(A79:K79)=0,"",IF(AND(A79&lt;&gt;"",COUNTIF($A$5:$A$304,A79)&gt;1),"REVISAR",IF(AND(F79="EXCLUIDA",G79="No",I79&lt;&gt;"",K79&lt;&gt;""),"EXCLUIDO",IF(AND(A79&lt;&gt;"",B79&lt;&gt;"",C79&lt;&gt;"",D79&lt;&gt;"",E79&lt;&gt;"",OR(F79="CORRECTA",F79="RESPUESTA ESPERADA",F79="FALLO CONFIRMADO"),G79="Sí",I79&lt;&gt;"",J79&lt;&gt;""),"VÁLIDO","INCOMPLETO"))))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2" t="str">
        <x:f>IF(COUNTA(A80:K80)=0,"",IF(AND(A80&lt;&gt;"",COUNTIF($A$5:$A$304,A80)&gt;1),"REVISAR",IF(AND(F80="EXCLUIDA",G80="No",I80&lt;&gt;"",K80&lt;&gt;""),"EXCLUIDO",IF(AND(A80&lt;&gt;"",B80&lt;&gt;"",C80&lt;&gt;"",D80&lt;&gt;"",E80&lt;&gt;"",OR(F80="CORRECTA",F80="RESPUESTA ESPERADA",F80="FALLO CONFIRMADO"),G80="Sí",I80&lt;&gt;"",J80&lt;&gt;""),"VÁLIDO","INCOMPLETO"))))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2" t="str">
        <x:f>IF(COUNTA(A81:K81)=0,"",IF(AND(A81&lt;&gt;"",COUNTIF($A$5:$A$304,A81)&gt;1),"REVISAR",IF(AND(F81="EXCLUIDA",G81="No",I81&lt;&gt;"",K81&lt;&gt;""),"EXCLUIDO",IF(AND(A81&lt;&gt;"",B81&lt;&gt;"",C81&lt;&gt;"",D81&lt;&gt;"",E81&lt;&gt;"",OR(F81="CORRECTA",F81="RESPUESTA ESPERADA",F81="FALLO CONFIRMADO"),G81="Sí",I81&lt;&gt;"",J81&lt;&gt;""),"VÁLIDO","INCOMPLETO"))))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2" t="str">
        <x:f>IF(COUNTA(A82:K82)=0,"",IF(AND(A82&lt;&gt;"",COUNTIF($A$5:$A$304,A82)&gt;1),"REVISAR",IF(AND(F82="EXCLUIDA",G82="No",I82&lt;&gt;"",K82&lt;&gt;""),"EXCLUIDO",IF(AND(A82&lt;&gt;"",B82&lt;&gt;"",C82&lt;&gt;"",D82&lt;&gt;"",E82&lt;&gt;"",OR(F82="CORRECTA",F82="RESPUESTA ESPERADA",F82="FALLO CONFIRMADO"),G82="Sí",I82&lt;&gt;"",J82&lt;&gt;""),"VÁLIDO","INCOMPLETO"))))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2" t="str">
        <x:f>IF(COUNTA(A83:K83)=0,"",IF(AND(A83&lt;&gt;"",COUNTIF($A$5:$A$304,A83)&gt;1),"REVISAR",IF(AND(F83="EXCLUIDA",G83="No",I83&lt;&gt;"",K83&lt;&gt;""),"EXCLUIDO",IF(AND(A83&lt;&gt;"",B83&lt;&gt;"",C83&lt;&gt;"",D83&lt;&gt;"",E83&lt;&gt;"",OR(F83="CORRECTA",F83="RESPUESTA ESPERADA",F83="FALLO CONFIRMADO"),G83="Sí",I83&lt;&gt;"",J83&lt;&gt;""),"VÁLIDO","INCOMPLETO"))))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2" t="str">
        <x:f>IF(COUNTA(A84:K84)=0,"",IF(AND(A84&lt;&gt;"",COUNTIF($A$5:$A$304,A84)&gt;1),"REVISAR",IF(AND(F84="EXCLUIDA",G84="No",I84&lt;&gt;"",K84&lt;&gt;""),"EXCLUIDO",IF(AND(A84&lt;&gt;"",B84&lt;&gt;"",C84&lt;&gt;"",D84&lt;&gt;"",E84&lt;&gt;"",OR(F84="CORRECTA",F84="RESPUESTA ESPERADA",F84="FALLO CONFIRMADO"),G84="Sí",I84&lt;&gt;"",J84&lt;&gt;""),"VÁLIDO","INCOMPLETO"))))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2" t="str">
        <x:f>IF(COUNTA(A85:K85)=0,"",IF(AND(A85&lt;&gt;"",COUNTIF($A$5:$A$304,A85)&gt;1),"REVISAR",IF(AND(F85="EXCLUIDA",G85="No",I85&lt;&gt;"",K85&lt;&gt;""),"EXCLUIDO",IF(AND(A85&lt;&gt;"",B85&lt;&gt;"",C85&lt;&gt;"",D85&lt;&gt;"",E85&lt;&gt;"",OR(F85="CORRECTA",F85="RESPUESTA ESPERADA",F85="FALLO CONFIRMADO"),G85="Sí",I85&lt;&gt;"",J85&lt;&gt;""),"VÁLIDO","INCOMPLETO"))))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2" t="str">
        <x:f>IF(COUNTA(A86:K86)=0,"",IF(AND(A86&lt;&gt;"",COUNTIF($A$5:$A$304,A86)&gt;1),"REVISAR",IF(AND(F86="EXCLUIDA",G86="No",I86&lt;&gt;"",K86&lt;&gt;""),"EXCLUIDO",IF(AND(A86&lt;&gt;"",B86&lt;&gt;"",C86&lt;&gt;"",D86&lt;&gt;"",E86&lt;&gt;"",OR(F86="CORRECTA",F86="RESPUESTA ESPERADA",F86="FALLO CONFIRMADO"),G86="Sí",I86&lt;&gt;"",J86&lt;&gt;""),"VÁLIDO","INCOMPLETO"))))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2" t="str">
        <x:f>IF(COUNTA(A87:K87)=0,"",IF(AND(A87&lt;&gt;"",COUNTIF($A$5:$A$304,A87)&gt;1),"REVISAR",IF(AND(F87="EXCLUIDA",G87="No",I87&lt;&gt;"",K87&lt;&gt;""),"EXCLUIDO",IF(AND(A87&lt;&gt;"",B87&lt;&gt;"",C87&lt;&gt;"",D87&lt;&gt;"",E87&lt;&gt;"",OR(F87="CORRECTA",F87="RESPUESTA ESPERADA",F87="FALLO CONFIRMADO"),G87="Sí",I87&lt;&gt;"",J87&lt;&gt;""),"VÁLIDO","INCOMPLETO"))))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2" t="str">
        <x:f>IF(COUNTA(A88:K88)=0,"",IF(AND(A88&lt;&gt;"",COUNTIF($A$5:$A$304,A88)&gt;1),"REVISAR",IF(AND(F88="EXCLUIDA",G88="No",I88&lt;&gt;"",K88&lt;&gt;""),"EXCLUIDO",IF(AND(A88&lt;&gt;"",B88&lt;&gt;"",C88&lt;&gt;"",D88&lt;&gt;"",E88&lt;&gt;"",OR(F88="CORRECTA",F88="RESPUESTA ESPERADA",F88="FALLO CONFIRMADO"),G88="Sí",I88&lt;&gt;"",J88&lt;&gt;""),"VÁLIDO","INCOMPLETO"))))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2" t="str">
        <x:f>IF(COUNTA(A89:K89)=0,"",IF(AND(A89&lt;&gt;"",COUNTIF($A$5:$A$304,A89)&gt;1),"REVISAR",IF(AND(F89="EXCLUIDA",G89="No",I89&lt;&gt;"",K89&lt;&gt;""),"EXCLUIDO",IF(AND(A89&lt;&gt;"",B89&lt;&gt;"",C89&lt;&gt;"",D89&lt;&gt;"",E89&lt;&gt;"",OR(F89="CORRECTA",F89="RESPUESTA ESPERADA",F89="FALLO CONFIRMADO"),G89="Sí",I89&lt;&gt;"",J89&lt;&gt;""),"VÁLIDO","INCOMPLETO"))))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2" t="str">
        <x:f>IF(COUNTA(A90:K90)=0,"",IF(AND(A90&lt;&gt;"",COUNTIF($A$5:$A$304,A90)&gt;1),"REVISAR",IF(AND(F90="EXCLUIDA",G90="No",I90&lt;&gt;"",K90&lt;&gt;""),"EXCLUIDO",IF(AND(A90&lt;&gt;"",B90&lt;&gt;"",C90&lt;&gt;"",D90&lt;&gt;"",E90&lt;&gt;"",OR(F90="CORRECTA",F90="RESPUESTA ESPERADA",F90="FALLO CONFIRMADO"),G90="Sí",I90&lt;&gt;"",J90&lt;&gt;""),"VÁLIDO","INCOMPLETO"))))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2" t="str">
        <x:f>IF(COUNTA(A91:K91)=0,"",IF(AND(A91&lt;&gt;"",COUNTIF($A$5:$A$304,A91)&gt;1),"REVISAR",IF(AND(F91="EXCLUIDA",G91="No",I91&lt;&gt;"",K91&lt;&gt;""),"EXCLUIDO",IF(AND(A91&lt;&gt;"",B91&lt;&gt;"",C91&lt;&gt;"",D91&lt;&gt;"",E91&lt;&gt;"",OR(F91="CORRECTA",F91="RESPUESTA ESPERADA",F91="FALLO CONFIRMADO"),G91="Sí",I91&lt;&gt;"",J91&lt;&gt;""),"VÁLIDO","INCOMPLETO"))))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2" t="str">
        <x:f>IF(COUNTA(A92:K92)=0,"",IF(AND(A92&lt;&gt;"",COUNTIF($A$5:$A$304,A92)&gt;1),"REVISAR",IF(AND(F92="EXCLUIDA",G92="No",I92&lt;&gt;"",K92&lt;&gt;""),"EXCLUIDO",IF(AND(A92&lt;&gt;"",B92&lt;&gt;"",C92&lt;&gt;"",D92&lt;&gt;"",E92&lt;&gt;"",OR(F92="CORRECTA",F92="RESPUESTA ESPERADA",F92="FALLO CONFIRMADO"),G92="Sí",I92&lt;&gt;"",J92&lt;&gt;""),"VÁLIDO","INCOMPLETO"))))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2" t="str">
        <x:f>IF(COUNTA(A93:K93)=0,"",IF(AND(A93&lt;&gt;"",COUNTIF($A$5:$A$304,A93)&gt;1),"REVISAR",IF(AND(F93="EXCLUIDA",G93="No",I93&lt;&gt;"",K93&lt;&gt;""),"EXCLUIDO",IF(AND(A93&lt;&gt;"",B93&lt;&gt;"",C93&lt;&gt;"",D93&lt;&gt;"",E93&lt;&gt;"",OR(F93="CORRECTA",F93="RESPUESTA ESPERADA",F93="FALLO CONFIRMADO"),G93="Sí",I93&lt;&gt;"",J93&lt;&gt;""),"VÁLIDO","INCOMPLETO"))))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2" t="str">
        <x:f>IF(COUNTA(A94:K94)=0,"",IF(AND(A94&lt;&gt;"",COUNTIF($A$5:$A$304,A94)&gt;1),"REVISAR",IF(AND(F94="EXCLUIDA",G94="No",I94&lt;&gt;"",K94&lt;&gt;""),"EXCLUIDO",IF(AND(A94&lt;&gt;"",B94&lt;&gt;"",C94&lt;&gt;"",D94&lt;&gt;"",E94&lt;&gt;"",OR(F94="CORRECTA",F94="RESPUESTA ESPERADA",F94="FALLO CONFIRMADO"),G94="Sí",I94&lt;&gt;"",J94&lt;&gt;""),"VÁLIDO","INCOMPLETO"))))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2" t="str">
        <x:f>IF(COUNTA(A95:K95)=0,"",IF(AND(A95&lt;&gt;"",COUNTIF($A$5:$A$304,A95)&gt;1),"REVISAR",IF(AND(F95="EXCLUIDA",G95="No",I95&lt;&gt;"",K95&lt;&gt;""),"EXCLUIDO",IF(AND(A95&lt;&gt;"",B95&lt;&gt;"",C95&lt;&gt;"",D95&lt;&gt;"",E95&lt;&gt;"",OR(F95="CORRECTA",F95="RESPUESTA ESPERADA",F95="FALLO CONFIRMADO"),G95="Sí",I95&lt;&gt;"",J95&lt;&gt;""),"VÁLIDO","INCOMPLETO"))))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2" t="str">
        <x:f>IF(COUNTA(A96:K96)=0,"",IF(AND(A96&lt;&gt;"",COUNTIF($A$5:$A$304,A96)&gt;1),"REVISAR",IF(AND(F96="EXCLUIDA",G96="No",I96&lt;&gt;"",K96&lt;&gt;""),"EXCLUIDO",IF(AND(A96&lt;&gt;"",B96&lt;&gt;"",C96&lt;&gt;"",D96&lt;&gt;"",E96&lt;&gt;"",OR(F96="CORRECTA",F96="RESPUESTA ESPERADA",F96="FALLO CONFIRMADO"),G96="Sí",I96&lt;&gt;"",J96&lt;&gt;""),"VÁLIDO","INCOMPLETO"))))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2" t="str">
        <x:f>IF(COUNTA(A97:K97)=0,"",IF(AND(A97&lt;&gt;"",COUNTIF($A$5:$A$304,A97)&gt;1),"REVISAR",IF(AND(F97="EXCLUIDA",G97="No",I97&lt;&gt;"",K97&lt;&gt;""),"EXCLUIDO",IF(AND(A97&lt;&gt;"",B97&lt;&gt;"",C97&lt;&gt;"",D97&lt;&gt;"",E97&lt;&gt;"",OR(F97="CORRECTA",F97="RESPUESTA ESPERADA",F97="FALLO CONFIRMADO"),G97="Sí",I97&lt;&gt;"",J97&lt;&gt;""),"VÁLIDO","INCOMPLETO"))))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2" t="str">
        <x:f>IF(COUNTA(A98:K98)=0,"",IF(AND(A98&lt;&gt;"",COUNTIF($A$5:$A$304,A98)&gt;1),"REVISAR",IF(AND(F98="EXCLUIDA",G98="No",I98&lt;&gt;"",K98&lt;&gt;""),"EXCLUIDO",IF(AND(A98&lt;&gt;"",B98&lt;&gt;"",C98&lt;&gt;"",D98&lt;&gt;"",E98&lt;&gt;"",OR(F98="CORRECTA",F98="RESPUESTA ESPERADA",F98="FALLO CONFIRMADO"),G98="Sí",I98&lt;&gt;"",J98&lt;&gt;""),"VÁLIDO","INCOMPLETO"))))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2" t="str">
        <x:f>IF(COUNTA(A99:K99)=0,"",IF(AND(A99&lt;&gt;"",COUNTIF($A$5:$A$304,A99)&gt;1),"REVISAR",IF(AND(F99="EXCLUIDA",G99="No",I99&lt;&gt;"",K99&lt;&gt;""),"EXCLUIDO",IF(AND(A99&lt;&gt;"",B99&lt;&gt;"",C99&lt;&gt;"",D99&lt;&gt;"",E99&lt;&gt;"",OR(F99="CORRECTA",F99="RESPUESTA ESPERADA",F99="FALLO CONFIRMADO"),G99="Sí",I99&lt;&gt;"",J99&lt;&gt;""),"VÁLIDO","INCOMPLETO"))))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2" t="str">
        <x:f>IF(COUNTA(A100:K100)=0,"",IF(AND(A100&lt;&gt;"",COUNTIF($A$5:$A$304,A100)&gt;1),"REVISAR",IF(AND(F100="EXCLUIDA",G100="No",I100&lt;&gt;"",K100&lt;&gt;""),"EXCLUIDO",IF(AND(A100&lt;&gt;"",B100&lt;&gt;"",C100&lt;&gt;"",D100&lt;&gt;"",E100&lt;&gt;"",OR(F100="CORRECTA",F100="RESPUESTA ESPERADA",F100="FALLO CONFIRMADO"),G100="Sí",I100&lt;&gt;"",J100&lt;&gt;""),"VÁLIDO","INCOMPLETO"))))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2" t="str">
        <x:f>IF(COUNTA(A101:K101)=0,"",IF(AND(A101&lt;&gt;"",COUNTIF($A$5:$A$304,A101)&gt;1),"REVISAR",IF(AND(F101="EXCLUIDA",G101="No",I101&lt;&gt;"",K101&lt;&gt;""),"EXCLUIDO",IF(AND(A101&lt;&gt;"",B101&lt;&gt;"",C101&lt;&gt;"",D101&lt;&gt;"",E101&lt;&gt;"",OR(F101="CORRECTA",F101="RESPUESTA ESPERADA",F101="FALLO CONFIRMADO"),G101="Sí",I101&lt;&gt;"",J101&lt;&gt;""),"VÁLIDO","INCOMPLETO"))))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2" t="str">
        <x:f>IF(COUNTA(A102:K102)=0,"",IF(AND(A102&lt;&gt;"",COUNTIF($A$5:$A$304,A102)&gt;1),"REVISAR",IF(AND(F102="EXCLUIDA",G102="No",I102&lt;&gt;"",K102&lt;&gt;""),"EXCLUIDO",IF(AND(A102&lt;&gt;"",B102&lt;&gt;"",C102&lt;&gt;"",D102&lt;&gt;"",E102&lt;&gt;"",OR(F102="CORRECTA",F102="RESPUESTA ESPERADA",F102="FALLO CONFIRMADO"),G102="Sí",I102&lt;&gt;"",J102&lt;&gt;""),"VÁLIDO","INCOMPLETO"))))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2" t="str">
        <x:f>IF(COUNTA(A103:K103)=0,"",IF(AND(A103&lt;&gt;"",COUNTIF($A$5:$A$304,A103)&gt;1),"REVISAR",IF(AND(F103="EXCLUIDA",G103="No",I103&lt;&gt;"",K103&lt;&gt;""),"EXCLUIDO",IF(AND(A103&lt;&gt;"",B103&lt;&gt;"",C103&lt;&gt;"",D103&lt;&gt;"",E103&lt;&gt;"",OR(F103="CORRECTA",F103="RESPUESTA ESPERADA",F103="FALLO CONFIRMADO"),G103="Sí",I103&lt;&gt;"",J103&lt;&gt;""),"VÁLIDO","INCOMPLETO"))))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2" t="str">
        <x:f>IF(COUNTA(A104:K104)=0,"",IF(AND(A104&lt;&gt;"",COUNTIF($A$5:$A$304,A104)&gt;1),"REVISAR",IF(AND(F104="EXCLUIDA",G104="No",I104&lt;&gt;"",K104&lt;&gt;""),"EXCLUIDO",IF(AND(A104&lt;&gt;"",B104&lt;&gt;"",C104&lt;&gt;"",D104&lt;&gt;"",E104&lt;&gt;"",OR(F104="CORRECTA",F104="RESPUESTA ESPERADA",F104="FALLO CONFIRMADO"),G104="Sí",I104&lt;&gt;"",J104&lt;&gt;""),"VÁLIDO","INCOMPLETO"))))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2" t="str">
        <x:f>IF(COUNTA(A105:K105)=0,"",IF(AND(A105&lt;&gt;"",COUNTIF($A$5:$A$304,A105)&gt;1),"REVISAR",IF(AND(F105="EXCLUIDA",G105="No",I105&lt;&gt;"",K105&lt;&gt;""),"EXCLUIDO",IF(AND(A105&lt;&gt;"",B105&lt;&gt;"",C105&lt;&gt;"",D105&lt;&gt;"",E105&lt;&gt;"",OR(F105="CORRECTA",F105="RESPUESTA ESPERADA",F105="FALLO CONFIRMADO"),G105="Sí",I105&lt;&gt;"",J105&lt;&gt;""),"VÁLIDO","INCOMPLETO"))))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2" t="str">
        <x:f>IF(COUNTA(A106:K106)=0,"",IF(AND(A106&lt;&gt;"",COUNTIF($A$5:$A$304,A106)&gt;1),"REVISAR",IF(AND(F106="EXCLUIDA",G106="No",I106&lt;&gt;"",K106&lt;&gt;""),"EXCLUIDO",IF(AND(A106&lt;&gt;"",B106&lt;&gt;"",C106&lt;&gt;"",D106&lt;&gt;"",E106&lt;&gt;"",OR(F106="CORRECTA",F106="RESPUESTA ESPERADA",F106="FALLO CONFIRMADO"),G106="Sí",I106&lt;&gt;"",J106&lt;&gt;""),"VÁLIDO","INCOMPLETO"))))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2" t="str">
        <x:f>IF(COUNTA(A107:K107)=0,"",IF(AND(A107&lt;&gt;"",COUNTIF($A$5:$A$304,A107)&gt;1),"REVISAR",IF(AND(F107="EXCLUIDA",G107="No",I107&lt;&gt;"",K107&lt;&gt;""),"EXCLUIDO",IF(AND(A107&lt;&gt;"",B107&lt;&gt;"",C107&lt;&gt;"",D107&lt;&gt;"",E107&lt;&gt;"",OR(F107="CORRECTA",F107="RESPUESTA ESPERADA",F107="FALLO CONFIRMADO"),G107="Sí",I107&lt;&gt;"",J107&lt;&gt;""),"VÁLIDO","INCOMPLETO"))))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2" t="str">
        <x:f>IF(COUNTA(A108:K108)=0,"",IF(AND(A108&lt;&gt;"",COUNTIF($A$5:$A$304,A108)&gt;1),"REVISAR",IF(AND(F108="EXCLUIDA",G108="No",I108&lt;&gt;"",K108&lt;&gt;""),"EXCLUIDO",IF(AND(A108&lt;&gt;"",B108&lt;&gt;"",C108&lt;&gt;"",D108&lt;&gt;"",E108&lt;&gt;"",OR(F108="CORRECTA",F108="RESPUESTA ESPERADA",F108="FALLO CONFIRMADO"),G108="Sí",I108&lt;&gt;"",J108&lt;&gt;""),"VÁLIDO","INCOMPLETO"))))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2" t="str">
        <x:f>IF(COUNTA(A109:K109)=0,"",IF(AND(A109&lt;&gt;"",COUNTIF($A$5:$A$304,A109)&gt;1),"REVISAR",IF(AND(F109="EXCLUIDA",G109="No",I109&lt;&gt;"",K109&lt;&gt;""),"EXCLUIDO",IF(AND(A109&lt;&gt;"",B109&lt;&gt;"",C109&lt;&gt;"",D109&lt;&gt;"",E109&lt;&gt;"",OR(F109="CORRECTA",F109="RESPUESTA ESPERADA",F109="FALLO CONFIRMADO"),G109="Sí",I109&lt;&gt;"",J109&lt;&gt;""),"VÁLIDO","INCOMPLETO"))))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2" t="str">
        <x:f>IF(COUNTA(A110:K110)=0,"",IF(AND(A110&lt;&gt;"",COUNTIF($A$5:$A$304,A110)&gt;1),"REVISAR",IF(AND(F110="EXCLUIDA",G110="No",I110&lt;&gt;"",K110&lt;&gt;""),"EXCLUIDO",IF(AND(A110&lt;&gt;"",B110&lt;&gt;"",C110&lt;&gt;"",D110&lt;&gt;"",E110&lt;&gt;"",OR(F110="CORRECTA",F110="RESPUESTA ESPERADA",F110="FALLO CONFIRMADO"),G110="Sí",I110&lt;&gt;"",J110&lt;&gt;""),"VÁLIDO","INCOMPLETO"))))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2" t="str">
        <x:f>IF(COUNTA(A111:K111)=0,"",IF(AND(A111&lt;&gt;"",COUNTIF($A$5:$A$304,A111)&gt;1),"REVISAR",IF(AND(F111="EXCLUIDA",G111="No",I111&lt;&gt;"",K111&lt;&gt;""),"EXCLUIDO",IF(AND(A111&lt;&gt;"",B111&lt;&gt;"",C111&lt;&gt;"",D111&lt;&gt;"",E111&lt;&gt;"",OR(F111="CORRECTA",F111="RESPUESTA ESPERADA",F111="FALLO CONFIRMADO"),G111="Sí",I111&lt;&gt;"",J111&lt;&gt;""),"VÁLIDO","INCOMPLETO"))))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2" t="str">
        <x:f>IF(COUNTA(A112:K112)=0,"",IF(AND(A112&lt;&gt;"",COUNTIF($A$5:$A$304,A112)&gt;1),"REVISAR",IF(AND(F112="EXCLUIDA",G112="No",I112&lt;&gt;"",K112&lt;&gt;""),"EXCLUIDO",IF(AND(A112&lt;&gt;"",B112&lt;&gt;"",C112&lt;&gt;"",D112&lt;&gt;"",E112&lt;&gt;"",OR(F112="CORRECTA",F112="RESPUESTA ESPERADA",F112="FALLO CONFIRMADO"),G112="Sí",I112&lt;&gt;"",J112&lt;&gt;""),"VÁLIDO","INCOMPLETO"))))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2" t="str">
        <x:f>IF(COUNTA(A113:K113)=0,"",IF(AND(A113&lt;&gt;"",COUNTIF($A$5:$A$304,A113)&gt;1),"REVISAR",IF(AND(F113="EXCLUIDA",G113="No",I113&lt;&gt;"",K113&lt;&gt;""),"EXCLUIDO",IF(AND(A113&lt;&gt;"",B113&lt;&gt;"",C113&lt;&gt;"",D113&lt;&gt;"",E113&lt;&gt;"",OR(F113="CORRECTA",F113="RESPUESTA ESPERADA",F113="FALLO CONFIRMADO"),G113="Sí",I113&lt;&gt;"",J113&lt;&gt;""),"VÁLIDO","INCOMPLETO"))))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2" t="str">
        <x:f>IF(COUNTA(A114:K114)=0,"",IF(AND(A114&lt;&gt;"",COUNTIF($A$5:$A$304,A114)&gt;1),"REVISAR",IF(AND(F114="EXCLUIDA",G114="No",I114&lt;&gt;"",K114&lt;&gt;""),"EXCLUIDO",IF(AND(A114&lt;&gt;"",B114&lt;&gt;"",C114&lt;&gt;"",D114&lt;&gt;"",E114&lt;&gt;"",OR(F114="CORRECTA",F114="RESPUESTA ESPERADA",F114="FALLO CONFIRMADO"),G114="Sí",I114&lt;&gt;"",J114&lt;&gt;""),"VÁLIDO","INCOMPLETO"))))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2" t="str">
        <x:f>IF(COUNTA(A115:K115)=0,"",IF(AND(A115&lt;&gt;"",COUNTIF($A$5:$A$304,A115)&gt;1),"REVISAR",IF(AND(F115="EXCLUIDA",G115="No",I115&lt;&gt;"",K115&lt;&gt;""),"EXCLUIDO",IF(AND(A115&lt;&gt;"",B115&lt;&gt;"",C115&lt;&gt;"",D115&lt;&gt;"",E115&lt;&gt;"",OR(F115="CORRECTA",F115="RESPUESTA ESPERADA",F115="FALLO CONFIRMADO"),G115="Sí",I115&lt;&gt;"",J115&lt;&gt;""),"VÁLIDO","INCOMPLETO"))))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2" t="str">
        <x:f>IF(COUNTA(A116:K116)=0,"",IF(AND(A116&lt;&gt;"",COUNTIF($A$5:$A$304,A116)&gt;1),"REVISAR",IF(AND(F116="EXCLUIDA",G116="No",I116&lt;&gt;"",K116&lt;&gt;""),"EXCLUIDO",IF(AND(A116&lt;&gt;"",B116&lt;&gt;"",C116&lt;&gt;"",D116&lt;&gt;"",E116&lt;&gt;"",OR(F116="CORRECTA",F116="RESPUESTA ESPERADA",F116="FALLO CONFIRMADO"),G116="Sí",I116&lt;&gt;"",J116&lt;&gt;""),"VÁLIDO","INCOMPLETO"))))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2" t="str">
        <x:f>IF(COUNTA(A117:K117)=0,"",IF(AND(A117&lt;&gt;"",COUNTIF($A$5:$A$304,A117)&gt;1),"REVISAR",IF(AND(F117="EXCLUIDA",G117="No",I117&lt;&gt;"",K117&lt;&gt;""),"EXCLUIDO",IF(AND(A117&lt;&gt;"",B117&lt;&gt;"",C117&lt;&gt;"",D117&lt;&gt;"",E117&lt;&gt;"",OR(F117="CORRECTA",F117="RESPUESTA ESPERADA",F117="FALLO CONFIRMADO"),G117="Sí",I117&lt;&gt;"",J117&lt;&gt;""),"VÁLIDO","INCOMPLETO"))))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2" t="str">
        <x:f>IF(COUNTA(A118:K118)=0,"",IF(AND(A118&lt;&gt;"",COUNTIF($A$5:$A$304,A118)&gt;1),"REVISAR",IF(AND(F118="EXCLUIDA",G118="No",I118&lt;&gt;"",K118&lt;&gt;""),"EXCLUIDO",IF(AND(A118&lt;&gt;"",B118&lt;&gt;"",C118&lt;&gt;"",D118&lt;&gt;"",E118&lt;&gt;"",OR(F118="CORRECTA",F118="RESPUESTA ESPERADA",F118="FALLO CONFIRMADO"),G118="Sí",I118&lt;&gt;"",J118&lt;&gt;""),"VÁLIDO","INCOMPLETO"))))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2" t="str">
        <x:f>IF(COUNTA(A119:K119)=0,"",IF(AND(A119&lt;&gt;"",COUNTIF($A$5:$A$304,A119)&gt;1),"REVISAR",IF(AND(F119="EXCLUIDA",G119="No",I119&lt;&gt;"",K119&lt;&gt;""),"EXCLUIDO",IF(AND(A119&lt;&gt;"",B119&lt;&gt;"",C119&lt;&gt;"",D119&lt;&gt;"",E119&lt;&gt;"",OR(F119="CORRECTA",F119="RESPUESTA ESPERADA",F119="FALLO CONFIRMADO"),G119="Sí",I119&lt;&gt;"",J119&lt;&gt;""),"VÁLIDO","INCOMPLETO"))))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2" t="str">
        <x:f>IF(COUNTA(A120:K120)=0,"",IF(AND(A120&lt;&gt;"",COUNTIF($A$5:$A$304,A120)&gt;1),"REVISAR",IF(AND(F120="EXCLUIDA",G120="No",I120&lt;&gt;"",K120&lt;&gt;""),"EXCLUIDO",IF(AND(A120&lt;&gt;"",B120&lt;&gt;"",C120&lt;&gt;"",D120&lt;&gt;"",E120&lt;&gt;"",OR(F120="CORRECTA",F120="RESPUESTA ESPERADA",F120="FALLO CONFIRMADO"),G120="Sí",I120&lt;&gt;"",J120&lt;&gt;""),"VÁLIDO","INCOMPLETO"))))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2" t="str">
        <x:f>IF(COUNTA(A121:K121)=0,"",IF(AND(A121&lt;&gt;"",COUNTIF($A$5:$A$304,A121)&gt;1),"REVISAR",IF(AND(F121="EXCLUIDA",G121="No",I121&lt;&gt;"",K121&lt;&gt;""),"EXCLUIDO",IF(AND(A121&lt;&gt;"",B121&lt;&gt;"",C121&lt;&gt;"",D121&lt;&gt;"",E121&lt;&gt;"",OR(F121="CORRECTA",F121="RESPUESTA ESPERADA",F121="FALLO CONFIRMADO"),G121="Sí",I121&lt;&gt;"",J121&lt;&gt;""),"VÁLIDO","INCOMPLETO"))))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2" t="str">
        <x:f>IF(COUNTA(A122:K122)=0,"",IF(AND(A122&lt;&gt;"",COUNTIF($A$5:$A$304,A122)&gt;1),"REVISAR",IF(AND(F122="EXCLUIDA",G122="No",I122&lt;&gt;"",K122&lt;&gt;""),"EXCLUIDO",IF(AND(A122&lt;&gt;"",B122&lt;&gt;"",C122&lt;&gt;"",D122&lt;&gt;"",E122&lt;&gt;"",OR(F122="CORRECTA",F122="RESPUESTA ESPERADA",F122="FALLO CONFIRMADO"),G122="Sí",I122&lt;&gt;"",J122&lt;&gt;""),"VÁLIDO","INCOMPLETO"))))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2" t="str">
        <x:f>IF(COUNTA(A123:K123)=0,"",IF(AND(A123&lt;&gt;"",COUNTIF($A$5:$A$304,A123)&gt;1),"REVISAR",IF(AND(F123="EXCLUIDA",G123="No",I123&lt;&gt;"",K123&lt;&gt;""),"EXCLUIDO",IF(AND(A123&lt;&gt;"",B123&lt;&gt;"",C123&lt;&gt;"",D123&lt;&gt;"",E123&lt;&gt;"",OR(F123="CORRECTA",F123="RESPUESTA ESPERADA",F123="FALLO CONFIRMADO"),G123="Sí",I123&lt;&gt;"",J123&lt;&gt;""),"VÁLIDO","INCOMPLETO"))))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2" t="str">
        <x:f>IF(COUNTA(A124:K124)=0,"",IF(AND(A124&lt;&gt;"",COUNTIF($A$5:$A$304,A124)&gt;1),"REVISAR",IF(AND(F124="EXCLUIDA",G124="No",I124&lt;&gt;"",K124&lt;&gt;""),"EXCLUIDO",IF(AND(A124&lt;&gt;"",B124&lt;&gt;"",C124&lt;&gt;"",D124&lt;&gt;"",E124&lt;&gt;"",OR(F124="CORRECTA",F124="RESPUESTA ESPERADA",F124="FALLO CONFIRMADO"),G124="Sí",I124&lt;&gt;"",J124&lt;&gt;""),"VÁLIDO","INCOMPLETO"))))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2" t="str">
        <x:f>IF(COUNTA(A125:K125)=0,"",IF(AND(A125&lt;&gt;"",COUNTIF($A$5:$A$304,A125)&gt;1),"REVISAR",IF(AND(F125="EXCLUIDA",G125="No",I125&lt;&gt;"",K125&lt;&gt;""),"EXCLUIDO",IF(AND(A125&lt;&gt;"",B125&lt;&gt;"",C125&lt;&gt;"",D125&lt;&gt;"",E125&lt;&gt;"",OR(F125="CORRECTA",F125="RESPUESTA ESPERADA",F125="FALLO CONFIRMADO"),G125="Sí",I125&lt;&gt;"",J125&lt;&gt;""),"VÁLIDO","INCOMPLETO"))))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2" t="str">
        <x:f>IF(COUNTA(A126:K126)=0,"",IF(AND(A126&lt;&gt;"",COUNTIF($A$5:$A$304,A126)&gt;1),"REVISAR",IF(AND(F126="EXCLUIDA",G126="No",I126&lt;&gt;"",K126&lt;&gt;""),"EXCLUIDO",IF(AND(A126&lt;&gt;"",B126&lt;&gt;"",C126&lt;&gt;"",D126&lt;&gt;"",E126&lt;&gt;"",OR(F126="CORRECTA",F126="RESPUESTA ESPERADA",F126="FALLO CONFIRMADO"),G126="Sí",I126&lt;&gt;"",J126&lt;&gt;""),"VÁLIDO","INCOMPLETO"))))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2" t="str">
        <x:f>IF(COUNTA(A127:K127)=0,"",IF(AND(A127&lt;&gt;"",COUNTIF($A$5:$A$304,A127)&gt;1),"REVISAR",IF(AND(F127="EXCLUIDA",G127="No",I127&lt;&gt;"",K127&lt;&gt;""),"EXCLUIDO",IF(AND(A127&lt;&gt;"",B127&lt;&gt;"",C127&lt;&gt;"",D127&lt;&gt;"",E127&lt;&gt;"",OR(F127="CORRECTA",F127="RESPUESTA ESPERADA",F127="FALLO CONFIRMADO"),G127="Sí",I127&lt;&gt;"",J127&lt;&gt;""),"VÁLIDO","INCOMPLETO"))))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2" t="str">
        <x:f>IF(COUNTA(A128:K128)=0,"",IF(AND(A128&lt;&gt;"",COUNTIF($A$5:$A$304,A128)&gt;1),"REVISAR",IF(AND(F128="EXCLUIDA",G128="No",I128&lt;&gt;"",K128&lt;&gt;""),"EXCLUIDO",IF(AND(A128&lt;&gt;"",B128&lt;&gt;"",C128&lt;&gt;"",D128&lt;&gt;"",E128&lt;&gt;"",OR(F128="CORRECTA",F128="RESPUESTA ESPERADA",F128="FALLO CONFIRMADO"),G128="Sí",I128&lt;&gt;"",J128&lt;&gt;""),"VÁLIDO","INCOMPLETO"))))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2" t="str">
        <x:f>IF(COUNTA(A129:K129)=0,"",IF(AND(A129&lt;&gt;"",COUNTIF($A$5:$A$304,A129)&gt;1),"REVISAR",IF(AND(F129="EXCLUIDA",G129="No",I129&lt;&gt;"",K129&lt;&gt;""),"EXCLUIDO",IF(AND(A129&lt;&gt;"",B129&lt;&gt;"",C129&lt;&gt;"",D129&lt;&gt;"",E129&lt;&gt;"",OR(F129="CORRECTA",F129="RESPUESTA ESPERADA",F129="FALLO CONFIRMADO"),G129="Sí",I129&lt;&gt;"",J129&lt;&gt;""),"VÁLIDO","INCOMPLETO"))))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2" t="str">
        <x:f>IF(COUNTA(A130:K130)=0,"",IF(AND(A130&lt;&gt;"",COUNTIF($A$5:$A$304,A130)&gt;1),"REVISAR",IF(AND(F130="EXCLUIDA",G130="No",I130&lt;&gt;"",K130&lt;&gt;""),"EXCLUIDO",IF(AND(A130&lt;&gt;"",B130&lt;&gt;"",C130&lt;&gt;"",D130&lt;&gt;"",E130&lt;&gt;"",OR(F130="CORRECTA",F130="RESPUESTA ESPERADA",F130="FALLO CONFIRMADO"),G130="Sí",I130&lt;&gt;"",J130&lt;&gt;""),"VÁLIDO","INCOMPLETO"))))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2" t="str">
        <x:f>IF(COUNTA(A131:K131)=0,"",IF(AND(A131&lt;&gt;"",COUNTIF($A$5:$A$304,A131)&gt;1),"REVISAR",IF(AND(F131="EXCLUIDA",G131="No",I131&lt;&gt;"",K131&lt;&gt;""),"EXCLUIDO",IF(AND(A131&lt;&gt;"",B131&lt;&gt;"",C131&lt;&gt;"",D131&lt;&gt;"",E131&lt;&gt;"",OR(F131="CORRECTA",F131="RESPUESTA ESPERADA",F131="FALLO CONFIRMADO"),G131="Sí",I131&lt;&gt;"",J131&lt;&gt;""),"VÁLIDO","INCOMPLETO"))))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2" t="str">
        <x:f>IF(COUNTA(A132:K132)=0,"",IF(AND(A132&lt;&gt;"",COUNTIF($A$5:$A$304,A132)&gt;1),"REVISAR",IF(AND(F132="EXCLUIDA",G132="No",I132&lt;&gt;"",K132&lt;&gt;""),"EXCLUIDO",IF(AND(A132&lt;&gt;"",B132&lt;&gt;"",C132&lt;&gt;"",D132&lt;&gt;"",E132&lt;&gt;"",OR(F132="CORRECTA",F132="RESPUESTA ESPERADA",F132="FALLO CONFIRMADO"),G132="Sí",I132&lt;&gt;"",J132&lt;&gt;""),"VÁLIDO","INCOMPLETO"))))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2" t="str">
        <x:f>IF(COUNTA(A133:K133)=0,"",IF(AND(A133&lt;&gt;"",COUNTIF($A$5:$A$304,A133)&gt;1),"REVISAR",IF(AND(F133="EXCLUIDA",G133="No",I133&lt;&gt;"",K133&lt;&gt;""),"EXCLUIDO",IF(AND(A133&lt;&gt;"",B133&lt;&gt;"",C133&lt;&gt;"",D133&lt;&gt;"",E133&lt;&gt;"",OR(F133="CORRECTA",F133="RESPUESTA ESPERADA",F133="FALLO CONFIRMADO"),G133="Sí",I133&lt;&gt;"",J133&lt;&gt;""),"VÁLIDO","INCOMPLETO"))))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2" t="str">
        <x:f>IF(COUNTA(A134:K134)=0,"",IF(AND(A134&lt;&gt;"",COUNTIF($A$5:$A$304,A134)&gt;1),"REVISAR",IF(AND(F134="EXCLUIDA",G134="No",I134&lt;&gt;"",K134&lt;&gt;""),"EXCLUIDO",IF(AND(A134&lt;&gt;"",B134&lt;&gt;"",C134&lt;&gt;"",D134&lt;&gt;"",E134&lt;&gt;"",OR(F134="CORRECTA",F134="RESPUESTA ESPERADA",F134="FALLO CONFIRMADO"),G134="Sí",I134&lt;&gt;"",J134&lt;&gt;""),"VÁLIDO","INCOMPLETO"))))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2" t="str">
        <x:f>IF(COUNTA(A135:K135)=0,"",IF(AND(A135&lt;&gt;"",COUNTIF($A$5:$A$304,A135)&gt;1),"REVISAR",IF(AND(F135="EXCLUIDA",G135="No",I135&lt;&gt;"",K135&lt;&gt;""),"EXCLUIDO",IF(AND(A135&lt;&gt;"",B135&lt;&gt;"",C135&lt;&gt;"",D135&lt;&gt;"",E135&lt;&gt;"",OR(F135="CORRECTA",F135="RESPUESTA ESPERADA",F135="FALLO CONFIRMADO"),G135="Sí",I135&lt;&gt;"",J135&lt;&gt;""),"VÁLIDO","INCOMPLETO"))))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2" t="str">
        <x:f>IF(COUNTA(A136:K136)=0,"",IF(AND(A136&lt;&gt;"",COUNTIF($A$5:$A$304,A136)&gt;1),"REVISAR",IF(AND(F136="EXCLUIDA",G136="No",I136&lt;&gt;"",K136&lt;&gt;""),"EXCLUIDO",IF(AND(A136&lt;&gt;"",B136&lt;&gt;"",C136&lt;&gt;"",D136&lt;&gt;"",E136&lt;&gt;"",OR(F136="CORRECTA",F136="RESPUESTA ESPERADA",F136="FALLO CONFIRMADO"),G136="Sí",I136&lt;&gt;"",J136&lt;&gt;""),"VÁLIDO","INCOMPLETO"))))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2" t="str">
        <x:f>IF(COUNTA(A137:K137)=0,"",IF(AND(A137&lt;&gt;"",COUNTIF($A$5:$A$304,A137)&gt;1),"REVISAR",IF(AND(F137="EXCLUIDA",G137="No",I137&lt;&gt;"",K137&lt;&gt;""),"EXCLUIDO",IF(AND(A137&lt;&gt;"",B137&lt;&gt;"",C137&lt;&gt;"",D137&lt;&gt;"",E137&lt;&gt;"",OR(F137="CORRECTA",F137="RESPUESTA ESPERADA",F137="FALLO CONFIRMADO"),G137="Sí",I137&lt;&gt;"",J137&lt;&gt;""),"VÁLIDO","INCOMPLETO"))))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2" t="str">
        <x:f>IF(COUNTA(A138:K138)=0,"",IF(AND(A138&lt;&gt;"",COUNTIF($A$5:$A$304,A138)&gt;1),"REVISAR",IF(AND(F138="EXCLUIDA",G138="No",I138&lt;&gt;"",K138&lt;&gt;""),"EXCLUIDO",IF(AND(A138&lt;&gt;"",B138&lt;&gt;"",C138&lt;&gt;"",D138&lt;&gt;"",E138&lt;&gt;"",OR(F138="CORRECTA",F138="RESPUESTA ESPERADA",F138="FALLO CONFIRMADO"),G138="Sí",I138&lt;&gt;"",J138&lt;&gt;""),"VÁLIDO","INCOMPLETO"))))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2" t="str">
        <x:f>IF(COUNTA(A139:K139)=0,"",IF(AND(A139&lt;&gt;"",COUNTIF($A$5:$A$304,A139)&gt;1),"REVISAR",IF(AND(F139="EXCLUIDA",G139="No",I139&lt;&gt;"",K139&lt;&gt;""),"EXCLUIDO",IF(AND(A139&lt;&gt;"",B139&lt;&gt;"",C139&lt;&gt;"",D139&lt;&gt;"",E139&lt;&gt;"",OR(F139="CORRECTA",F139="RESPUESTA ESPERADA",F139="FALLO CONFIRMADO"),G139="Sí",I139&lt;&gt;"",J139&lt;&gt;""),"VÁLIDO","INCOMPLETO"))))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2" t="str">
        <x:f>IF(COUNTA(A140:K140)=0,"",IF(AND(A140&lt;&gt;"",COUNTIF($A$5:$A$304,A140)&gt;1),"REVISAR",IF(AND(F140="EXCLUIDA",G140="No",I140&lt;&gt;"",K140&lt;&gt;""),"EXCLUIDO",IF(AND(A140&lt;&gt;"",B140&lt;&gt;"",C140&lt;&gt;"",D140&lt;&gt;"",E140&lt;&gt;"",OR(F140="CORRECTA",F140="RESPUESTA ESPERADA",F140="FALLO CONFIRMADO"),G140="Sí",I140&lt;&gt;"",J140&lt;&gt;""),"VÁLIDO","INCOMPLETO"))))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2" t="str">
        <x:f>IF(COUNTA(A141:K141)=0,"",IF(AND(A141&lt;&gt;"",COUNTIF($A$5:$A$304,A141)&gt;1),"REVISAR",IF(AND(F141="EXCLUIDA",G141="No",I141&lt;&gt;"",K141&lt;&gt;""),"EXCLUIDO",IF(AND(A141&lt;&gt;"",B141&lt;&gt;"",C141&lt;&gt;"",D141&lt;&gt;"",E141&lt;&gt;"",OR(F141="CORRECTA",F141="RESPUESTA ESPERADA",F141="FALLO CONFIRMADO"),G141="Sí",I141&lt;&gt;"",J141&lt;&gt;""),"VÁLIDO","INCOMPLETO"))))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2" t="str">
        <x:f>IF(COUNTA(A142:K142)=0,"",IF(AND(A142&lt;&gt;"",COUNTIF($A$5:$A$304,A142)&gt;1),"REVISAR",IF(AND(F142="EXCLUIDA",G142="No",I142&lt;&gt;"",K142&lt;&gt;""),"EXCLUIDO",IF(AND(A142&lt;&gt;"",B142&lt;&gt;"",C142&lt;&gt;"",D142&lt;&gt;"",E142&lt;&gt;"",OR(F142="CORRECTA",F142="RESPUESTA ESPERADA",F142="FALLO CONFIRMADO"),G142="Sí",I142&lt;&gt;"",J142&lt;&gt;""),"VÁLIDO","INCOMPLETO"))))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2" t="str">
        <x:f>IF(COUNTA(A143:K143)=0,"",IF(AND(A143&lt;&gt;"",COUNTIF($A$5:$A$304,A143)&gt;1),"REVISAR",IF(AND(F143="EXCLUIDA",G143="No",I143&lt;&gt;"",K143&lt;&gt;""),"EXCLUIDO",IF(AND(A143&lt;&gt;"",B143&lt;&gt;"",C143&lt;&gt;"",D143&lt;&gt;"",E143&lt;&gt;"",OR(F143="CORRECTA",F143="RESPUESTA ESPERADA",F143="FALLO CONFIRMADO"),G143="Sí",I143&lt;&gt;"",J143&lt;&gt;""),"VÁLIDO","INCOMPLETO"))))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2" t="str">
        <x:f>IF(COUNTA(A144:K144)=0,"",IF(AND(A144&lt;&gt;"",COUNTIF($A$5:$A$304,A144)&gt;1),"REVISAR",IF(AND(F144="EXCLUIDA",G144="No",I144&lt;&gt;"",K144&lt;&gt;""),"EXCLUIDO",IF(AND(A144&lt;&gt;"",B144&lt;&gt;"",C144&lt;&gt;"",D144&lt;&gt;"",E144&lt;&gt;"",OR(F144="CORRECTA",F144="RESPUESTA ESPERADA",F144="FALLO CONFIRMADO"),G144="Sí",I144&lt;&gt;"",J144&lt;&gt;""),"VÁLIDO","INCOMPLETO"))))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2" t="str">
        <x:f>IF(COUNTA(A145:K145)=0,"",IF(AND(A145&lt;&gt;"",COUNTIF($A$5:$A$304,A145)&gt;1),"REVISAR",IF(AND(F145="EXCLUIDA",G145="No",I145&lt;&gt;"",K145&lt;&gt;""),"EXCLUIDO",IF(AND(A145&lt;&gt;"",B145&lt;&gt;"",C145&lt;&gt;"",D145&lt;&gt;"",E145&lt;&gt;"",OR(F145="CORRECTA",F145="RESPUESTA ESPERADA",F145="FALLO CONFIRMADO"),G145="Sí",I145&lt;&gt;"",J145&lt;&gt;""),"VÁLIDO","INCOMPLETO"))))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2" t="str">
        <x:f>IF(COUNTA(A146:K146)=0,"",IF(AND(A146&lt;&gt;"",COUNTIF($A$5:$A$304,A146)&gt;1),"REVISAR",IF(AND(F146="EXCLUIDA",G146="No",I146&lt;&gt;"",K146&lt;&gt;""),"EXCLUIDO",IF(AND(A146&lt;&gt;"",B146&lt;&gt;"",C146&lt;&gt;"",D146&lt;&gt;"",E146&lt;&gt;"",OR(F146="CORRECTA",F146="RESPUESTA ESPERADA",F146="FALLO CONFIRMADO"),G146="Sí",I146&lt;&gt;"",J146&lt;&gt;""),"VÁLIDO","INCOMPLETO"))))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2" t="str">
        <x:f>IF(COUNTA(A147:K147)=0,"",IF(AND(A147&lt;&gt;"",COUNTIF($A$5:$A$304,A147)&gt;1),"REVISAR",IF(AND(F147="EXCLUIDA",G147="No",I147&lt;&gt;"",K147&lt;&gt;""),"EXCLUIDO",IF(AND(A147&lt;&gt;"",B147&lt;&gt;"",C147&lt;&gt;"",D147&lt;&gt;"",E147&lt;&gt;"",OR(F147="CORRECTA",F147="RESPUESTA ESPERADA",F147="FALLO CONFIRMADO"),G147="Sí",I147&lt;&gt;"",J147&lt;&gt;""),"VÁLIDO","INCOMPLETO"))))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2" t="str">
        <x:f>IF(COUNTA(A148:K148)=0,"",IF(AND(A148&lt;&gt;"",COUNTIF($A$5:$A$304,A148)&gt;1),"REVISAR",IF(AND(F148="EXCLUIDA",G148="No",I148&lt;&gt;"",K148&lt;&gt;""),"EXCLUIDO",IF(AND(A148&lt;&gt;"",B148&lt;&gt;"",C148&lt;&gt;"",D148&lt;&gt;"",E148&lt;&gt;"",OR(F148="CORRECTA",F148="RESPUESTA ESPERADA",F148="FALLO CONFIRMADO"),G148="Sí",I148&lt;&gt;"",J148&lt;&gt;""),"VÁLIDO","INCOMPLETO"))))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2" t="str">
        <x:f>IF(COUNTA(A149:K149)=0,"",IF(AND(A149&lt;&gt;"",COUNTIF($A$5:$A$304,A149)&gt;1),"REVISAR",IF(AND(F149="EXCLUIDA",G149="No",I149&lt;&gt;"",K149&lt;&gt;""),"EXCLUIDO",IF(AND(A149&lt;&gt;"",B149&lt;&gt;"",C149&lt;&gt;"",D149&lt;&gt;"",E149&lt;&gt;"",OR(F149="CORRECTA",F149="RESPUESTA ESPERADA",F149="FALLO CONFIRMADO"),G149="Sí",I149&lt;&gt;"",J149&lt;&gt;""),"VÁLIDO","INCOMPLETO"))))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2" t="str">
        <x:f>IF(COUNTA(A150:K150)=0,"",IF(AND(A150&lt;&gt;"",COUNTIF($A$5:$A$304,A150)&gt;1),"REVISAR",IF(AND(F150="EXCLUIDA",G150="No",I150&lt;&gt;"",K150&lt;&gt;""),"EXCLUIDO",IF(AND(A150&lt;&gt;"",B150&lt;&gt;"",C150&lt;&gt;"",D150&lt;&gt;"",E150&lt;&gt;"",OR(F150="CORRECTA",F150="RESPUESTA ESPERADA",F150="FALLO CONFIRMADO"),G150="Sí",I150&lt;&gt;"",J150&lt;&gt;""),"VÁLIDO","INCOMPLETO"))))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2" t="str">
        <x:f>IF(COUNTA(A151:K151)=0,"",IF(AND(A151&lt;&gt;"",COUNTIF($A$5:$A$304,A151)&gt;1),"REVISAR",IF(AND(F151="EXCLUIDA",G151="No",I151&lt;&gt;"",K151&lt;&gt;""),"EXCLUIDO",IF(AND(A151&lt;&gt;"",B151&lt;&gt;"",C151&lt;&gt;"",D151&lt;&gt;"",E151&lt;&gt;"",OR(F151="CORRECTA",F151="RESPUESTA ESPERADA",F151="FALLO CONFIRMADO"),G151="Sí",I151&lt;&gt;"",J151&lt;&gt;""),"VÁLIDO","INCOMPLETO"))))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2" t="str">
        <x:f>IF(COUNTA(A152:K152)=0,"",IF(AND(A152&lt;&gt;"",COUNTIF($A$5:$A$304,A152)&gt;1),"REVISAR",IF(AND(F152="EXCLUIDA",G152="No",I152&lt;&gt;"",K152&lt;&gt;""),"EXCLUIDO",IF(AND(A152&lt;&gt;"",B152&lt;&gt;"",C152&lt;&gt;"",D152&lt;&gt;"",E152&lt;&gt;"",OR(F152="CORRECTA",F152="RESPUESTA ESPERADA",F152="FALLO CONFIRMADO"),G152="Sí",I152&lt;&gt;"",J152&lt;&gt;""),"VÁLIDO","INCOMPLETO"))))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2" t="str">
        <x:f>IF(COUNTA(A153:K153)=0,"",IF(AND(A153&lt;&gt;"",COUNTIF($A$5:$A$304,A153)&gt;1),"REVISAR",IF(AND(F153="EXCLUIDA",G153="No",I153&lt;&gt;"",K153&lt;&gt;""),"EXCLUIDO",IF(AND(A153&lt;&gt;"",B153&lt;&gt;"",C153&lt;&gt;"",D153&lt;&gt;"",E153&lt;&gt;"",OR(F153="CORRECTA",F153="RESPUESTA ESPERADA",F153="FALLO CONFIRMADO"),G153="Sí",I153&lt;&gt;"",J153&lt;&gt;""),"VÁLIDO","INCOMPLETO"))))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2" t="str">
        <x:f>IF(COUNTA(A154:K154)=0,"",IF(AND(A154&lt;&gt;"",COUNTIF($A$5:$A$304,A154)&gt;1),"REVISAR",IF(AND(F154="EXCLUIDA",G154="No",I154&lt;&gt;"",K154&lt;&gt;""),"EXCLUIDO",IF(AND(A154&lt;&gt;"",B154&lt;&gt;"",C154&lt;&gt;"",D154&lt;&gt;"",E154&lt;&gt;"",OR(F154="CORRECTA",F154="RESPUESTA ESPERADA",F154="FALLO CONFIRMADO"),G154="Sí",I154&lt;&gt;"",J154&lt;&gt;""),"VÁLIDO","INCOMPLETO"))))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2" t="str">
        <x:f>IF(COUNTA(A155:K155)=0,"",IF(AND(A155&lt;&gt;"",COUNTIF($A$5:$A$304,A155)&gt;1),"REVISAR",IF(AND(F155="EXCLUIDA",G155="No",I155&lt;&gt;"",K155&lt;&gt;""),"EXCLUIDO",IF(AND(A155&lt;&gt;"",B155&lt;&gt;"",C155&lt;&gt;"",D155&lt;&gt;"",E155&lt;&gt;"",OR(F155="CORRECTA",F155="RESPUESTA ESPERADA",F155="FALLO CONFIRMADO"),G155="Sí",I155&lt;&gt;"",J155&lt;&gt;""),"VÁLIDO","INCOMPLETO"))))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2" t="str">
        <x:f>IF(COUNTA(A156:K156)=0,"",IF(AND(A156&lt;&gt;"",COUNTIF($A$5:$A$304,A156)&gt;1),"REVISAR",IF(AND(F156="EXCLUIDA",G156="No",I156&lt;&gt;"",K156&lt;&gt;""),"EXCLUIDO",IF(AND(A156&lt;&gt;"",B156&lt;&gt;"",C156&lt;&gt;"",D156&lt;&gt;"",E156&lt;&gt;"",OR(F156="CORRECTA",F156="RESPUESTA ESPERADA",F156="FALLO CONFIRMADO"),G156="Sí",I156&lt;&gt;"",J156&lt;&gt;""),"VÁLIDO","INCOMPLETO"))))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2" t="str">
        <x:f>IF(COUNTA(A157:K157)=0,"",IF(AND(A157&lt;&gt;"",COUNTIF($A$5:$A$304,A157)&gt;1),"REVISAR",IF(AND(F157="EXCLUIDA",G157="No",I157&lt;&gt;"",K157&lt;&gt;""),"EXCLUIDO",IF(AND(A157&lt;&gt;"",B157&lt;&gt;"",C157&lt;&gt;"",D157&lt;&gt;"",E157&lt;&gt;"",OR(F157="CORRECTA",F157="RESPUESTA ESPERADA",F157="FALLO CONFIRMADO"),G157="Sí",I157&lt;&gt;"",J157&lt;&gt;""),"VÁLIDO","INCOMPLETO"))))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2" t="str">
        <x:f>IF(COUNTA(A158:K158)=0,"",IF(AND(A158&lt;&gt;"",COUNTIF($A$5:$A$304,A158)&gt;1),"REVISAR",IF(AND(F158="EXCLUIDA",G158="No",I158&lt;&gt;"",K158&lt;&gt;""),"EXCLUIDO",IF(AND(A158&lt;&gt;"",B158&lt;&gt;"",C158&lt;&gt;"",D158&lt;&gt;"",E158&lt;&gt;"",OR(F158="CORRECTA",F158="RESPUESTA ESPERADA",F158="FALLO CONFIRMADO"),G158="Sí",I158&lt;&gt;"",J158&lt;&gt;""),"VÁLIDO","INCOMPLETO"))))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2" t="str">
        <x:f>IF(COUNTA(A159:K159)=0,"",IF(AND(A159&lt;&gt;"",COUNTIF($A$5:$A$304,A159)&gt;1),"REVISAR",IF(AND(F159="EXCLUIDA",G159="No",I159&lt;&gt;"",K159&lt;&gt;""),"EXCLUIDO",IF(AND(A159&lt;&gt;"",B159&lt;&gt;"",C159&lt;&gt;"",D159&lt;&gt;"",E159&lt;&gt;"",OR(F159="CORRECTA",F159="RESPUESTA ESPERADA",F159="FALLO CONFIRMADO"),G159="Sí",I159&lt;&gt;"",J159&lt;&gt;""),"VÁLIDO","INCOMPLETO"))))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2" t="str">
        <x:f>IF(COUNTA(A160:K160)=0,"",IF(AND(A160&lt;&gt;"",COUNTIF($A$5:$A$304,A160)&gt;1),"REVISAR",IF(AND(F160="EXCLUIDA",G160="No",I160&lt;&gt;"",K160&lt;&gt;""),"EXCLUIDO",IF(AND(A160&lt;&gt;"",B160&lt;&gt;"",C160&lt;&gt;"",D160&lt;&gt;"",E160&lt;&gt;"",OR(F160="CORRECTA",F160="RESPUESTA ESPERADA",F160="FALLO CONFIRMADO"),G160="Sí",I160&lt;&gt;"",J160&lt;&gt;""),"VÁLIDO","INCOMPLETO"))))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2" t="str">
        <x:f>IF(COUNTA(A161:K161)=0,"",IF(AND(A161&lt;&gt;"",COUNTIF($A$5:$A$304,A161)&gt;1),"REVISAR",IF(AND(F161="EXCLUIDA",G161="No",I161&lt;&gt;"",K161&lt;&gt;""),"EXCLUIDO",IF(AND(A161&lt;&gt;"",B161&lt;&gt;"",C161&lt;&gt;"",D161&lt;&gt;"",E161&lt;&gt;"",OR(F161="CORRECTA",F161="RESPUESTA ESPERADA",F161="FALLO CONFIRMADO"),G161="Sí",I161&lt;&gt;"",J161&lt;&gt;""),"VÁLIDO","INCOMPLETO"))))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2" t="str">
        <x:f>IF(COUNTA(A162:K162)=0,"",IF(AND(A162&lt;&gt;"",COUNTIF($A$5:$A$304,A162)&gt;1),"REVISAR",IF(AND(F162="EXCLUIDA",G162="No",I162&lt;&gt;"",K162&lt;&gt;""),"EXCLUIDO",IF(AND(A162&lt;&gt;"",B162&lt;&gt;"",C162&lt;&gt;"",D162&lt;&gt;"",E162&lt;&gt;"",OR(F162="CORRECTA",F162="RESPUESTA ESPERADA",F162="FALLO CONFIRMADO"),G162="Sí",I162&lt;&gt;"",J162&lt;&gt;""),"VÁLIDO","INCOMPLETO"))))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2" t="str">
        <x:f>IF(COUNTA(A163:K163)=0,"",IF(AND(A163&lt;&gt;"",COUNTIF($A$5:$A$304,A163)&gt;1),"REVISAR",IF(AND(F163="EXCLUIDA",G163="No",I163&lt;&gt;"",K163&lt;&gt;""),"EXCLUIDO",IF(AND(A163&lt;&gt;"",B163&lt;&gt;"",C163&lt;&gt;"",D163&lt;&gt;"",E163&lt;&gt;"",OR(F163="CORRECTA",F163="RESPUESTA ESPERADA",F163="FALLO CONFIRMADO"),G163="Sí",I163&lt;&gt;"",J163&lt;&gt;""),"VÁLIDO","INCOMPLETO"))))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2" t="str">
        <x:f>IF(COUNTA(A164:K164)=0,"",IF(AND(A164&lt;&gt;"",COUNTIF($A$5:$A$304,A164)&gt;1),"REVISAR",IF(AND(F164="EXCLUIDA",G164="No",I164&lt;&gt;"",K164&lt;&gt;""),"EXCLUIDO",IF(AND(A164&lt;&gt;"",B164&lt;&gt;"",C164&lt;&gt;"",D164&lt;&gt;"",E164&lt;&gt;"",OR(F164="CORRECTA",F164="RESPUESTA ESPERADA",F164="FALLO CONFIRMADO"),G164="Sí",I164&lt;&gt;"",J164&lt;&gt;""),"VÁLIDO","INCOMPLETO"))))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2" t="str">
        <x:f>IF(COUNTA(A165:K165)=0,"",IF(AND(A165&lt;&gt;"",COUNTIF($A$5:$A$304,A165)&gt;1),"REVISAR",IF(AND(F165="EXCLUIDA",G165="No",I165&lt;&gt;"",K165&lt;&gt;""),"EXCLUIDO",IF(AND(A165&lt;&gt;"",B165&lt;&gt;"",C165&lt;&gt;"",D165&lt;&gt;"",E165&lt;&gt;"",OR(F165="CORRECTA",F165="RESPUESTA ESPERADA",F165="FALLO CONFIRMADO"),G165="Sí",I165&lt;&gt;"",J165&lt;&gt;""),"VÁLIDO","INCOMPLETO"))))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2" t="str">
        <x:f>IF(COUNTA(A166:K166)=0,"",IF(AND(A166&lt;&gt;"",COUNTIF($A$5:$A$304,A166)&gt;1),"REVISAR",IF(AND(F166="EXCLUIDA",G166="No",I166&lt;&gt;"",K166&lt;&gt;""),"EXCLUIDO",IF(AND(A166&lt;&gt;"",B166&lt;&gt;"",C166&lt;&gt;"",D166&lt;&gt;"",E166&lt;&gt;"",OR(F166="CORRECTA",F166="RESPUESTA ESPERADA",F166="FALLO CONFIRMADO"),G166="Sí",I166&lt;&gt;"",J166&lt;&gt;""),"VÁLIDO","INCOMPLETO"))))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2" t="str">
        <x:f>IF(COUNTA(A167:K167)=0,"",IF(AND(A167&lt;&gt;"",COUNTIF($A$5:$A$304,A167)&gt;1),"REVISAR",IF(AND(F167="EXCLUIDA",G167="No",I167&lt;&gt;"",K167&lt;&gt;""),"EXCLUIDO",IF(AND(A167&lt;&gt;"",B167&lt;&gt;"",C167&lt;&gt;"",D167&lt;&gt;"",E167&lt;&gt;"",OR(F167="CORRECTA",F167="RESPUESTA ESPERADA",F167="FALLO CONFIRMADO"),G167="Sí",I167&lt;&gt;"",J167&lt;&gt;""),"VÁLIDO","INCOMPLETO"))))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2" t="str">
        <x:f>IF(COUNTA(A168:K168)=0,"",IF(AND(A168&lt;&gt;"",COUNTIF($A$5:$A$304,A168)&gt;1),"REVISAR",IF(AND(F168="EXCLUIDA",G168="No",I168&lt;&gt;"",K168&lt;&gt;""),"EXCLUIDO",IF(AND(A168&lt;&gt;"",B168&lt;&gt;"",C168&lt;&gt;"",D168&lt;&gt;"",E168&lt;&gt;"",OR(F168="CORRECTA",F168="RESPUESTA ESPERADA",F168="FALLO CONFIRMADO"),G168="Sí",I168&lt;&gt;"",J168&lt;&gt;""),"VÁLIDO","INCOMPLETO"))))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2" t="str">
        <x:f>IF(COUNTA(A169:K169)=0,"",IF(AND(A169&lt;&gt;"",COUNTIF($A$5:$A$304,A169)&gt;1),"REVISAR",IF(AND(F169="EXCLUIDA",G169="No",I169&lt;&gt;"",K169&lt;&gt;""),"EXCLUIDO",IF(AND(A169&lt;&gt;"",B169&lt;&gt;"",C169&lt;&gt;"",D169&lt;&gt;"",E169&lt;&gt;"",OR(F169="CORRECTA",F169="RESPUESTA ESPERADA",F169="FALLO CONFIRMADO"),G169="Sí",I169&lt;&gt;"",J169&lt;&gt;""),"VÁLIDO","INCOMPLETO"))))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2" t="str">
        <x:f>IF(COUNTA(A170:K170)=0,"",IF(AND(A170&lt;&gt;"",COUNTIF($A$5:$A$304,A170)&gt;1),"REVISAR",IF(AND(F170="EXCLUIDA",G170="No",I170&lt;&gt;"",K170&lt;&gt;""),"EXCLUIDO",IF(AND(A170&lt;&gt;"",B170&lt;&gt;"",C170&lt;&gt;"",D170&lt;&gt;"",E170&lt;&gt;"",OR(F170="CORRECTA",F170="RESPUESTA ESPERADA",F170="FALLO CONFIRMADO"),G170="Sí",I170&lt;&gt;"",J170&lt;&gt;""),"VÁLIDO","INCOMPLETO"))))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2" t="str">
        <x:f>IF(COUNTA(A171:K171)=0,"",IF(AND(A171&lt;&gt;"",COUNTIF($A$5:$A$304,A171)&gt;1),"REVISAR",IF(AND(F171="EXCLUIDA",G171="No",I171&lt;&gt;"",K171&lt;&gt;""),"EXCLUIDO",IF(AND(A171&lt;&gt;"",B171&lt;&gt;"",C171&lt;&gt;"",D171&lt;&gt;"",E171&lt;&gt;"",OR(F171="CORRECTA",F171="RESPUESTA ESPERADA",F171="FALLO CONFIRMADO"),G171="Sí",I171&lt;&gt;"",J171&lt;&gt;""),"VÁLIDO","INCOMPLETO"))))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2" t="str">
        <x:f>IF(COUNTA(A172:K172)=0,"",IF(AND(A172&lt;&gt;"",COUNTIF($A$5:$A$304,A172)&gt;1),"REVISAR",IF(AND(F172="EXCLUIDA",G172="No",I172&lt;&gt;"",K172&lt;&gt;""),"EXCLUIDO",IF(AND(A172&lt;&gt;"",B172&lt;&gt;"",C172&lt;&gt;"",D172&lt;&gt;"",E172&lt;&gt;"",OR(F172="CORRECTA",F172="RESPUESTA ESPERADA",F172="FALLO CONFIRMADO"),G172="Sí",I172&lt;&gt;"",J172&lt;&gt;""),"VÁLIDO","INCOMPLETO"))))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2" t="str">
        <x:f>IF(COUNTA(A173:K173)=0,"",IF(AND(A173&lt;&gt;"",COUNTIF($A$5:$A$304,A173)&gt;1),"REVISAR",IF(AND(F173="EXCLUIDA",G173="No",I173&lt;&gt;"",K173&lt;&gt;""),"EXCLUIDO",IF(AND(A173&lt;&gt;"",B173&lt;&gt;"",C173&lt;&gt;"",D173&lt;&gt;"",E173&lt;&gt;"",OR(F173="CORRECTA",F173="RESPUESTA ESPERADA",F173="FALLO CONFIRMADO"),G173="Sí",I173&lt;&gt;"",J173&lt;&gt;""),"VÁLIDO","INCOMPLETO"))))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2" t="str">
        <x:f>IF(COUNTA(A174:K174)=0,"",IF(AND(A174&lt;&gt;"",COUNTIF($A$5:$A$304,A174)&gt;1),"REVISAR",IF(AND(F174="EXCLUIDA",G174="No",I174&lt;&gt;"",K174&lt;&gt;""),"EXCLUIDO",IF(AND(A174&lt;&gt;"",B174&lt;&gt;"",C174&lt;&gt;"",D174&lt;&gt;"",E174&lt;&gt;"",OR(F174="CORRECTA",F174="RESPUESTA ESPERADA",F174="FALLO CONFIRMADO"),G174="Sí",I174&lt;&gt;"",J174&lt;&gt;""),"VÁLIDO","INCOMPLETO"))))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2" t="str">
        <x:f>IF(COUNTA(A175:K175)=0,"",IF(AND(A175&lt;&gt;"",COUNTIF($A$5:$A$304,A175)&gt;1),"REVISAR",IF(AND(F175="EXCLUIDA",G175="No",I175&lt;&gt;"",K175&lt;&gt;""),"EXCLUIDO",IF(AND(A175&lt;&gt;"",B175&lt;&gt;"",C175&lt;&gt;"",D175&lt;&gt;"",E175&lt;&gt;"",OR(F175="CORRECTA",F175="RESPUESTA ESPERADA",F175="FALLO CONFIRMADO"),G175="Sí",I175&lt;&gt;"",J175&lt;&gt;""),"VÁLIDO","INCOMPLETO"))))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2" t="str">
        <x:f>IF(COUNTA(A176:K176)=0,"",IF(AND(A176&lt;&gt;"",COUNTIF($A$5:$A$304,A176)&gt;1),"REVISAR",IF(AND(F176="EXCLUIDA",G176="No",I176&lt;&gt;"",K176&lt;&gt;""),"EXCLUIDO",IF(AND(A176&lt;&gt;"",B176&lt;&gt;"",C176&lt;&gt;"",D176&lt;&gt;"",E176&lt;&gt;"",OR(F176="CORRECTA",F176="RESPUESTA ESPERADA",F176="FALLO CONFIRMADO"),G176="Sí",I176&lt;&gt;"",J176&lt;&gt;""),"VÁLIDO","INCOMPLETO"))))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2" t="str">
        <x:f>IF(COUNTA(A177:K177)=0,"",IF(AND(A177&lt;&gt;"",COUNTIF($A$5:$A$304,A177)&gt;1),"REVISAR",IF(AND(F177="EXCLUIDA",G177="No",I177&lt;&gt;"",K177&lt;&gt;""),"EXCLUIDO",IF(AND(A177&lt;&gt;"",B177&lt;&gt;"",C177&lt;&gt;"",D177&lt;&gt;"",E177&lt;&gt;"",OR(F177="CORRECTA",F177="RESPUESTA ESPERADA",F177="FALLO CONFIRMADO"),G177="Sí",I177&lt;&gt;"",J177&lt;&gt;""),"VÁLIDO","INCOMPLETO"))))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2" t="str">
        <x:f>IF(COUNTA(A178:K178)=0,"",IF(AND(A178&lt;&gt;"",COUNTIF($A$5:$A$304,A178)&gt;1),"REVISAR",IF(AND(F178="EXCLUIDA",G178="No",I178&lt;&gt;"",K178&lt;&gt;""),"EXCLUIDO",IF(AND(A178&lt;&gt;"",B178&lt;&gt;"",C178&lt;&gt;"",D178&lt;&gt;"",E178&lt;&gt;"",OR(F178="CORRECTA",F178="RESPUESTA ESPERADA",F178="FALLO CONFIRMADO"),G178="Sí",I178&lt;&gt;"",J178&lt;&gt;""),"VÁLIDO","INCOMPLETO"))))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2" t="str">
        <x:f>IF(COUNTA(A179:K179)=0,"",IF(AND(A179&lt;&gt;"",COUNTIF($A$5:$A$304,A179)&gt;1),"REVISAR",IF(AND(F179="EXCLUIDA",G179="No",I179&lt;&gt;"",K179&lt;&gt;""),"EXCLUIDO",IF(AND(A179&lt;&gt;"",B179&lt;&gt;"",C179&lt;&gt;"",D179&lt;&gt;"",E179&lt;&gt;"",OR(F179="CORRECTA",F179="RESPUESTA ESPERADA",F179="FALLO CONFIRMADO"),G179="Sí",I179&lt;&gt;"",J179&lt;&gt;""),"VÁLIDO","INCOMPLETO"))))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2" t="str">
        <x:f>IF(COUNTA(A180:K180)=0,"",IF(AND(A180&lt;&gt;"",COUNTIF($A$5:$A$304,A180)&gt;1),"REVISAR",IF(AND(F180="EXCLUIDA",G180="No",I180&lt;&gt;"",K180&lt;&gt;""),"EXCLUIDO",IF(AND(A180&lt;&gt;"",B180&lt;&gt;"",C180&lt;&gt;"",D180&lt;&gt;"",E180&lt;&gt;"",OR(F180="CORRECTA",F180="RESPUESTA ESPERADA",F180="FALLO CONFIRMADO"),G180="Sí",I180&lt;&gt;"",J180&lt;&gt;""),"VÁLIDO","INCOMPLETO"))))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2" t="str">
        <x:f>IF(COUNTA(A181:K181)=0,"",IF(AND(A181&lt;&gt;"",COUNTIF($A$5:$A$304,A181)&gt;1),"REVISAR",IF(AND(F181="EXCLUIDA",G181="No",I181&lt;&gt;"",K181&lt;&gt;""),"EXCLUIDO",IF(AND(A181&lt;&gt;"",B181&lt;&gt;"",C181&lt;&gt;"",D181&lt;&gt;"",E181&lt;&gt;"",OR(F181="CORRECTA",F181="RESPUESTA ESPERADA",F181="FALLO CONFIRMADO"),G181="Sí",I181&lt;&gt;"",J181&lt;&gt;""),"VÁLIDO","INCOMPLETO"))))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2" t="str">
        <x:f>IF(COUNTA(A182:K182)=0,"",IF(AND(A182&lt;&gt;"",COUNTIF($A$5:$A$304,A182)&gt;1),"REVISAR",IF(AND(F182="EXCLUIDA",G182="No",I182&lt;&gt;"",K182&lt;&gt;""),"EXCLUIDO",IF(AND(A182&lt;&gt;"",B182&lt;&gt;"",C182&lt;&gt;"",D182&lt;&gt;"",E182&lt;&gt;"",OR(F182="CORRECTA",F182="RESPUESTA ESPERADA",F182="FALLO CONFIRMADO"),G182="Sí",I182&lt;&gt;"",J182&lt;&gt;""),"VÁLIDO","INCOMPLETO"))))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2" t="str">
        <x:f>IF(COUNTA(A183:K183)=0,"",IF(AND(A183&lt;&gt;"",COUNTIF($A$5:$A$304,A183)&gt;1),"REVISAR",IF(AND(F183="EXCLUIDA",G183="No",I183&lt;&gt;"",K183&lt;&gt;""),"EXCLUIDO",IF(AND(A183&lt;&gt;"",B183&lt;&gt;"",C183&lt;&gt;"",D183&lt;&gt;"",E183&lt;&gt;"",OR(F183="CORRECTA",F183="RESPUESTA ESPERADA",F183="FALLO CONFIRMADO"),G183="Sí",I183&lt;&gt;"",J183&lt;&gt;""),"VÁLIDO","INCOMPLETO"))))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2" t="str">
        <x:f>IF(COUNTA(A184:K184)=0,"",IF(AND(A184&lt;&gt;"",COUNTIF($A$5:$A$304,A184)&gt;1),"REVISAR",IF(AND(F184="EXCLUIDA",G184="No",I184&lt;&gt;"",K184&lt;&gt;""),"EXCLUIDO",IF(AND(A184&lt;&gt;"",B184&lt;&gt;"",C184&lt;&gt;"",D184&lt;&gt;"",E184&lt;&gt;"",OR(F184="CORRECTA",F184="RESPUESTA ESPERADA",F184="FALLO CONFIRMADO"),G184="Sí",I184&lt;&gt;"",J184&lt;&gt;""),"VÁLIDO","INCOMPLETO"))))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2" t="str">
        <x:f>IF(COUNTA(A185:K185)=0,"",IF(AND(A185&lt;&gt;"",COUNTIF($A$5:$A$304,A185)&gt;1),"REVISAR",IF(AND(F185="EXCLUIDA",G185="No",I185&lt;&gt;"",K185&lt;&gt;""),"EXCLUIDO",IF(AND(A185&lt;&gt;"",B185&lt;&gt;"",C185&lt;&gt;"",D185&lt;&gt;"",E185&lt;&gt;"",OR(F185="CORRECTA",F185="RESPUESTA ESPERADA",F185="FALLO CONFIRMADO"),G185="Sí",I185&lt;&gt;"",J185&lt;&gt;""),"VÁLIDO","INCOMPLETO"))))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2" t="str">
        <x:f>IF(COUNTA(A186:K186)=0,"",IF(AND(A186&lt;&gt;"",COUNTIF($A$5:$A$304,A186)&gt;1),"REVISAR",IF(AND(F186="EXCLUIDA",G186="No",I186&lt;&gt;"",K186&lt;&gt;""),"EXCLUIDO",IF(AND(A186&lt;&gt;"",B186&lt;&gt;"",C186&lt;&gt;"",D186&lt;&gt;"",E186&lt;&gt;"",OR(F186="CORRECTA",F186="RESPUESTA ESPERADA",F186="FALLO CONFIRMADO"),G186="Sí",I186&lt;&gt;"",J186&lt;&gt;""),"VÁLIDO","INCOMPLETO"))))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2" t="str">
        <x:f>IF(COUNTA(A187:K187)=0,"",IF(AND(A187&lt;&gt;"",COUNTIF($A$5:$A$304,A187)&gt;1),"REVISAR",IF(AND(F187="EXCLUIDA",G187="No",I187&lt;&gt;"",K187&lt;&gt;""),"EXCLUIDO",IF(AND(A187&lt;&gt;"",B187&lt;&gt;"",C187&lt;&gt;"",D187&lt;&gt;"",E187&lt;&gt;"",OR(F187="CORRECTA",F187="RESPUESTA ESPERADA",F187="FALLO CONFIRMADO"),G187="Sí",I187&lt;&gt;"",J187&lt;&gt;""),"VÁLIDO","INCOMPLETO"))))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2" t="str">
        <x:f>IF(COUNTA(A188:K188)=0,"",IF(AND(A188&lt;&gt;"",COUNTIF($A$5:$A$304,A188)&gt;1),"REVISAR",IF(AND(F188="EXCLUIDA",G188="No",I188&lt;&gt;"",K188&lt;&gt;""),"EXCLUIDO",IF(AND(A188&lt;&gt;"",B188&lt;&gt;"",C188&lt;&gt;"",D188&lt;&gt;"",E188&lt;&gt;"",OR(F188="CORRECTA",F188="RESPUESTA ESPERADA",F188="FALLO CONFIRMADO"),G188="Sí",I188&lt;&gt;"",J188&lt;&gt;""),"VÁLIDO","INCOMPLETO"))))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2" t="str">
        <x:f>IF(COUNTA(A189:K189)=0,"",IF(AND(A189&lt;&gt;"",COUNTIF($A$5:$A$304,A189)&gt;1),"REVISAR",IF(AND(F189="EXCLUIDA",G189="No",I189&lt;&gt;"",K189&lt;&gt;""),"EXCLUIDO",IF(AND(A189&lt;&gt;"",B189&lt;&gt;"",C189&lt;&gt;"",D189&lt;&gt;"",E189&lt;&gt;"",OR(F189="CORRECTA",F189="RESPUESTA ESPERADA",F189="FALLO CONFIRMADO"),G189="Sí",I189&lt;&gt;"",J189&lt;&gt;""),"VÁLIDO","INCOMPLETO"))))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2" t="str">
        <x:f>IF(COUNTA(A190:K190)=0,"",IF(AND(A190&lt;&gt;"",COUNTIF($A$5:$A$304,A190)&gt;1),"REVISAR",IF(AND(F190="EXCLUIDA",G190="No",I190&lt;&gt;"",K190&lt;&gt;""),"EXCLUIDO",IF(AND(A190&lt;&gt;"",B190&lt;&gt;"",C190&lt;&gt;"",D190&lt;&gt;"",E190&lt;&gt;"",OR(F190="CORRECTA",F190="RESPUESTA ESPERADA",F190="FALLO CONFIRMADO"),G190="Sí",I190&lt;&gt;"",J190&lt;&gt;""),"VÁLIDO","INCOMPLETO"))))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2" t="str">
        <x:f>IF(COUNTA(A191:K191)=0,"",IF(AND(A191&lt;&gt;"",COUNTIF($A$5:$A$304,A191)&gt;1),"REVISAR",IF(AND(F191="EXCLUIDA",G191="No",I191&lt;&gt;"",K191&lt;&gt;""),"EXCLUIDO",IF(AND(A191&lt;&gt;"",B191&lt;&gt;"",C191&lt;&gt;"",D191&lt;&gt;"",E191&lt;&gt;"",OR(F191="CORRECTA",F191="RESPUESTA ESPERADA",F191="FALLO CONFIRMADO"),G191="Sí",I191&lt;&gt;"",J191&lt;&gt;""),"VÁLIDO","INCOMPLETO"))))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2" t="str">
        <x:f>IF(COUNTA(A192:K192)=0,"",IF(AND(A192&lt;&gt;"",COUNTIF($A$5:$A$304,A192)&gt;1),"REVISAR",IF(AND(F192="EXCLUIDA",G192="No",I192&lt;&gt;"",K192&lt;&gt;""),"EXCLUIDO",IF(AND(A192&lt;&gt;"",B192&lt;&gt;"",C192&lt;&gt;"",D192&lt;&gt;"",E192&lt;&gt;"",OR(F192="CORRECTA",F192="RESPUESTA ESPERADA",F192="FALLO CONFIRMADO"),G192="Sí",I192&lt;&gt;"",J192&lt;&gt;""),"VÁLIDO","INCOMPLETO"))))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2" t="str">
        <x:f>IF(COUNTA(A193:K193)=0,"",IF(AND(A193&lt;&gt;"",COUNTIF($A$5:$A$304,A193)&gt;1),"REVISAR",IF(AND(F193="EXCLUIDA",G193="No",I193&lt;&gt;"",K193&lt;&gt;""),"EXCLUIDO",IF(AND(A193&lt;&gt;"",B193&lt;&gt;"",C193&lt;&gt;"",D193&lt;&gt;"",E193&lt;&gt;"",OR(F193="CORRECTA",F193="RESPUESTA ESPERADA",F193="FALLO CONFIRMADO"),G193="Sí",I193&lt;&gt;"",J193&lt;&gt;""),"VÁLIDO","INCOMPLETO"))))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2" t="str">
        <x:f>IF(COUNTA(A194:K194)=0,"",IF(AND(A194&lt;&gt;"",COUNTIF($A$5:$A$304,A194)&gt;1),"REVISAR",IF(AND(F194="EXCLUIDA",G194="No",I194&lt;&gt;"",K194&lt;&gt;""),"EXCLUIDO",IF(AND(A194&lt;&gt;"",B194&lt;&gt;"",C194&lt;&gt;"",D194&lt;&gt;"",E194&lt;&gt;"",OR(F194="CORRECTA",F194="RESPUESTA ESPERADA",F194="FALLO CONFIRMADO"),G194="Sí",I194&lt;&gt;"",J194&lt;&gt;""),"VÁLIDO","INCOMPLETO"))))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2" t="str">
        <x:f>IF(COUNTA(A195:K195)=0,"",IF(AND(A195&lt;&gt;"",COUNTIF($A$5:$A$304,A195)&gt;1),"REVISAR",IF(AND(F195="EXCLUIDA",G195="No",I195&lt;&gt;"",K195&lt;&gt;""),"EXCLUIDO",IF(AND(A195&lt;&gt;"",B195&lt;&gt;"",C195&lt;&gt;"",D195&lt;&gt;"",E195&lt;&gt;"",OR(F195="CORRECTA",F195="RESPUESTA ESPERADA",F195="FALLO CONFIRMADO"),G195="Sí",I195&lt;&gt;"",J195&lt;&gt;""),"VÁLIDO","INCOMPLETO"))))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2" t="str">
        <x:f>IF(COUNTA(A196:K196)=0,"",IF(AND(A196&lt;&gt;"",COUNTIF($A$5:$A$304,A196)&gt;1),"REVISAR",IF(AND(F196="EXCLUIDA",G196="No",I196&lt;&gt;"",K196&lt;&gt;""),"EXCLUIDO",IF(AND(A196&lt;&gt;"",B196&lt;&gt;"",C196&lt;&gt;"",D196&lt;&gt;"",E196&lt;&gt;"",OR(F196="CORRECTA",F196="RESPUESTA ESPERADA",F196="FALLO CONFIRMADO"),G196="Sí",I196&lt;&gt;"",J196&lt;&gt;""),"VÁLIDO","INCOMPLETO"))))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2" t="str">
        <x:f>IF(COUNTA(A197:K197)=0,"",IF(AND(A197&lt;&gt;"",COUNTIF($A$5:$A$304,A197)&gt;1),"REVISAR",IF(AND(F197="EXCLUIDA",G197="No",I197&lt;&gt;"",K197&lt;&gt;""),"EXCLUIDO",IF(AND(A197&lt;&gt;"",B197&lt;&gt;"",C197&lt;&gt;"",D197&lt;&gt;"",E197&lt;&gt;"",OR(F197="CORRECTA",F197="RESPUESTA ESPERADA",F197="FALLO CONFIRMADO"),G197="Sí",I197&lt;&gt;"",J197&lt;&gt;""),"VÁLIDO","INCOMPLETO"))))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2" t="str">
        <x:f>IF(COUNTA(A198:K198)=0,"",IF(AND(A198&lt;&gt;"",COUNTIF($A$5:$A$304,A198)&gt;1),"REVISAR",IF(AND(F198="EXCLUIDA",G198="No",I198&lt;&gt;"",K198&lt;&gt;""),"EXCLUIDO",IF(AND(A198&lt;&gt;"",B198&lt;&gt;"",C198&lt;&gt;"",D198&lt;&gt;"",E198&lt;&gt;"",OR(F198="CORRECTA",F198="RESPUESTA ESPERADA",F198="FALLO CONFIRMADO"),G198="Sí",I198&lt;&gt;"",J198&lt;&gt;""),"VÁLIDO","INCOMPLETO"))))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2" t="str">
        <x:f>IF(COUNTA(A199:K199)=0,"",IF(AND(A199&lt;&gt;"",COUNTIF($A$5:$A$304,A199)&gt;1),"REVISAR",IF(AND(F199="EXCLUIDA",G199="No",I199&lt;&gt;"",K199&lt;&gt;""),"EXCLUIDO",IF(AND(A199&lt;&gt;"",B199&lt;&gt;"",C199&lt;&gt;"",D199&lt;&gt;"",E199&lt;&gt;"",OR(F199="CORRECTA",F199="RESPUESTA ESPERADA",F199="FALLO CONFIRMADO"),G199="Sí",I199&lt;&gt;"",J199&lt;&gt;""),"VÁLIDO","INCOMPLETO"))))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2" t="str">
        <x:f>IF(COUNTA(A200:K200)=0,"",IF(AND(A200&lt;&gt;"",COUNTIF($A$5:$A$304,A200)&gt;1),"REVISAR",IF(AND(F200="EXCLUIDA",G200="No",I200&lt;&gt;"",K200&lt;&gt;""),"EXCLUIDO",IF(AND(A200&lt;&gt;"",B200&lt;&gt;"",C200&lt;&gt;"",D200&lt;&gt;"",E200&lt;&gt;"",OR(F200="CORRECTA",F200="RESPUESTA ESPERADA",F200="FALLO CONFIRMADO"),G200="Sí",I200&lt;&gt;"",J200&lt;&gt;""),"VÁLIDO","INCOMPLETO"))))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2" t="str">
        <x:f>IF(COUNTA(A201:K201)=0,"",IF(AND(A201&lt;&gt;"",COUNTIF($A$5:$A$304,A201)&gt;1),"REVISAR",IF(AND(F201="EXCLUIDA",G201="No",I201&lt;&gt;"",K201&lt;&gt;""),"EXCLUIDO",IF(AND(A201&lt;&gt;"",B201&lt;&gt;"",C201&lt;&gt;"",D201&lt;&gt;"",E201&lt;&gt;"",OR(F201="CORRECTA",F201="RESPUESTA ESPERADA",F201="FALLO CONFIRMADO"),G201="Sí",I201&lt;&gt;"",J201&lt;&gt;""),"VÁLIDO","INCOMPLETO"))))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2" t="str">
        <x:f>IF(COUNTA(A202:K202)=0,"",IF(AND(A202&lt;&gt;"",COUNTIF($A$5:$A$304,A202)&gt;1),"REVISAR",IF(AND(F202="EXCLUIDA",G202="No",I202&lt;&gt;"",K202&lt;&gt;""),"EXCLUIDO",IF(AND(A202&lt;&gt;"",B202&lt;&gt;"",C202&lt;&gt;"",D202&lt;&gt;"",E202&lt;&gt;"",OR(F202="CORRECTA",F202="RESPUESTA ESPERADA",F202="FALLO CONFIRMADO"),G202="Sí",I202&lt;&gt;"",J202&lt;&gt;""),"VÁLIDO","INCOMPLETO"))))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2" t="str">
        <x:f>IF(COUNTA(A203:K203)=0,"",IF(AND(A203&lt;&gt;"",COUNTIF($A$5:$A$304,A203)&gt;1),"REVISAR",IF(AND(F203="EXCLUIDA",G203="No",I203&lt;&gt;"",K203&lt;&gt;""),"EXCLUIDO",IF(AND(A203&lt;&gt;"",B203&lt;&gt;"",C203&lt;&gt;"",D203&lt;&gt;"",E203&lt;&gt;"",OR(F203="CORRECTA",F203="RESPUESTA ESPERADA",F203="FALLO CONFIRMADO"),G203="Sí",I203&lt;&gt;"",J203&lt;&gt;""),"VÁLIDO","INCOMPLETO"))))</x:f>
      </x:c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2" t="str">
        <x:f>IF(COUNTA(A204:K204)=0,"",IF(AND(A204&lt;&gt;"",COUNTIF($A$5:$A$304,A204)&gt;1),"REVISAR",IF(AND(F204="EXCLUIDA",G204="No",I204&lt;&gt;"",K204&lt;&gt;""),"EXCLUIDO",IF(AND(A204&lt;&gt;"",B204&lt;&gt;"",C204&lt;&gt;"",D204&lt;&gt;"",E204&lt;&gt;"",OR(F204="CORRECTA",F204="RESPUESTA ESPERADA",F204="FALLO CONFIRMADO"),G204="Sí",I204&lt;&gt;"",J204&lt;&gt;""),"VÁLIDO","INCOMPLETO"))))</x:f>
      </x:c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2" t="str">
        <x:f>IF(COUNTA(A205:K205)=0,"",IF(AND(A205&lt;&gt;"",COUNTIF($A$5:$A$304,A205)&gt;1),"REVISAR",IF(AND(F205="EXCLUIDA",G205="No",I205&lt;&gt;"",K205&lt;&gt;""),"EXCLUIDO",IF(AND(A205&lt;&gt;"",B205&lt;&gt;"",C205&lt;&gt;"",D205&lt;&gt;"",E205&lt;&gt;"",OR(F205="CORRECTA",F205="RESPUESTA ESPERADA",F205="FALLO CONFIRMADO"),G205="Sí",I205&lt;&gt;"",J205&lt;&gt;""),"VÁLIDO","INCOMPLETO"))))</x:f>
      </x:c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2" t="str">
        <x:f>IF(COUNTA(A206:K206)=0,"",IF(AND(A206&lt;&gt;"",COUNTIF($A$5:$A$304,A206)&gt;1),"REVISAR",IF(AND(F206="EXCLUIDA",G206="No",I206&lt;&gt;"",K206&lt;&gt;""),"EXCLUIDO",IF(AND(A206&lt;&gt;"",B206&lt;&gt;"",C206&lt;&gt;"",D206&lt;&gt;"",E206&lt;&gt;"",OR(F206="CORRECTA",F206="RESPUESTA ESPERADA",F206="FALLO CONFIRMADO"),G206="Sí",I206&lt;&gt;"",J206&lt;&gt;""),"VÁLIDO","INCOMPLETO"))))</x:f>
      </x:c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2" t="str">
        <x:f>IF(COUNTA(A207:K207)=0,"",IF(AND(A207&lt;&gt;"",COUNTIF($A$5:$A$304,A207)&gt;1),"REVISAR",IF(AND(F207="EXCLUIDA",G207="No",I207&lt;&gt;"",K207&lt;&gt;""),"EXCLUIDO",IF(AND(A207&lt;&gt;"",B207&lt;&gt;"",C207&lt;&gt;"",D207&lt;&gt;"",E207&lt;&gt;"",OR(F207="CORRECTA",F207="RESPUESTA ESPERADA",F207="FALLO CONFIRMADO"),G207="Sí",I207&lt;&gt;"",J207&lt;&gt;""),"VÁLIDO","INCOMPLETO"))))</x:f>
      </x:c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2" t="str">
        <x:f>IF(COUNTA(A208:K208)=0,"",IF(AND(A208&lt;&gt;"",COUNTIF($A$5:$A$304,A208)&gt;1),"REVISAR",IF(AND(F208="EXCLUIDA",G208="No",I208&lt;&gt;"",K208&lt;&gt;""),"EXCLUIDO",IF(AND(A208&lt;&gt;"",B208&lt;&gt;"",C208&lt;&gt;"",D208&lt;&gt;"",E208&lt;&gt;"",OR(F208="CORRECTA",F208="RESPUESTA ESPERADA",F208="FALLO CONFIRMADO"),G208="Sí",I208&lt;&gt;"",J208&lt;&gt;""),"VÁLIDO","INCOMPLETO"))))</x:f>
      </x:c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2" t="str">
        <x:f>IF(COUNTA(A209:K209)=0,"",IF(AND(A209&lt;&gt;"",COUNTIF($A$5:$A$304,A209)&gt;1),"REVISAR",IF(AND(F209="EXCLUIDA",G209="No",I209&lt;&gt;"",K209&lt;&gt;""),"EXCLUIDO",IF(AND(A209&lt;&gt;"",B209&lt;&gt;"",C209&lt;&gt;"",D209&lt;&gt;"",E209&lt;&gt;"",OR(F209="CORRECTA",F209="RESPUESTA ESPERADA",F209="FALLO CONFIRMADO"),G209="Sí",I209&lt;&gt;"",J209&lt;&gt;""),"VÁLIDO","INCOMPLETO"))))</x:f>
      </x:c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2" t="str">
        <x:f>IF(COUNTA(A210:K210)=0,"",IF(AND(A210&lt;&gt;"",COUNTIF($A$5:$A$304,A210)&gt;1),"REVISAR",IF(AND(F210="EXCLUIDA",G210="No",I210&lt;&gt;"",K210&lt;&gt;""),"EXCLUIDO",IF(AND(A210&lt;&gt;"",B210&lt;&gt;"",C210&lt;&gt;"",D210&lt;&gt;"",E210&lt;&gt;"",OR(F210="CORRECTA",F210="RESPUESTA ESPERADA",F210="FALLO CONFIRMADO"),G210="Sí",I210&lt;&gt;"",J210&lt;&gt;""),"VÁLIDO","INCOMPLETO"))))</x:f>
      </x:c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2" t="str">
        <x:f>IF(COUNTA(A211:K211)=0,"",IF(AND(A211&lt;&gt;"",COUNTIF($A$5:$A$304,A211)&gt;1),"REVISAR",IF(AND(F211="EXCLUIDA",G211="No",I211&lt;&gt;"",K211&lt;&gt;""),"EXCLUIDO",IF(AND(A211&lt;&gt;"",B211&lt;&gt;"",C211&lt;&gt;"",D211&lt;&gt;"",E211&lt;&gt;"",OR(F211="CORRECTA",F211="RESPUESTA ESPERADA",F211="FALLO CONFIRMADO"),G211="Sí",I211&lt;&gt;"",J211&lt;&gt;""),"VÁLIDO","INCOMPLETO"))))</x:f>
      </x:c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2" t="str">
        <x:f>IF(COUNTA(A212:K212)=0,"",IF(AND(A212&lt;&gt;"",COUNTIF($A$5:$A$304,A212)&gt;1),"REVISAR",IF(AND(F212="EXCLUIDA",G212="No",I212&lt;&gt;"",K212&lt;&gt;""),"EXCLUIDO",IF(AND(A212&lt;&gt;"",B212&lt;&gt;"",C212&lt;&gt;"",D212&lt;&gt;"",E212&lt;&gt;"",OR(F212="CORRECTA",F212="RESPUESTA ESPERADA",F212="FALLO CONFIRMADO"),G212="Sí",I212&lt;&gt;"",J212&lt;&gt;""),"VÁLIDO","INCOMPLETO"))))</x:f>
      </x:c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2" t="str">
        <x:f>IF(COUNTA(A213:K213)=0,"",IF(AND(A213&lt;&gt;"",COUNTIF($A$5:$A$304,A213)&gt;1),"REVISAR",IF(AND(F213="EXCLUIDA",G213="No",I213&lt;&gt;"",K213&lt;&gt;""),"EXCLUIDO",IF(AND(A213&lt;&gt;"",B213&lt;&gt;"",C213&lt;&gt;"",D213&lt;&gt;"",E213&lt;&gt;"",OR(F213="CORRECTA",F213="RESPUESTA ESPERADA",F213="FALLO CONFIRMADO"),G213="Sí",I213&lt;&gt;"",J213&lt;&gt;""),"VÁLIDO","INCOMPLETO"))))</x:f>
      </x:c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2" t="str">
        <x:f>IF(COUNTA(A214:K214)=0,"",IF(AND(A214&lt;&gt;"",COUNTIF($A$5:$A$304,A214)&gt;1),"REVISAR",IF(AND(F214="EXCLUIDA",G214="No",I214&lt;&gt;"",K214&lt;&gt;""),"EXCLUIDO",IF(AND(A214&lt;&gt;"",B214&lt;&gt;"",C214&lt;&gt;"",D214&lt;&gt;"",E214&lt;&gt;"",OR(F214="CORRECTA",F214="RESPUESTA ESPERADA",F214="FALLO CONFIRMADO"),G214="Sí",I214&lt;&gt;"",J214&lt;&gt;""),"VÁLIDO","INCOMPLETO"))))</x:f>
      </x:c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2" t="str">
        <x:f>IF(COUNTA(A215:K215)=0,"",IF(AND(A215&lt;&gt;"",COUNTIF($A$5:$A$304,A215)&gt;1),"REVISAR",IF(AND(F215="EXCLUIDA",G215="No",I215&lt;&gt;"",K215&lt;&gt;""),"EXCLUIDO",IF(AND(A215&lt;&gt;"",B215&lt;&gt;"",C215&lt;&gt;"",D215&lt;&gt;"",E215&lt;&gt;"",OR(F215="CORRECTA",F215="RESPUESTA ESPERADA",F215="FALLO CONFIRMADO"),G215="Sí",I215&lt;&gt;"",J215&lt;&gt;""),"VÁLIDO","INCOMPLETO"))))</x:f>
      </x:c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2" t="str">
        <x:f>IF(COUNTA(A216:K216)=0,"",IF(AND(A216&lt;&gt;"",COUNTIF($A$5:$A$304,A216)&gt;1),"REVISAR",IF(AND(F216="EXCLUIDA",G216="No",I216&lt;&gt;"",K216&lt;&gt;""),"EXCLUIDO",IF(AND(A216&lt;&gt;"",B216&lt;&gt;"",C216&lt;&gt;"",D216&lt;&gt;"",E216&lt;&gt;"",OR(F216="CORRECTA",F216="RESPUESTA ESPERADA",F216="FALLO CONFIRMADO"),G216="Sí",I216&lt;&gt;"",J216&lt;&gt;""),"VÁLIDO","INCOMPLETO"))))</x:f>
      </x:c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2" t="str">
        <x:f>IF(COUNTA(A217:K217)=0,"",IF(AND(A217&lt;&gt;"",COUNTIF($A$5:$A$304,A217)&gt;1),"REVISAR",IF(AND(F217="EXCLUIDA",G217="No",I217&lt;&gt;"",K217&lt;&gt;""),"EXCLUIDO",IF(AND(A217&lt;&gt;"",B217&lt;&gt;"",C217&lt;&gt;"",D217&lt;&gt;"",E217&lt;&gt;"",OR(F217="CORRECTA",F217="RESPUESTA ESPERADA",F217="FALLO CONFIRMADO"),G217="Sí",I217&lt;&gt;"",J217&lt;&gt;""),"VÁLIDO","INCOMPLETO"))))</x:f>
      </x:c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2" t="str">
        <x:f>IF(COUNTA(A218:K218)=0,"",IF(AND(A218&lt;&gt;"",COUNTIF($A$5:$A$304,A218)&gt;1),"REVISAR",IF(AND(F218="EXCLUIDA",G218="No",I218&lt;&gt;"",K218&lt;&gt;""),"EXCLUIDO",IF(AND(A218&lt;&gt;"",B218&lt;&gt;"",C218&lt;&gt;"",D218&lt;&gt;"",E218&lt;&gt;"",OR(F218="CORRECTA",F218="RESPUESTA ESPERADA",F218="FALLO CONFIRMADO"),G218="Sí",I218&lt;&gt;"",J218&lt;&gt;""),"VÁLIDO","INCOMPLETO"))))</x:f>
      </x:c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2" t="str">
        <x:f>IF(COUNTA(A219:K219)=0,"",IF(AND(A219&lt;&gt;"",COUNTIF($A$5:$A$304,A219)&gt;1),"REVISAR",IF(AND(F219="EXCLUIDA",G219="No",I219&lt;&gt;"",K219&lt;&gt;""),"EXCLUIDO",IF(AND(A219&lt;&gt;"",B219&lt;&gt;"",C219&lt;&gt;"",D219&lt;&gt;"",E219&lt;&gt;"",OR(F219="CORRECTA",F219="RESPUESTA ESPERADA",F219="FALLO CONFIRMADO"),G219="Sí",I219&lt;&gt;"",J219&lt;&gt;""),"VÁLIDO","INCOMPLETO"))))</x:f>
      </x:c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2" t="str">
        <x:f>IF(COUNTA(A220:K220)=0,"",IF(AND(A220&lt;&gt;"",COUNTIF($A$5:$A$304,A220)&gt;1),"REVISAR",IF(AND(F220="EXCLUIDA",G220="No",I220&lt;&gt;"",K220&lt;&gt;""),"EXCLUIDO",IF(AND(A220&lt;&gt;"",B220&lt;&gt;"",C220&lt;&gt;"",D220&lt;&gt;"",E220&lt;&gt;"",OR(F220="CORRECTA",F220="RESPUESTA ESPERADA",F220="FALLO CONFIRMADO"),G220="Sí",I220&lt;&gt;"",J220&lt;&gt;""),"VÁLIDO","INCOMPLETO"))))</x:f>
      </x:c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2" t="str">
        <x:f>IF(COUNTA(A221:K221)=0,"",IF(AND(A221&lt;&gt;"",COUNTIF($A$5:$A$304,A221)&gt;1),"REVISAR",IF(AND(F221="EXCLUIDA",G221="No",I221&lt;&gt;"",K221&lt;&gt;""),"EXCLUIDO",IF(AND(A221&lt;&gt;"",B221&lt;&gt;"",C221&lt;&gt;"",D221&lt;&gt;"",E221&lt;&gt;"",OR(F221="CORRECTA",F221="RESPUESTA ESPERADA",F221="FALLO CONFIRMADO"),G221="Sí",I221&lt;&gt;"",J221&lt;&gt;""),"VÁLIDO","INCOMPLETO"))))</x:f>
      </x:c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2" t="str">
        <x:f>IF(COUNTA(A222:K222)=0,"",IF(AND(A222&lt;&gt;"",COUNTIF($A$5:$A$304,A222)&gt;1),"REVISAR",IF(AND(F222="EXCLUIDA",G222="No",I222&lt;&gt;"",K222&lt;&gt;""),"EXCLUIDO",IF(AND(A222&lt;&gt;"",B222&lt;&gt;"",C222&lt;&gt;"",D222&lt;&gt;"",E222&lt;&gt;"",OR(F222="CORRECTA",F222="RESPUESTA ESPERADA",F222="FALLO CONFIRMADO"),G222="Sí",I222&lt;&gt;"",J222&lt;&gt;""),"VÁLIDO","INCOMPLETO"))))</x:f>
      </x:c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2" t="str">
        <x:f>IF(COUNTA(A223:K223)=0,"",IF(AND(A223&lt;&gt;"",COUNTIF($A$5:$A$304,A223)&gt;1),"REVISAR",IF(AND(F223="EXCLUIDA",G223="No",I223&lt;&gt;"",K223&lt;&gt;""),"EXCLUIDO",IF(AND(A223&lt;&gt;"",B223&lt;&gt;"",C223&lt;&gt;"",D223&lt;&gt;"",E223&lt;&gt;"",OR(F223="CORRECTA",F223="RESPUESTA ESPERADA",F223="FALLO CONFIRMADO"),G223="Sí",I223&lt;&gt;"",J223&lt;&gt;""),"VÁLIDO","INCOMPLETO"))))</x:f>
      </x:c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2" t="str">
        <x:f>IF(COUNTA(A224:K224)=0,"",IF(AND(A224&lt;&gt;"",COUNTIF($A$5:$A$304,A224)&gt;1),"REVISAR",IF(AND(F224="EXCLUIDA",G224="No",I224&lt;&gt;"",K224&lt;&gt;""),"EXCLUIDO",IF(AND(A224&lt;&gt;"",B224&lt;&gt;"",C224&lt;&gt;"",D224&lt;&gt;"",E224&lt;&gt;"",OR(F224="CORRECTA",F224="RESPUESTA ESPERADA",F224="FALLO CONFIRMADO"),G224="Sí",I224&lt;&gt;"",J224&lt;&gt;""),"VÁLIDO","INCOMPLETO"))))</x:f>
      </x:c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2" t="str">
        <x:f>IF(COUNTA(A225:K225)=0,"",IF(AND(A225&lt;&gt;"",COUNTIF($A$5:$A$304,A225)&gt;1),"REVISAR",IF(AND(F225="EXCLUIDA",G225="No",I225&lt;&gt;"",K225&lt;&gt;""),"EXCLUIDO",IF(AND(A225&lt;&gt;"",B225&lt;&gt;"",C225&lt;&gt;"",D225&lt;&gt;"",E225&lt;&gt;"",OR(F225="CORRECTA",F225="RESPUESTA ESPERADA",F225="FALLO CONFIRMADO"),G225="Sí",I225&lt;&gt;"",J225&lt;&gt;""),"VÁLIDO","INCOMPLETO"))))</x:f>
      </x:c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2" t="str">
        <x:f>IF(COUNTA(A226:K226)=0,"",IF(AND(A226&lt;&gt;"",COUNTIF($A$5:$A$304,A226)&gt;1),"REVISAR",IF(AND(F226="EXCLUIDA",G226="No",I226&lt;&gt;"",K226&lt;&gt;""),"EXCLUIDO",IF(AND(A226&lt;&gt;"",B226&lt;&gt;"",C226&lt;&gt;"",D226&lt;&gt;"",E226&lt;&gt;"",OR(F226="CORRECTA",F226="RESPUESTA ESPERADA",F226="FALLO CONFIRMADO"),G226="Sí",I226&lt;&gt;"",J226&lt;&gt;""),"VÁLIDO","INCOMPLETO"))))</x:f>
      </x:c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2" t="str">
        <x:f>IF(COUNTA(A227:K227)=0,"",IF(AND(A227&lt;&gt;"",COUNTIF($A$5:$A$304,A227)&gt;1),"REVISAR",IF(AND(F227="EXCLUIDA",G227="No",I227&lt;&gt;"",K227&lt;&gt;""),"EXCLUIDO",IF(AND(A227&lt;&gt;"",B227&lt;&gt;"",C227&lt;&gt;"",D227&lt;&gt;"",E227&lt;&gt;"",OR(F227="CORRECTA",F227="RESPUESTA ESPERADA",F227="FALLO CONFIRMADO"),G227="Sí",I227&lt;&gt;"",J227&lt;&gt;""),"VÁLIDO","INCOMPLETO"))))</x:f>
      </x:c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2" t="str">
        <x:f>IF(COUNTA(A228:K228)=0,"",IF(AND(A228&lt;&gt;"",COUNTIF($A$5:$A$304,A228)&gt;1),"REVISAR",IF(AND(F228="EXCLUIDA",G228="No",I228&lt;&gt;"",K228&lt;&gt;""),"EXCLUIDO",IF(AND(A228&lt;&gt;"",B228&lt;&gt;"",C228&lt;&gt;"",D228&lt;&gt;"",E228&lt;&gt;"",OR(F228="CORRECTA",F228="RESPUESTA ESPERADA",F228="FALLO CONFIRMADO"),G228="Sí",I228&lt;&gt;"",J228&lt;&gt;""),"VÁLIDO","INCOMPLETO"))))</x:f>
      </x:c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2" t="str">
        <x:f>IF(COUNTA(A229:K229)=0,"",IF(AND(A229&lt;&gt;"",COUNTIF($A$5:$A$304,A229)&gt;1),"REVISAR",IF(AND(F229="EXCLUIDA",G229="No",I229&lt;&gt;"",K229&lt;&gt;""),"EXCLUIDO",IF(AND(A229&lt;&gt;"",B229&lt;&gt;"",C229&lt;&gt;"",D229&lt;&gt;"",E229&lt;&gt;"",OR(F229="CORRECTA",F229="RESPUESTA ESPERADA",F229="FALLO CONFIRMADO"),G229="Sí",I229&lt;&gt;"",J229&lt;&gt;""),"VÁLIDO","INCOMPLETO"))))</x:f>
      </x:c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2" t="str">
        <x:f>IF(COUNTA(A230:K230)=0,"",IF(AND(A230&lt;&gt;"",COUNTIF($A$5:$A$304,A230)&gt;1),"REVISAR",IF(AND(F230="EXCLUIDA",G230="No",I230&lt;&gt;"",K230&lt;&gt;""),"EXCLUIDO",IF(AND(A230&lt;&gt;"",B230&lt;&gt;"",C230&lt;&gt;"",D230&lt;&gt;"",E230&lt;&gt;"",OR(F230="CORRECTA",F230="RESPUESTA ESPERADA",F230="FALLO CONFIRMADO"),G230="Sí",I230&lt;&gt;"",J230&lt;&gt;""),"VÁLIDO","INCOMPLETO"))))</x:f>
      </x:c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2" t="str">
        <x:f>IF(COUNTA(A231:K231)=0,"",IF(AND(A231&lt;&gt;"",COUNTIF($A$5:$A$304,A231)&gt;1),"REVISAR",IF(AND(F231="EXCLUIDA",G231="No",I231&lt;&gt;"",K231&lt;&gt;""),"EXCLUIDO",IF(AND(A231&lt;&gt;"",B231&lt;&gt;"",C231&lt;&gt;"",D231&lt;&gt;"",E231&lt;&gt;"",OR(F231="CORRECTA",F231="RESPUESTA ESPERADA",F231="FALLO CONFIRMADO"),G231="Sí",I231&lt;&gt;"",J231&lt;&gt;""),"VÁLIDO","INCOMPLETO"))))</x:f>
      </x:c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2" t="str">
        <x:f>IF(COUNTA(A232:K232)=0,"",IF(AND(A232&lt;&gt;"",COUNTIF($A$5:$A$304,A232)&gt;1),"REVISAR",IF(AND(F232="EXCLUIDA",G232="No",I232&lt;&gt;"",K232&lt;&gt;""),"EXCLUIDO",IF(AND(A232&lt;&gt;"",B232&lt;&gt;"",C232&lt;&gt;"",D232&lt;&gt;"",E232&lt;&gt;"",OR(F232="CORRECTA",F232="RESPUESTA ESPERADA",F232="FALLO CONFIRMADO"),G232="Sí",I232&lt;&gt;"",J232&lt;&gt;""),"VÁLIDO","INCOMPLETO"))))</x:f>
      </x:c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2" t="str">
        <x:f>IF(COUNTA(A233:K233)=0,"",IF(AND(A233&lt;&gt;"",COUNTIF($A$5:$A$304,A233)&gt;1),"REVISAR",IF(AND(F233="EXCLUIDA",G233="No",I233&lt;&gt;"",K233&lt;&gt;""),"EXCLUIDO",IF(AND(A233&lt;&gt;"",B233&lt;&gt;"",C233&lt;&gt;"",D233&lt;&gt;"",E233&lt;&gt;"",OR(F233="CORRECTA",F233="RESPUESTA ESPERADA",F233="FALLO CONFIRMADO"),G233="Sí",I233&lt;&gt;"",J233&lt;&gt;""),"VÁLIDO","INCOMPLETO"))))</x:f>
      </x:c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2" t="str">
        <x:f>IF(COUNTA(A234:K234)=0,"",IF(AND(A234&lt;&gt;"",COUNTIF($A$5:$A$304,A234)&gt;1),"REVISAR",IF(AND(F234="EXCLUIDA",G234="No",I234&lt;&gt;"",K234&lt;&gt;""),"EXCLUIDO",IF(AND(A234&lt;&gt;"",B234&lt;&gt;"",C234&lt;&gt;"",D234&lt;&gt;"",E234&lt;&gt;"",OR(F234="CORRECTA",F234="RESPUESTA ESPERADA",F234="FALLO CONFIRMADO"),G234="Sí",I234&lt;&gt;"",J234&lt;&gt;""),"VÁLIDO","INCOMPLETO"))))</x:f>
      </x:c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2" t="str">
        <x:f>IF(COUNTA(A235:K235)=0,"",IF(AND(A235&lt;&gt;"",COUNTIF($A$5:$A$304,A235)&gt;1),"REVISAR",IF(AND(F235="EXCLUIDA",G235="No",I235&lt;&gt;"",K235&lt;&gt;""),"EXCLUIDO",IF(AND(A235&lt;&gt;"",B235&lt;&gt;"",C235&lt;&gt;"",D235&lt;&gt;"",E235&lt;&gt;"",OR(F235="CORRECTA",F235="RESPUESTA ESPERADA",F235="FALLO CONFIRMADO"),G235="Sí",I235&lt;&gt;"",J235&lt;&gt;""),"VÁLIDO","INCOMPLETO"))))</x:f>
      </x:c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2" t="str">
        <x:f>IF(COUNTA(A236:K236)=0,"",IF(AND(A236&lt;&gt;"",COUNTIF($A$5:$A$304,A236)&gt;1),"REVISAR",IF(AND(F236="EXCLUIDA",G236="No",I236&lt;&gt;"",K236&lt;&gt;""),"EXCLUIDO",IF(AND(A236&lt;&gt;"",B236&lt;&gt;"",C236&lt;&gt;"",D236&lt;&gt;"",E236&lt;&gt;"",OR(F236="CORRECTA",F236="RESPUESTA ESPERADA",F236="FALLO CONFIRMADO"),G236="Sí",I236&lt;&gt;"",J236&lt;&gt;""),"VÁLIDO","INCOMPLETO"))))</x:f>
      </x:c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2" t="str">
        <x:f>IF(COUNTA(A237:K237)=0,"",IF(AND(A237&lt;&gt;"",COUNTIF($A$5:$A$304,A237)&gt;1),"REVISAR",IF(AND(F237="EXCLUIDA",G237="No",I237&lt;&gt;"",K237&lt;&gt;""),"EXCLUIDO",IF(AND(A237&lt;&gt;"",B237&lt;&gt;"",C237&lt;&gt;"",D237&lt;&gt;"",E237&lt;&gt;"",OR(F237="CORRECTA",F237="RESPUESTA ESPERADA",F237="FALLO CONFIRMADO"),G237="Sí",I237&lt;&gt;"",J237&lt;&gt;""),"VÁLIDO","INCOMPLETO"))))</x:f>
      </x:c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2" t="str">
        <x:f>IF(COUNTA(A238:K238)=0,"",IF(AND(A238&lt;&gt;"",COUNTIF($A$5:$A$304,A238)&gt;1),"REVISAR",IF(AND(F238="EXCLUIDA",G238="No",I238&lt;&gt;"",K238&lt;&gt;""),"EXCLUIDO",IF(AND(A238&lt;&gt;"",B238&lt;&gt;"",C238&lt;&gt;"",D238&lt;&gt;"",E238&lt;&gt;"",OR(F238="CORRECTA",F238="RESPUESTA ESPERADA",F238="FALLO CONFIRMADO"),G238="Sí",I238&lt;&gt;"",J238&lt;&gt;""),"VÁLIDO","INCOMPLETO"))))</x:f>
      </x:c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2" t="str">
        <x:f>IF(COUNTA(A239:K239)=0,"",IF(AND(A239&lt;&gt;"",COUNTIF($A$5:$A$304,A239)&gt;1),"REVISAR",IF(AND(F239="EXCLUIDA",G239="No",I239&lt;&gt;"",K239&lt;&gt;""),"EXCLUIDO",IF(AND(A239&lt;&gt;"",B239&lt;&gt;"",C239&lt;&gt;"",D239&lt;&gt;"",E239&lt;&gt;"",OR(F239="CORRECTA",F239="RESPUESTA ESPERADA",F239="FALLO CONFIRMADO"),G239="Sí",I239&lt;&gt;"",J239&lt;&gt;""),"VÁLIDO","INCOMPLETO"))))</x:f>
      </x:c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2" t="str">
        <x:f>IF(COUNTA(A240:K240)=0,"",IF(AND(A240&lt;&gt;"",COUNTIF($A$5:$A$304,A240)&gt;1),"REVISAR",IF(AND(F240="EXCLUIDA",G240="No",I240&lt;&gt;"",K240&lt;&gt;""),"EXCLUIDO",IF(AND(A240&lt;&gt;"",B240&lt;&gt;"",C240&lt;&gt;"",D240&lt;&gt;"",E240&lt;&gt;"",OR(F240="CORRECTA",F240="RESPUESTA ESPERADA",F240="FALLO CONFIRMADO"),G240="Sí",I240&lt;&gt;"",J240&lt;&gt;""),"VÁLIDO","INCOMPLETO"))))</x:f>
      </x:c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2" t="str">
        <x:f>IF(COUNTA(A241:K241)=0,"",IF(AND(A241&lt;&gt;"",COUNTIF($A$5:$A$304,A241)&gt;1),"REVISAR",IF(AND(F241="EXCLUIDA",G241="No",I241&lt;&gt;"",K241&lt;&gt;""),"EXCLUIDO",IF(AND(A241&lt;&gt;"",B241&lt;&gt;"",C241&lt;&gt;"",D241&lt;&gt;"",E241&lt;&gt;"",OR(F241="CORRECTA",F241="RESPUESTA ESPERADA",F241="FALLO CONFIRMADO"),G241="Sí",I241&lt;&gt;"",J241&lt;&gt;""),"VÁLIDO","INCOMPLETO"))))</x:f>
      </x:c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2" t="str">
        <x:f>IF(COUNTA(A242:K242)=0,"",IF(AND(A242&lt;&gt;"",COUNTIF($A$5:$A$304,A242)&gt;1),"REVISAR",IF(AND(F242="EXCLUIDA",G242="No",I242&lt;&gt;"",K242&lt;&gt;""),"EXCLUIDO",IF(AND(A242&lt;&gt;"",B242&lt;&gt;"",C242&lt;&gt;"",D242&lt;&gt;"",E242&lt;&gt;"",OR(F242="CORRECTA",F242="RESPUESTA ESPERADA",F242="FALLO CONFIRMADO"),G242="Sí",I242&lt;&gt;"",J242&lt;&gt;""),"VÁLIDO","INCOMPLETO"))))</x:f>
      </x:c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2" t="str">
        <x:f>IF(COUNTA(A243:K243)=0,"",IF(AND(A243&lt;&gt;"",COUNTIF($A$5:$A$304,A243)&gt;1),"REVISAR",IF(AND(F243="EXCLUIDA",G243="No",I243&lt;&gt;"",K243&lt;&gt;""),"EXCLUIDO",IF(AND(A243&lt;&gt;"",B243&lt;&gt;"",C243&lt;&gt;"",D243&lt;&gt;"",E243&lt;&gt;"",OR(F243="CORRECTA",F243="RESPUESTA ESPERADA",F243="FALLO CONFIRMADO"),G243="Sí",I243&lt;&gt;"",J243&lt;&gt;""),"VÁLIDO","INCOMPLETO"))))</x:f>
      </x:c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2" t="str">
        <x:f>IF(COUNTA(A244:K244)=0,"",IF(AND(A244&lt;&gt;"",COUNTIF($A$5:$A$304,A244)&gt;1),"REVISAR",IF(AND(F244="EXCLUIDA",G244="No",I244&lt;&gt;"",K244&lt;&gt;""),"EXCLUIDO",IF(AND(A244&lt;&gt;"",B244&lt;&gt;"",C244&lt;&gt;"",D244&lt;&gt;"",E244&lt;&gt;"",OR(F244="CORRECTA",F244="RESPUESTA ESPERADA",F244="FALLO CONFIRMADO"),G244="Sí",I244&lt;&gt;"",J244&lt;&gt;""),"VÁLIDO","INCOMPLETO"))))</x:f>
      </x:c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2" t="str">
        <x:f>IF(COUNTA(A245:K245)=0,"",IF(AND(A245&lt;&gt;"",COUNTIF($A$5:$A$304,A245)&gt;1),"REVISAR",IF(AND(F245="EXCLUIDA",G245="No",I245&lt;&gt;"",K245&lt;&gt;""),"EXCLUIDO",IF(AND(A245&lt;&gt;"",B245&lt;&gt;"",C245&lt;&gt;"",D245&lt;&gt;"",E245&lt;&gt;"",OR(F245="CORRECTA",F245="RESPUESTA ESPERADA",F245="FALLO CONFIRMADO"),G245="Sí",I245&lt;&gt;"",J245&lt;&gt;""),"VÁLIDO","INCOMPLETO"))))</x:f>
      </x:c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2" t="str">
        <x:f>IF(COUNTA(A246:K246)=0,"",IF(AND(A246&lt;&gt;"",COUNTIF($A$5:$A$304,A246)&gt;1),"REVISAR",IF(AND(F246="EXCLUIDA",G246="No",I246&lt;&gt;"",K246&lt;&gt;""),"EXCLUIDO",IF(AND(A246&lt;&gt;"",B246&lt;&gt;"",C246&lt;&gt;"",D246&lt;&gt;"",E246&lt;&gt;"",OR(F246="CORRECTA",F246="RESPUESTA ESPERADA",F246="FALLO CONFIRMADO"),G246="Sí",I246&lt;&gt;"",J246&lt;&gt;""),"VÁLIDO","INCOMPLETO"))))</x:f>
      </x:c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2" t="str">
        <x:f>IF(COUNTA(A247:K247)=0,"",IF(AND(A247&lt;&gt;"",COUNTIF($A$5:$A$304,A247)&gt;1),"REVISAR",IF(AND(F247="EXCLUIDA",G247="No",I247&lt;&gt;"",K247&lt;&gt;""),"EXCLUIDO",IF(AND(A247&lt;&gt;"",B247&lt;&gt;"",C247&lt;&gt;"",D247&lt;&gt;"",E247&lt;&gt;"",OR(F247="CORRECTA",F247="RESPUESTA ESPERADA",F247="FALLO CONFIRMADO"),G247="Sí",I247&lt;&gt;"",J247&lt;&gt;""),"VÁLIDO","INCOMPLETO"))))</x:f>
      </x:c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2" t="str">
        <x:f>IF(COUNTA(A248:K248)=0,"",IF(AND(A248&lt;&gt;"",COUNTIF($A$5:$A$304,A248)&gt;1),"REVISAR",IF(AND(F248="EXCLUIDA",G248="No",I248&lt;&gt;"",K248&lt;&gt;""),"EXCLUIDO",IF(AND(A248&lt;&gt;"",B248&lt;&gt;"",C248&lt;&gt;"",D248&lt;&gt;"",E248&lt;&gt;"",OR(F248="CORRECTA",F248="RESPUESTA ESPERADA",F248="FALLO CONFIRMADO"),G248="Sí",I248&lt;&gt;"",J248&lt;&gt;""),"VÁLIDO","INCOMPLETO"))))</x:f>
      </x:c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2" t="str">
        <x:f>IF(COUNTA(A249:K249)=0,"",IF(AND(A249&lt;&gt;"",COUNTIF($A$5:$A$304,A249)&gt;1),"REVISAR",IF(AND(F249="EXCLUIDA",G249="No",I249&lt;&gt;"",K249&lt;&gt;""),"EXCLUIDO",IF(AND(A249&lt;&gt;"",B249&lt;&gt;"",C249&lt;&gt;"",D249&lt;&gt;"",E249&lt;&gt;"",OR(F249="CORRECTA",F249="RESPUESTA ESPERADA",F249="FALLO CONFIRMADO"),G249="Sí",I249&lt;&gt;"",J249&lt;&gt;""),"VÁLIDO","INCOMPLETO"))))</x:f>
      </x:c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2" t="str">
        <x:f>IF(COUNTA(A250:K250)=0,"",IF(AND(A250&lt;&gt;"",COUNTIF($A$5:$A$304,A250)&gt;1),"REVISAR",IF(AND(F250="EXCLUIDA",G250="No",I250&lt;&gt;"",K250&lt;&gt;""),"EXCLUIDO",IF(AND(A250&lt;&gt;"",B250&lt;&gt;"",C250&lt;&gt;"",D250&lt;&gt;"",E250&lt;&gt;"",OR(F250="CORRECTA",F250="RESPUESTA ESPERADA",F250="FALLO CONFIRMADO"),G250="Sí",I250&lt;&gt;"",J250&lt;&gt;""),"VÁLIDO","INCOMPLETO"))))</x:f>
      </x:c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2" t="str">
        <x:f>IF(COUNTA(A251:K251)=0,"",IF(AND(A251&lt;&gt;"",COUNTIF($A$5:$A$304,A251)&gt;1),"REVISAR",IF(AND(F251="EXCLUIDA",G251="No",I251&lt;&gt;"",K251&lt;&gt;""),"EXCLUIDO",IF(AND(A251&lt;&gt;"",B251&lt;&gt;"",C251&lt;&gt;"",D251&lt;&gt;"",E251&lt;&gt;"",OR(F251="CORRECTA",F251="RESPUESTA ESPERADA",F251="FALLO CONFIRMADO"),G251="Sí",I251&lt;&gt;"",J251&lt;&gt;""),"VÁLIDO","INCOMPLETO"))))</x:f>
      </x:c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2" t="str">
        <x:f>IF(COUNTA(A252:K252)=0,"",IF(AND(A252&lt;&gt;"",COUNTIF($A$5:$A$304,A252)&gt;1),"REVISAR",IF(AND(F252="EXCLUIDA",G252="No",I252&lt;&gt;"",K252&lt;&gt;""),"EXCLUIDO",IF(AND(A252&lt;&gt;"",B252&lt;&gt;"",C252&lt;&gt;"",D252&lt;&gt;"",E252&lt;&gt;"",OR(F252="CORRECTA",F252="RESPUESTA ESPERADA",F252="FALLO CONFIRMADO"),G252="Sí",I252&lt;&gt;"",J252&lt;&gt;""),"VÁLIDO","INCOMPLETO"))))</x:f>
      </x:c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2" t="str">
        <x:f>IF(COUNTA(A253:K253)=0,"",IF(AND(A253&lt;&gt;"",COUNTIF($A$5:$A$304,A253)&gt;1),"REVISAR",IF(AND(F253="EXCLUIDA",G253="No",I253&lt;&gt;"",K253&lt;&gt;""),"EXCLUIDO",IF(AND(A253&lt;&gt;"",B253&lt;&gt;"",C253&lt;&gt;"",D253&lt;&gt;"",E253&lt;&gt;"",OR(F253="CORRECTA",F253="RESPUESTA ESPERADA",F253="FALLO CONFIRMADO"),G253="Sí",I253&lt;&gt;"",J253&lt;&gt;""),"VÁLIDO","INCOMPLETO"))))</x:f>
      </x:c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2" t="str">
        <x:f>IF(COUNTA(A254:K254)=0,"",IF(AND(A254&lt;&gt;"",COUNTIF($A$5:$A$304,A254)&gt;1),"REVISAR",IF(AND(F254="EXCLUIDA",G254="No",I254&lt;&gt;"",K254&lt;&gt;""),"EXCLUIDO",IF(AND(A254&lt;&gt;"",B254&lt;&gt;"",C254&lt;&gt;"",D254&lt;&gt;"",E254&lt;&gt;"",OR(F254="CORRECTA",F254="RESPUESTA ESPERADA",F254="FALLO CONFIRMADO"),G254="Sí",I254&lt;&gt;"",J254&lt;&gt;""),"VÁLIDO","INCOMPLETO"))))</x:f>
      </x:c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2" t="str">
        <x:f>IF(COUNTA(A255:K255)=0,"",IF(AND(A255&lt;&gt;"",COUNTIF($A$5:$A$304,A255)&gt;1),"REVISAR",IF(AND(F255="EXCLUIDA",G255="No",I255&lt;&gt;"",K255&lt;&gt;""),"EXCLUIDO",IF(AND(A255&lt;&gt;"",B255&lt;&gt;"",C255&lt;&gt;"",D255&lt;&gt;"",E255&lt;&gt;"",OR(F255="CORRECTA",F255="RESPUESTA ESPERADA",F255="FALLO CONFIRMADO"),G255="Sí",I255&lt;&gt;"",J255&lt;&gt;""),"VÁLIDO","INCOMPLETO"))))</x:f>
      </x:c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2" t="str">
        <x:f>IF(COUNTA(A256:K256)=0,"",IF(AND(A256&lt;&gt;"",COUNTIF($A$5:$A$304,A256)&gt;1),"REVISAR",IF(AND(F256="EXCLUIDA",G256="No",I256&lt;&gt;"",K256&lt;&gt;""),"EXCLUIDO",IF(AND(A256&lt;&gt;"",B256&lt;&gt;"",C256&lt;&gt;"",D256&lt;&gt;"",E256&lt;&gt;"",OR(F256="CORRECTA",F256="RESPUESTA ESPERADA",F256="FALLO CONFIRMADO"),G256="Sí",I256&lt;&gt;"",J256&lt;&gt;""),"VÁLIDO","INCOMPLETO"))))</x:f>
      </x:c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2" t="str">
        <x:f>IF(COUNTA(A257:K257)=0,"",IF(AND(A257&lt;&gt;"",COUNTIF($A$5:$A$304,A257)&gt;1),"REVISAR",IF(AND(F257="EXCLUIDA",G257="No",I257&lt;&gt;"",K257&lt;&gt;""),"EXCLUIDO",IF(AND(A257&lt;&gt;"",B257&lt;&gt;"",C257&lt;&gt;"",D257&lt;&gt;"",E257&lt;&gt;"",OR(F257="CORRECTA",F257="RESPUESTA ESPERADA",F257="FALLO CONFIRMADO"),G257="Sí",I257&lt;&gt;"",J257&lt;&gt;""),"VÁLIDO","INCOMPLETO"))))</x:f>
      </x:c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2" t="str">
        <x:f>IF(COUNTA(A258:K258)=0,"",IF(AND(A258&lt;&gt;"",COUNTIF($A$5:$A$304,A258)&gt;1),"REVISAR",IF(AND(F258="EXCLUIDA",G258="No",I258&lt;&gt;"",K258&lt;&gt;""),"EXCLUIDO",IF(AND(A258&lt;&gt;"",B258&lt;&gt;"",C258&lt;&gt;"",D258&lt;&gt;"",E258&lt;&gt;"",OR(F258="CORRECTA",F258="RESPUESTA ESPERADA",F258="FALLO CONFIRMADO"),G258="Sí",I258&lt;&gt;"",J258&lt;&gt;""),"VÁLIDO","INCOMPLETO"))))</x:f>
      </x:c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2" t="str">
        <x:f>IF(COUNTA(A259:K259)=0,"",IF(AND(A259&lt;&gt;"",COUNTIF($A$5:$A$304,A259)&gt;1),"REVISAR",IF(AND(F259="EXCLUIDA",G259="No",I259&lt;&gt;"",K259&lt;&gt;""),"EXCLUIDO",IF(AND(A259&lt;&gt;"",B259&lt;&gt;"",C259&lt;&gt;"",D259&lt;&gt;"",E259&lt;&gt;"",OR(F259="CORRECTA",F259="RESPUESTA ESPERADA",F259="FALLO CONFIRMADO"),G259="Sí",I259&lt;&gt;"",J259&lt;&gt;""),"VÁLIDO","INCOMPLETO"))))</x:f>
      </x:c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2" t="str">
        <x:f>IF(COUNTA(A260:K260)=0,"",IF(AND(A260&lt;&gt;"",COUNTIF($A$5:$A$304,A260)&gt;1),"REVISAR",IF(AND(F260="EXCLUIDA",G260="No",I260&lt;&gt;"",K260&lt;&gt;""),"EXCLUIDO",IF(AND(A260&lt;&gt;"",B260&lt;&gt;"",C260&lt;&gt;"",D260&lt;&gt;"",E260&lt;&gt;"",OR(F260="CORRECTA",F260="RESPUESTA ESPERADA",F260="FALLO CONFIRMADO"),G260="Sí",I260&lt;&gt;"",J260&lt;&gt;""),"VÁLIDO","INCOMPLETO"))))</x:f>
      </x:c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2" t="str">
        <x:f>IF(COUNTA(A261:K261)=0,"",IF(AND(A261&lt;&gt;"",COUNTIF($A$5:$A$304,A261)&gt;1),"REVISAR",IF(AND(F261="EXCLUIDA",G261="No",I261&lt;&gt;"",K261&lt;&gt;""),"EXCLUIDO",IF(AND(A261&lt;&gt;"",B261&lt;&gt;"",C261&lt;&gt;"",D261&lt;&gt;"",E261&lt;&gt;"",OR(F261="CORRECTA",F261="RESPUESTA ESPERADA",F261="FALLO CONFIRMADO"),G261="Sí",I261&lt;&gt;"",J261&lt;&gt;""),"VÁLIDO","INCOMPLETO"))))</x:f>
      </x:c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2" t="str">
        <x:f>IF(COUNTA(A262:K262)=0,"",IF(AND(A262&lt;&gt;"",COUNTIF($A$5:$A$304,A262)&gt;1),"REVISAR",IF(AND(F262="EXCLUIDA",G262="No",I262&lt;&gt;"",K262&lt;&gt;""),"EXCLUIDO",IF(AND(A262&lt;&gt;"",B262&lt;&gt;"",C262&lt;&gt;"",D262&lt;&gt;"",E262&lt;&gt;"",OR(F262="CORRECTA",F262="RESPUESTA ESPERADA",F262="FALLO CONFIRMADO"),G262="Sí",I262&lt;&gt;"",J262&lt;&gt;""),"VÁLIDO","INCOMPLETO"))))</x:f>
      </x:c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2" t="str">
        <x:f>IF(COUNTA(A263:K263)=0,"",IF(AND(A263&lt;&gt;"",COUNTIF($A$5:$A$304,A263)&gt;1),"REVISAR",IF(AND(F263="EXCLUIDA",G263="No",I263&lt;&gt;"",K263&lt;&gt;""),"EXCLUIDO",IF(AND(A263&lt;&gt;"",B263&lt;&gt;"",C263&lt;&gt;"",D263&lt;&gt;"",E263&lt;&gt;"",OR(F263="CORRECTA",F263="RESPUESTA ESPERADA",F263="FALLO CONFIRMADO"),G263="Sí",I263&lt;&gt;"",J263&lt;&gt;""),"VÁLIDO","INCOMPLETO"))))</x:f>
      </x:c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2" t="str">
        <x:f>IF(COUNTA(A264:K264)=0,"",IF(AND(A264&lt;&gt;"",COUNTIF($A$5:$A$304,A264)&gt;1),"REVISAR",IF(AND(F264="EXCLUIDA",G264="No",I264&lt;&gt;"",K264&lt;&gt;""),"EXCLUIDO",IF(AND(A264&lt;&gt;"",B264&lt;&gt;"",C264&lt;&gt;"",D264&lt;&gt;"",E264&lt;&gt;"",OR(F264="CORRECTA",F264="RESPUESTA ESPERADA",F264="FALLO CONFIRMADO"),G264="Sí",I264&lt;&gt;"",J264&lt;&gt;""),"VÁLIDO","INCOMPLETO"))))</x:f>
      </x:c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2" t="str">
        <x:f>IF(COUNTA(A265:K265)=0,"",IF(AND(A265&lt;&gt;"",COUNTIF($A$5:$A$304,A265)&gt;1),"REVISAR",IF(AND(F265="EXCLUIDA",G265="No",I265&lt;&gt;"",K265&lt;&gt;""),"EXCLUIDO",IF(AND(A265&lt;&gt;"",B265&lt;&gt;"",C265&lt;&gt;"",D265&lt;&gt;"",E265&lt;&gt;"",OR(F265="CORRECTA",F265="RESPUESTA ESPERADA",F265="FALLO CONFIRMADO"),G265="Sí",I265&lt;&gt;"",J265&lt;&gt;""),"VÁLIDO","INCOMPLETO"))))</x:f>
      </x:c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2" t="str">
        <x:f>IF(COUNTA(A266:K266)=0,"",IF(AND(A266&lt;&gt;"",COUNTIF($A$5:$A$304,A266)&gt;1),"REVISAR",IF(AND(F266="EXCLUIDA",G266="No",I266&lt;&gt;"",K266&lt;&gt;""),"EXCLUIDO",IF(AND(A266&lt;&gt;"",B266&lt;&gt;"",C266&lt;&gt;"",D266&lt;&gt;"",E266&lt;&gt;"",OR(F266="CORRECTA",F266="RESPUESTA ESPERADA",F266="FALLO CONFIRMADO"),G266="Sí",I266&lt;&gt;"",J266&lt;&gt;""),"VÁLIDO","INCOMPLETO"))))</x:f>
      </x:c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2" t="str">
        <x:f>IF(COUNTA(A267:K267)=0,"",IF(AND(A267&lt;&gt;"",COUNTIF($A$5:$A$304,A267)&gt;1),"REVISAR",IF(AND(F267="EXCLUIDA",G267="No",I267&lt;&gt;"",K267&lt;&gt;""),"EXCLUIDO",IF(AND(A267&lt;&gt;"",B267&lt;&gt;"",C267&lt;&gt;"",D267&lt;&gt;"",E267&lt;&gt;"",OR(F267="CORRECTA",F267="RESPUESTA ESPERADA",F267="FALLO CONFIRMADO"),G267="Sí",I267&lt;&gt;"",J267&lt;&gt;""),"VÁLIDO","INCOMPLETO"))))</x:f>
      </x:c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2" t="str">
        <x:f>IF(COUNTA(A268:K268)=0,"",IF(AND(A268&lt;&gt;"",COUNTIF($A$5:$A$304,A268)&gt;1),"REVISAR",IF(AND(F268="EXCLUIDA",G268="No",I268&lt;&gt;"",K268&lt;&gt;""),"EXCLUIDO",IF(AND(A268&lt;&gt;"",B268&lt;&gt;"",C268&lt;&gt;"",D268&lt;&gt;"",E268&lt;&gt;"",OR(F268="CORRECTA",F268="RESPUESTA ESPERADA",F268="FALLO CONFIRMADO"),G268="Sí",I268&lt;&gt;"",J268&lt;&gt;""),"VÁLIDO","INCOMPLETO"))))</x:f>
      </x:c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2" t="str">
        <x:f>IF(COUNTA(A269:K269)=0,"",IF(AND(A269&lt;&gt;"",COUNTIF($A$5:$A$304,A269)&gt;1),"REVISAR",IF(AND(F269="EXCLUIDA",G269="No",I269&lt;&gt;"",K269&lt;&gt;""),"EXCLUIDO",IF(AND(A269&lt;&gt;"",B269&lt;&gt;"",C269&lt;&gt;"",D269&lt;&gt;"",E269&lt;&gt;"",OR(F269="CORRECTA",F269="RESPUESTA ESPERADA",F269="FALLO CONFIRMADO"),G269="Sí",I269&lt;&gt;"",J269&lt;&gt;""),"VÁLIDO","INCOMPLETO"))))</x:f>
      </x:c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2" t="str">
        <x:f>IF(COUNTA(A270:K270)=0,"",IF(AND(A270&lt;&gt;"",COUNTIF($A$5:$A$304,A270)&gt;1),"REVISAR",IF(AND(F270="EXCLUIDA",G270="No",I270&lt;&gt;"",K270&lt;&gt;""),"EXCLUIDO",IF(AND(A270&lt;&gt;"",B270&lt;&gt;"",C270&lt;&gt;"",D270&lt;&gt;"",E270&lt;&gt;"",OR(F270="CORRECTA",F270="RESPUESTA ESPERADA",F270="FALLO CONFIRMADO"),G270="Sí",I270&lt;&gt;"",J270&lt;&gt;""),"VÁLIDO","INCOMPLETO"))))</x:f>
      </x:c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2" t="str">
        <x:f>IF(COUNTA(A271:K271)=0,"",IF(AND(A271&lt;&gt;"",COUNTIF($A$5:$A$304,A271)&gt;1),"REVISAR",IF(AND(F271="EXCLUIDA",G271="No",I271&lt;&gt;"",K271&lt;&gt;""),"EXCLUIDO",IF(AND(A271&lt;&gt;"",B271&lt;&gt;"",C271&lt;&gt;"",D271&lt;&gt;"",E271&lt;&gt;"",OR(F271="CORRECTA",F271="RESPUESTA ESPERADA",F271="FALLO CONFIRMADO"),G271="Sí",I271&lt;&gt;"",J271&lt;&gt;""),"VÁLIDO","INCOMPLETO"))))</x:f>
      </x:c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2" t="str">
        <x:f>IF(COUNTA(A272:K272)=0,"",IF(AND(A272&lt;&gt;"",COUNTIF($A$5:$A$304,A272)&gt;1),"REVISAR",IF(AND(F272="EXCLUIDA",G272="No",I272&lt;&gt;"",K272&lt;&gt;""),"EXCLUIDO",IF(AND(A272&lt;&gt;"",B272&lt;&gt;"",C272&lt;&gt;"",D272&lt;&gt;"",E272&lt;&gt;"",OR(F272="CORRECTA",F272="RESPUESTA ESPERADA",F272="FALLO CONFIRMADO"),G272="Sí",I272&lt;&gt;"",J272&lt;&gt;""),"VÁLIDO","INCOMPLETO"))))</x:f>
      </x:c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2" t="str">
        <x:f>IF(COUNTA(A273:K273)=0,"",IF(AND(A273&lt;&gt;"",COUNTIF($A$5:$A$304,A273)&gt;1),"REVISAR",IF(AND(F273="EXCLUIDA",G273="No",I273&lt;&gt;"",K273&lt;&gt;""),"EXCLUIDO",IF(AND(A273&lt;&gt;"",B273&lt;&gt;"",C273&lt;&gt;"",D273&lt;&gt;"",E273&lt;&gt;"",OR(F273="CORRECTA",F273="RESPUESTA ESPERADA",F273="FALLO CONFIRMADO"),G273="Sí",I273&lt;&gt;"",J273&lt;&gt;""),"VÁLIDO","INCOMPLETO"))))</x:f>
      </x:c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2" t="str">
        <x:f>IF(COUNTA(A274:K274)=0,"",IF(AND(A274&lt;&gt;"",COUNTIF($A$5:$A$304,A274)&gt;1),"REVISAR",IF(AND(F274="EXCLUIDA",G274="No",I274&lt;&gt;"",K274&lt;&gt;""),"EXCLUIDO",IF(AND(A274&lt;&gt;"",B274&lt;&gt;"",C274&lt;&gt;"",D274&lt;&gt;"",E274&lt;&gt;"",OR(F274="CORRECTA",F274="RESPUESTA ESPERADA",F274="FALLO CONFIRMADO"),G274="Sí",I274&lt;&gt;"",J274&lt;&gt;""),"VÁLIDO","INCOMPLETO"))))</x:f>
      </x:c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2" t="str">
        <x:f>IF(COUNTA(A275:K275)=0,"",IF(AND(A275&lt;&gt;"",COUNTIF($A$5:$A$304,A275)&gt;1),"REVISAR",IF(AND(F275="EXCLUIDA",G275="No",I275&lt;&gt;"",K275&lt;&gt;""),"EXCLUIDO",IF(AND(A275&lt;&gt;"",B275&lt;&gt;"",C275&lt;&gt;"",D275&lt;&gt;"",E275&lt;&gt;"",OR(F275="CORRECTA",F275="RESPUESTA ESPERADA",F275="FALLO CONFIRMADO"),G275="Sí",I275&lt;&gt;"",J275&lt;&gt;""),"VÁLIDO","INCOMPLETO"))))</x:f>
      </x:c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2" t="str">
        <x:f>IF(COUNTA(A276:K276)=0,"",IF(AND(A276&lt;&gt;"",COUNTIF($A$5:$A$304,A276)&gt;1),"REVISAR",IF(AND(F276="EXCLUIDA",G276="No",I276&lt;&gt;"",K276&lt;&gt;""),"EXCLUIDO",IF(AND(A276&lt;&gt;"",B276&lt;&gt;"",C276&lt;&gt;"",D276&lt;&gt;"",E276&lt;&gt;"",OR(F276="CORRECTA",F276="RESPUESTA ESPERADA",F276="FALLO CONFIRMADO"),G276="Sí",I276&lt;&gt;"",J276&lt;&gt;""),"VÁLIDO","INCOMPLETO"))))</x:f>
      </x:c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2" t="str">
        <x:f>IF(COUNTA(A277:K277)=0,"",IF(AND(A277&lt;&gt;"",COUNTIF($A$5:$A$304,A277)&gt;1),"REVISAR",IF(AND(F277="EXCLUIDA",G277="No",I277&lt;&gt;"",K277&lt;&gt;""),"EXCLUIDO",IF(AND(A277&lt;&gt;"",B277&lt;&gt;"",C277&lt;&gt;"",D277&lt;&gt;"",E277&lt;&gt;"",OR(F277="CORRECTA",F277="RESPUESTA ESPERADA",F277="FALLO CONFIRMADO"),G277="Sí",I277&lt;&gt;"",J277&lt;&gt;""),"VÁLIDO","INCOMPLETO"))))</x:f>
      </x:c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2" t="str">
        <x:f>IF(COUNTA(A278:K278)=0,"",IF(AND(A278&lt;&gt;"",COUNTIF($A$5:$A$304,A278)&gt;1),"REVISAR",IF(AND(F278="EXCLUIDA",G278="No",I278&lt;&gt;"",K278&lt;&gt;""),"EXCLUIDO",IF(AND(A278&lt;&gt;"",B278&lt;&gt;"",C278&lt;&gt;"",D278&lt;&gt;"",E278&lt;&gt;"",OR(F278="CORRECTA",F278="RESPUESTA ESPERADA",F278="FALLO CONFIRMADO"),G278="Sí",I278&lt;&gt;"",J278&lt;&gt;""),"VÁLIDO","INCOMPLETO"))))</x:f>
      </x:c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2" t="str">
        <x:f>IF(COUNTA(A279:K279)=0,"",IF(AND(A279&lt;&gt;"",COUNTIF($A$5:$A$304,A279)&gt;1),"REVISAR",IF(AND(F279="EXCLUIDA",G279="No",I279&lt;&gt;"",K279&lt;&gt;""),"EXCLUIDO",IF(AND(A279&lt;&gt;"",B279&lt;&gt;"",C279&lt;&gt;"",D279&lt;&gt;"",E279&lt;&gt;"",OR(F279="CORRECTA",F279="RESPUESTA ESPERADA",F279="FALLO CONFIRMADO"),G279="Sí",I279&lt;&gt;"",J279&lt;&gt;""),"VÁLIDO","INCOMPLETO"))))</x:f>
      </x:c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2" t="str">
        <x:f>IF(COUNTA(A280:K280)=0,"",IF(AND(A280&lt;&gt;"",COUNTIF($A$5:$A$304,A280)&gt;1),"REVISAR",IF(AND(F280="EXCLUIDA",G280="No",I280&lt;&gt;"",K280&lt;&gt;""),"EXCLUIDO",IF(AND(A280&lt;&gt;"",B280&lt;&gt;"",C280&lt;&gt;"",D280&lt;&gt;"",E280&lt;&gt;"",OR(F280="CORRECTA",F280="RESPUESTA ESPERADA",F280="FALLO CONFIRMADO"),G280="Sí",I280&lt;&gt;"",J280&lt;&gt;""),"VÁLIDO","INCOMPLETO"))))</x:f>
      </x:c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2" t="str">
        <x:f>IF(COUNTA(A281:K281)=0,"",IF(AND(A281&lt;&gt;"",COUNTIF($A$5:$A$304,A281)&gt;1),"REVISAR",IF(AND(F281="EXCLUIDA",G281="No",I281&lt;&gt;"",K281&lt;&gt;""),"EXCLUIDO",IF(AND(A281&lt;&gt;"",B281&lt;&gt;"",C281&lt;&gt;"",D281&lt;&gt;"",E281&lt;&gt;"",OR(F281="CORRECTA",F281="RESPUESTA ESPERADA",F281="FALLO CONFIRMADO"),G281="Sí",I281&lt;&gt;"",J281&lt;&gt;""),"VÁLIDO","INCOMPLETO"))))</x:f>
      </x:c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2" t="str">
        <x:f>IF(COUNTA(A282:K282)=0,"",IF(AND(A282&lt;&gt;"",COUNTIF($A$5:$A$304,A282)&gt;1),"REVISAR",IF(AND(F282="EXCLUIDA",G282="No",I282&lt;&gt;"",K282&lt;&gt;""),"EXCLUIDO",IF(AND(A282&lt;&gt;"",B282&lt;&gt;"",C282&lt;&gt;"",D282&lt;&gt;"",E282&lt;&gt;"",OR(F282="CORRECTA",F282="RESPUESTA ESPERADA",F282="FALLO CONFIRMADO"),G282="Sí",I282&lt;&gt;"",J282&lt;&gt;""),"VÁLIDO","INCOMPLETO"))))</x:f>
      </x:c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2" t="str">
        <x:f>IF(COUNTA(A283:K283)=0,"",IF(AND(A283&lt;&gt;"",COUNTIF($A$5:$A$304,A283)&gt;1),"REVISAR",IF(AND(F283="EXCLUIDA",G283="No",I283&lt;&gt;"",K283&lt;&gt;""),"EXCLUIDO",IF(AND(A283&lt;&gt;"",B283&lt;&gt;"",C283&lt;&gt;"",D283&lt;&gt;"",E283&lt;&gt;"",OR(F283="CORRECTA",F283="RESPUESTA ESPERADA",F283="FALLO CONFIRMADO"),G283="Sí",I283&lt;&gt;"",J283&lt;&gt;""),"VÁLIDO","INCOMPLETO"))))</x:f>
      </x:c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2" t="str">
        <x:f>IF(COUNTA(A284:K284)=0,"",IF(AND(A284&lt;&gt;"",COUNTIF($A$5:$A$304,A284)&gt;1),"REVISAR",IF(AND(F284="EXCLUIDA",G284="No",I284&lt;&gt;"",K284&lt;&gt;""),"EXCLUIDO",IF(AND(A284&lt;&gt;"",B284&lt;&gt;"",C284&lt;&gt;"",D284&lt;&gt;"",E284&lt;&gt;"",OR(F284="CORRECTA",F284="RESPUESTA ESPERADA",F284="FALLO CONFIRMADO"),G284="Sí",I284&lt;&gt;"",J284&lt;&gt;""),"VÁLIDO","INCOMPLETO"))))</x:f>
      </x:c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2" t="str">
        <x:f>IF(COUNTA(A285:K285)=0,"",IF(AND(A285&lt;&gt;"",COUNTIF($A$5:$A$304,A285)&gt;1),"REVISAR",IF(AND(F285="EXCLUIDA",G285="No",I285&lt;&gt;"",K285&lt;&gt;""),"EXCLUIDO",IF(AND(A285&lt;&gt;"",B285&lt;&gt;"",C285&lt;&gt;"",D285&lt;&gt;"",E285&lt;&gt;"",OR(F285="CORRECTA",F285="RESPUESTA ESPERADA",F285="FALLO CONFIRMADO"),G285="Sí",I285&lt;&gt;"",J285&lt;&gt;""),"VÁLIDO","INCOMPLETO"))))</x:f>
      </x:c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2" t="str">
        <x:f>IF(COUNTA(A286:K286)=0,"",IF(AND(A286&lt;&gt;"",COUNTIF($A$5:$A$304,A286)&gt;1),"REVISAR",IF(AND(F286="EXCLUIDA",G286="No",I286&lt;&gt;"",K286&lt;&gt;""),"EXCLUIDO",IF(AND(A286&lt;&gt;"",B286&lt;&gt;"",C286&lt;&gt;"",D286&lt;&gt;"",E286&lt;&gt;"",OR(F286="CORRECTA",F286="RESPUESTA ESPERADA",F286="FALLO CONFIRMADO"),G286="Sí",I286&lt;&gt;"",J286&lt;&gt;""),"VÁLIDO","INCOMPLETO"))))</x:f>
      </x:c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2" t="str">
        <x:f>IF(COUNTA(A287:K287)=0,"",IF(AND(A287&lt;&gt;"",COUNTIF($A$5:$A$304,A287)&gt;1),"REVISAR",IF(AND(F287="EXCLUIDA",G287="No",I287&lt;&gt;"",K287&lt;&gt;""),"EXCLUIDO",IF(AND(A287&lt;&gt;"",B287&lt;&gt;"",C287&lt;&gt;"",D287&lt;&gt;"",E287&lt;&gt;"",OR(F287="CORRECTA",F287="RESPUESTA ESPERADA",F287="FALLO CONFIRMADO"),G287="Sí",I287&lt;&gt;"",J287&lt;&gt;""),"VÁLIDO","INCOMPLETO"))))</x:f>
      </x:c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2" t="str">
        <x:f>IF(COUNTA(A288:K288)=0,"",IF(AND(A288&lt;&gt;"",COUNTIF($A$5:$A$304,A288)&gt;1),"REVISAR",IF(AND(F288="EXCLUIDA",G288="No",I288&lt;&gt;"",K288&lt;&gt;""),"EXCLUIDO",IF(AND(A288&lt;&gt;"",B288&lt;&gt;"",C288&lt;&gt;"",D288&lt;&gt;"",E288&lt;&gt;"",OR(F288="CORRECTA",F288="RESPUESTA ESPERADA",F288="FALLO CONFIRMADO"),G288="Sí",I288&lt;&gt;"",J288&lt;&gt;""),"VÁLIDO","INCOMPLETO"))))</x:f>
      </x:c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2" t="str">
        <x:f>IF(COUNTA(A289:K289)=0,"",IF(AND(A289&lt;&gt;"",COUNTIF($A$5:$A$304,A289)&gt;1),"REVISAR",IF(AND(F289="EXCLUIDA",G289="No",I289&lt;&gt;"",K289&lt;&gt;""),"EXCLUIDO",IF(AND(A289&lt;&gt;"",B289&lt;&gt;"",C289&lt;&gt;"",D289&lt;&gt;"",E289&lt;&gt;"",OR(F289="CORRECTA",F289="RESPUESTA ESPERADA",F289="FALLO CONFIRMADO"),G289="Sí",I289&lt;&gt;"",J289&lt;&gt;""),"VÁLIDO","INCOMPLETO"))))</x:f>
      </x:c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2" t="str">
        <x:f>IF(COUNTA(A290:K290)=0,"",IF(AND(A290&lt;&gt;"",COUNTIF($A$5:$A$304,A290)&gt;1),"REVISAR",IF(AND(F290="EXCLUIDA",G290="No",I290&lt;&gt;"",K290&lt;&gt;""),"EXCLUIDO",IF(AND(A290&lt;&gt;"",B290&lt;&gt;"",C290&lt;&gt;"",D290&lt;&gt;"",E290&lt;&gt;"",OR(F290="CORRECTA",F290="RESPUESTA ESPERADA",F290="FALLO CONFIRMADO"),G290="Sí",I290&lt;&gt;"",J290&lt;&gt;""),"VÁLIDO","INCOMPLETO"))))</x:f>
      </x:c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2" t="str">
        <x:f>IF(COUNTA(A291:K291)=0,"",IF(AND(A291&lt;&gt;"",COUNTIF($A$5:$A$304,A291)&gt;1),"REVISAR",IF(AND(F291="EXCLUIDA",G291="No",I291&lt;&gt;"",K291&lt;&gt;""),"EXCLUIDO",IF(AND(A291&lt;&gt;"",B291&lt;&gt;"",C291&lt;&gt;"",D291&lt;&gt;"",E291&lt;&gt;"",OR(F291="CORRECTA",F291="RESPUESTA ESPERADA",F291="FALLO CONFIRMADO"),G291="Sí",I291&lt;&gt;"",J291&lt;&gt;""),"VÁLIDO","INCOMPLETO"))))</x:f>
      </x:c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2" t="str">
        <x:f>IF(COUNTA(A292:K292)=0,"",IF(AND(A292&lt;&gt;"",COUNTIF($A$5:$A$304,A292)&gt;1),"REVISAR",IF(AND(F292="EXCLUIDA",G292="No",I292&lt;&gt;"",K292&lt;&gt;""),"EXCLUIDO",IF(AND(A292&lt;&gt;"",B292&lt;&gt;"",C292&lt;&gt;"",D292&lt;&gt;"",E292&lt;&gt;"",OR(F292="CORRECTA",F292="RESPUESTA ESPERADA",F292="FALLO CONFIRMADO"),G292="Sí",I292&lt;&gt;"",J292&lt;&gt;""),"VÁLIDO","INCOMPLETO"))))</x:f>
      </x:c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2" t="str">
        <x:f>IF(COUNTA(A293:K293)=0,"",IF(AND(A293&lt;&gt;"",COUNTIF($A$5:$A$304,A293)&gt;1),"REVISAR",IF(AND(F293="EXCLUIDA",G293="No",I293&lt;&gt;"",K293&lt;&gt;""),"EXCLUIDO",IF(AND(A293&lt;&gt;"",B293&lt;&gt;"",C293&lt;&gt;"",D293&lt;&gt;"",E293&lt;&gt;"",OR(F293="CORRECTA",F293="RESPUESTA ESPERADA",F293="FALLO CONFIRMADO"),G293="Sí",I293&lt;&gt;"",J293&lt;&gt;""),"VÁLIDO","INCOMPLETO"))))</x:f>
      </x:c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2" t="str">
        <x:f>IF(COUNTA(A294:K294)=0,"",IF(AND(A294&lt;&gt;"",COUNTIF($A$5:$A$304,A294)&gt;1),"REVISAR",IF(AND(F294="EXCLUIDA",G294="No",I294&lt;&gt;"",K294&lt;&gt;""),"EXCLUIDO",IF(AND(A294&lt;&gt;"",B294&lt;&gt;"",C294&lt;&gt;"",D294&lt;&gt;"",E294&lt;&gt;"",OR(F294="CORRECTA",F294="RESPUESTA ESPERADA",F294="FALLO CONFIRMADO"),G294="Sí",I294&lt;&gt;"",J294&lt;&gt;""),"VÁLIDO","INCOMPLETO"))))</x:f>
      </x:c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2" t="str">
        <x:f>IF(COUNTA(A295:K295)=0,"",IF(AND(A295&lt;&gt;"",COUNTIF($A$5:$A$304,A295)&gt;1),"REVISAR",IF(AND(F295="EXCLUIDA",G295="No",I295&lt;&gt;"",K295&lt;&gt;""),"EXCLUIDO",IF(AND(A295&lt;&gt;"",B295&lt;&gt;"",C295&lt;&gt;"",D295&lt;&gt;"",E295&lt;&gt;"",OR(F295="CORRECTA",F295="RESPUESTA ESPERADA",F295="FALLO CONFIRMADO"),G295="Sí",I295&lt;&gt;"",J295&lt;&gt;""),"VÁLIDO","INCOMPLETO"))))</x:f>
      </x:c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2" t="str">
        <x:f>IF(COUNTA(A296:K296)=0,"",IF(AND(A296&lt;&gt;"",COUNTIF($A$5:$A$304,A296)&gt;1),"REVISAR",IF(AND(F296="EXCLUIDA",G296="No",I296&lt;&gt;"",K296&lt;&gt;""),"EXCLUIDO",IF(AND(A296&lt;&gt;"",B296&lt;&gt;"",C296&lt;&gt;"",D296&lt;&gt;"",E296&lt;&gt;"",OR(F296="CORRECTA",F296="RESPUESTA ESPERADA",F296="FALLO CONFIRMADO"),G296="Sí",I296&lt;&gt;"",J296&lt;&gt;""),"VÁLIDO","INCOMPLETO"))))</x:f>
      </x:c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2" t="str">
        <x:f>IF(COUNTA(A297:K297)=0,"",IF(AND(A297&lt;&gt;"",COUNTIF($A$5:$A$304,A297)&gt;1),"REVISAR",IF(AND(F297="EXCLUIDA",G297="No",I297&lt;&gt;"",K297&lt;&gt;""),"EXCLUIDO",IF(AND(A297&lt;&gt;"",B297&lt;&gt;"",C297&lt;&gt;"",D297&lt;&gt;"",E297&lt;&gt;"",OR(F297="CORRECTA",F297="RESPUESTA ESPERADA",F297="FALLO CONFIRMADO"),G297="Sí",I297&lt;&gt;"",J297&lt;&gt;""),"VÁLIDO","INCOMPLETO"))))</x:f>
      </x:c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2" t="str">
        <x:f>IF(COUNTA(A298:K298)=0,"",IF(AND(A298&lt;&gt;"",COUNTIF($A$5:$A$304,A298)&gt;1),"REVISAR",IF(AND(F298="EXCLUIDA",G298="No",I298&lt;&gt;"",K298&lt;&gt;""),"EXCLUIDO",IF(AND(A298&lt;&gt;"",B298&lt;&gt;"",C298&lt;&gt;"",D298&lt;&gt;"",E298&lt;&gt;"",OR(F298="CORRECTA",F298="RESPUESTA ESPERADA",F298="FALLO CONFIRMADO"),G298="Sí",I298&lt;&gt;"",J298&lt;&gt;""),"VÁLIDO","INCOMPLETO"))))</x:f>
      </x:c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2" t="str">
        <x:f>IF(COUNTA(A299:K299)=0,"",IF(AND(A299&lt;&gt;"",COUNTIF($A$5:$A$304,A299)&gt;1),"REVISAR",IF(AND(F299="EXCLUIDA",G299="No",I299&lt;&gt;"",K299&lt;&gt;""),"EXCLUIDO",IF(AND(A299&lt;&gt;"",B299&lt;&gt;"",C299&lt;&gt;"",D299&lt;&gt;"",E299&lt;&gt;"",OR(F299="CORRECTA",F299="RESPUESTA ESPERADA",F299="FALLO CONFIRMADO"),G299="Sí",I299&lt;&gt;"",J299&lt;&gt;""),"VÁLIDO","INCOMPLETO"))))</x:f>
      </x:c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2" t="str">
        <x:f>IF(COUNTA(A300:K300)=0,"",IF(AND(A300&lt;&gt;"",COUNTIF($A$5:$A$304,A300)&gt;1),"REVISAR",IF(AND(F300="EXCLUIDA",G300="No",I300&lt;&gt;"",K300&lt;&gt;""),"EXCLUIDO",IF(AND(A300&lt;&gt;"",B300&lt;&gt;"",C300&lt;&gt;"",D300&lt;&gt;"",E300&lt;&gt;"",OR(F300="CORRECTA",F300="RESPUESTA ESPERADA",F300="FALLO CONFIRMADO"),G300="Sí",I300&lt;&gt;"",J300&lt;&gt;""),"VÁLIDO","INCOMPLETO"))))</x:f>
      </x:c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2" t="str">
        <x:f>IF(COUNTA(A301:K301)=0,"",IF(AND(A301&lt;&gt;"",COUNTIF($A$5:$A$304,A301)&gt;1),"REVISAR",IF(AND(F301="EXCLUIDA",G301="No",I301&lt;&gt;"",K301&lt;&gt;""),"EXCLUIDO",IF(AND(A301&lt;&gt;"",B301&lt;&gt;"",C301&lt;&gt;"",D301&lt;&gt;"",E301&lt;&gt;"",OR(F301="CORRECTA",F301="RESPUESTA ESPERADA",F301="FALLO CONFIRMADO"),G301="Sí",I301&lt;&gt;"",J301&lt;&gt;""),"VÁLIDO","INCOMPLETO"))))</x:f>
      </x:c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2" t="str">
        <x:f>IF(COUNTA(A302:K302)=0,"",IF(AND(A302&lt;&gt;"",COUNTIF($A$5:$A$304,A302)&gt;1),"REVISAR",IF(AND(F302="EXCLUIDA",G302="No",I302&lt;&gt;"",K302&lt;&gt;""),"EXCLUIDO",IF(AND(A302&lt;&gt;"",B302&lt;&gt;"",C302&lt;&gt;"",D302&lt;&gt;"",E302&lt;&gt;"",OR(F302="CORRECTA",F302="RESPUESTA ESPERADA",F302="FALLO CONFIRMADO"),G302="Sí",I302&lt;&gt;"",J302&lt;&gt;""),"VÁLIDO","INCOMPLETO"))))</x:f>
      </x:c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2" t="str">
        <x:f>IF(COUNTA(A303:K303)=0,"",IF(AND(A303&lt;&gt;"",COUNTIF($A$5:$A$304,A303)&gt;1),"REVISAR",IF(AND(F303="EXCLUIDA",G303="No",I303&lt;&gt;"",K303&lt;&gt;""),"EXCLUIDO",IF(AND(A303&lt;&gt;"",B303&lt;&gt;"",C303&lt;&gt;"",D303&lt;&gt;"",E303&lt;&gt;"",OR(F303="CORRECTA",F303="RESPUESTA ESPERADA",F303="FALLO CONFIRMADO"),G303="Sí",I303&lt;&gt;"",J303&lt;&gt;""),"VÁLIDO","INCOMPLETO"))))</x:f>
      </x:c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2" t="str">
        <x:f>IF(COUNTA(A304:K304)=0,"",IF(AND(A304&lt;&gt;"",COUNTIF($A$5:$A$304,A304)&gt;1),"REVISAR",IF(AND(F304="EXCLUIDA",G304="No",I304&lt;&gt;"",K304&lt;&gt;""),"EXCLUIDO",IF(AND(A304&lt;&gt;"",B304&lt;&gt;"",C304&lt;&gt;"",D304&lt;&gt;"",E304&lt;&gt;"",OR(F304="CORRECTA",F304="RESPUESTA ESPERADA",F304="FALLO CONFIRMADO"),G304="Sí",I304&lt;&gt;"",J304&lt;&gt;""),"VÁLIDO","INCOMPLETO"))))</x:f>
      </x:c>
    </x:row>
  </x:sheetData>
  <x:mergeCells>
    <x:mergeCell ref="A1:L1"/>
    <x:mergeCell ref="A2:L2"/>
  </x:mergeCells>
  <x:conditionalFormatting sqref="L5:L304">
    <x:cfRule type="expression" dxfId="3" priority="1">
      <x:formula>L5="REVISAR"</x:formula>
    </x:cfRule>
  </x:conditionalFormatting>
  <x:dataValidations count="4">
    <x:dataValidation type="list" sqref="F5:F304">
      <x:formula1>"CORRECTA,RESPUESTA ESPERADA,FALLO CONFIRMADO,EXCLUIDA,PENDIENTE"</x:formula1>
    </x:dataValidation>
    <x:dataValidation type="list" sqref="G5:G304">
      <x:formula1>"Sí,No,Pendiente"</x:formula1>
    </x:dataValidation>
    <x:dataValidation type="whole" sqref="H5:H304">
      <x:formula1>0</x:formula1>
    </x:dataValidation>
    <x:dataValidation type="list" sqref="B5:B304">
      <x:formula1>"ET-01,ET-02,ET-03,ET-04,ET-05,ET-06"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b2777f3a046d3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44" hidden="0" customWidth="1"/>
    <x:col min="4" max="4" width="19" hidden="0" customWidth="1"/>
    <x:col min="5" max="5" width="29" hidden="0" customWidth="1"/>
    <x:col min="6" max="6" width="24" hidden="0" customWidth="1"/>
    <x:col min="7" max="7" width="26" hidden="0" customWidth="1"/>
    <x:col min="8" max="8" width="40" hidden="0" customWidth="1"/>
    <x:col min="9" max="9" width="46" hidden="0" customWidth="1"/>
    <x:col min="10" max="10" width="25" hidden="0" customWidth="1"/>
  </x:cols>
  <x:sheetData>
    <x:row r="1" ht="35" customHeight="1">
      <x:c r="A1" s="3" t="str">
        <x:v>CAPTURA DE EVALUACIÓN DE FORMULARIOS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7" t="str">
        <x:v>Una fila por formulario y regla; solo el cierre completo de rúbrica permite veredicto.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1" customHeight="1">
      <x:c r="A4" s="13" t="str">
        <x:v>ID evaluación</x:v>
      </x:c>
      <x:c r="B4" s="13" t="str">
        <x:v>Formulario FOR</x:v>
      </x:c>
      <x:c r="C4" s="13" t="str">
        <x:v>Regla / criterio</x:v>
      </x:c>
      <x:c r="D4" s="13" t="str">
        <x:v>Elegible</x:v>
      </x:c>
      <x:c r="E4" s="13" t="str">
        <x:v>Evaluación ejecutada</x:v>
      </x:c>
      <x:c r="F4" s="13" t="str">
        <x:v>Resultado</x:v>
      </x:c>
      <x:c r="G4" s="13" t="str">
        <x:v>Rúbrica completa</x:v>
      </x:c>
      <x:c r="H4" s="13" t="str">
        <x:v>Fuente</x:v>
      </x:c>
      <x:c r="I4" s="13" t="str">
        <x:v>Evidencia</x:v>
      </x:c>
      <x:c r="J4" s="13" t="str">
        <x:v>Estado control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2" t="str">
        <x:f>IF(COUNTA(A5:I5)=0,"",IF(AND(A5&lt;&gt;"",COUNTIF($A$5:$A$154,A5)&gt;1),"REVISAR",IF(AND(D5="No",I5&lt;&gt;""),"EXCLUIDO",IF(AND(A5&lt;&gt;"",B5&lt;&gt;"",C5&lt;&gt;"",D5="Sí",E5="Sí",OR(F5="Conforme",F5="No conforme"),G5="Sí",H5&lt;&gt;"",I5&lt;&gt;""),"VÁLIDO","INCOMPLETO"))))</x:f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2" t="str">
        <x:f>IF(COUNTA(A6:I6)=0,"",IF(AND(A6&lt;&gt;"",COUNTIF($A$5:$A$154,A6)&gt;1),"REVISAR",IF(AND(D6="No",I6&lt;&gt;""),"EXCLUIDO",IF(AND(A6&lt;&gt;"",B6&lt;&gt;"",C6&lt;&gt;"",D6="Sí",E6="Sí",OR(F6="Conforme",F6="No conforme"),G6="Sí",H6&lt;&gt;"",I6&lt;&gt;""),"VÁLIDO","INCOMPLETO"))))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2" t="str">
        <x:f>IF(COUNTA(A7:I7)=0,"",IF(AND(A7&lt;&gt;"",COUNTIF($A$5:$A$154,A7)&gt;1),"REVISAR",IF(AND(D7="No",I7&lt;&gt;""),"EXCLUIDO",IF(AND(A7&lt;&gt;"",B7&lt;&gt;"",C7&lt;&gt;"",D7="Sí",E7="Sí",OR(F7="Conforme",F7="No conforme"),G7="Sí",H7&lt;&gt;"",I7&lt;&gt;""),"VÁLIDO","INCOMPLETO"))))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2" t="str">
        <x:f>IF(COUNTA(A8:I8)=0,"",IF(AND(A8&lt;&gt;"",COUNTIF($A$5:$A$154,A8)&gt;1),"REVISAR",IF(AND(D8="No",I8&lt;&gt;""),"EXCLUIDO",IF(AND(A8&lt;&gt;"",B8&lt;&gt;"",C8&lt;&gt;"",D8="Sí",E8="Sí",OR(F8="Conforme",F8="No conforme"),G8="Sí",H8&lt;&gt;"",I8&lt;&gt;""),"VÁLIDO","INCOMPLETO"))))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2" t="str">
        <x:f>IF(COUNTA(A9:I9)=0,"",IF(AND(A9&lt;&gt;"",COUNTIF($A$5:$A$154,A9)&gt;1),"REVISAR",IF(AND(D9="No",I9&lt;&gt;""),"EXCLUIDO",IF(AND(A9&lt;&gt;"",B9&lt;&gt;"",C9&lt;&gt;"",D9="Sí",E9="Sí",OR(F9="Conforme",F9="No conforme"),G9="Sí",H9&lt;&gt;"",I9&lt;&gt;""),"VÁLIDO","INCOMPLETO"))))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2" t="str">
        <x:f>IF(COUNTA(A10:I10)=0,"",IF(AND(A10&lt;&gt;"",COUNTIF($A$5:$A$154,A10)&gt;1),"REVISAR",IF(AND(D10="No",I10&lt;&gt;""),"EXCLUIDO",IF(AND(A10&lt;&gt;"",B10&lt;&gt;"",C10&lt;&gt;"",D10="Sí",E10="Sí",OR(F10="Conforme",F10="No conforme"),G10="Sí",H10&lt;&gt;"",I10&lt;&gt;""),"VÁLIDO","INCOMPLETO"))))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2" t="str">
        <x:f>IF(COUNTA(A11:I11)=0,"",IF(AND(A11&lt;&gt;"",COUNTIF($A$5:$A$154,A11)&gt;1),"REVISAR",IF(AND(D11="No",I11&lt;&gt;""),"EXCLUIDO",IF(AND(A11&lt;&gt;"",B11&lt;&gt;"",C11&lt;&gt;"",D11="Sí",E11="Sí",OR(F11="Conforme",F11="No conforme"),G11="Sí",H11&lt;&gt;"",I11&lt;&gt;""),"VÁLIDO","INCOMPLETO"))))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2" t="str">
        <x:f>IF(COUNTA(A12:I12)=0,"",IF(AND(A12&lt;&gt;"",COUNTIF($A$5:$A$154,A12)&gt;1),"REVISAR",IF(AND(D12="No",I12&lt;&gt;""),"EXCLUIDO",IF(AND(A12&lt;&gt;"",B12&lt;&gt;"",C12&lt;&gt;"",D12="Sí",E12="Sí",OR(F12="Conforme",F12="No conforme"),G12="Sí",H12&lt;&gt;"",I12&lt;&gt;""),"VÁLIDO","INCOMPLETO"))))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2" t="str">
        <x:f>IF(COUNTA(A13:I13)=0,"",IF(AND(A13&lt;&gt;"",COUNTIF($A$5:$A$154,A13)&gt;1),"REVISAR",IF(AND(D13="No",I13&lt;&gt;""),"EXCLUIDO",IF(AND(A13&lt;&gt;"",B13&lt;&gt;"",C13&lt;&gt;"",D13="Sí",E13="Sí",OR(F13="Conforme",F13="No conforme"),G13="Sí",H13&lt;&gt;"",I13&lt;&gt;""),"VÁLIDO","INCOMPLETO"))))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2" t="str">
        <x:f>IF(COUNTA(A14:I14)=0,"",IF(AND(A14&lt;&gt;"",COUNTIF($A$5:$A$154,A14)&gt;1),"REVISAR",IF(AND(D14="No",I14&lt;&gt;""),"EXCLUIDO",IF(AND(A14&lt;&gt;"",B14&lt;&gt;"",C14&lt;&gt;"",D14="Sí",E14="Sí",OR(F14="Conforme",F14="No conforme"),G14="Sí",H14&lt;&gt;"",I14&lt;&gt;""),"VÁLIDO","INCOMPLETO"))))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2" t="str">
        <x:f>IF(COUNTA(A15:I15)=0,"",IF(AND(A15&lt;&gt;"",COUNTIF($A$5:$A$154,A15)&gt;1),"REVISAR",IF(AND(D15="No",I15&lt;&gt;""),"EXCLUIDO",IF(AND(A15&lt;&gt;"",B15&lt;&gt;"",C15&lt;&gt;"",D15="Sí",E15="Sí",OR(F15="Conforme",F15="No conforme"),G15="Sí",H15&lt;&gt;"",I15&lt;&gt;""),"VÁLIDO","INCOMPLETO"))))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2" t="str">
        <x:f>IF(COUNTA(A16:I16)=0,"",IF(AND(A16&lt;&gt;"",COUNTIF($A$5:$A$154,A16)&gt;1),"REVISAR",IF(AND(D16="No",I16&lt;&gt;""),"EXCLUIDO",IF(AND(A16&lt;&gt;"",B16&lt;&gt;"",C16&lt;&gt;"",D16="Sí",E16="Sí",OR(F16="Conforme",F16="No conforme"),G16="Sí",H16&lt;&gt;"",I16&lt;&gt;""),"VÁLIDO","INCOMPLETO"))))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2" t="str">
        <x:f>IF(COUNTA(A17:I17)=0,"",IF(AND(A17&lt;&gt;"",COUNTIF($A$5:$A$154,A17)&gt;1),"REVISAR",IF(AND(D17="No",I17&lt;&gt;""),"EXCLUIDO",IF(AND(A17&lt;&gt;"",B17&lt;&gt;"",C17&lt;&gt;"",D17="Sí",E17="Sí",OR(F17="Conforme",F17="No conforme"),G17="Sí",H17&lt;&gt;"",I17&lt;&gt;""),"VÁLIDO","INCOMPLETO"))))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2" t="str">
        <x:f>IF(COUNTA(A18:I18)=0,"",IF(AND(A18&lt;&gt;"",COUNTIF($A$5:$A$154,A18)&gt;1),"REVISAR",IF(AND(D18="No",I18&lt;&gt;""),"EXCLUIDO",IF(AND(A18&lt;&gt;"",B18&lt;&gt;"",C18&lt;&gt;"",D18="Sí",E18="Sí",OR(F18="Conforme",F18="No conforme"),G18="Sí",H18&lt;&gt;"",I18&lt;&gt;""),"VÁLIDO","INCOMPLETO"))))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2" t="str">
        <x:f>IF(COUNTA(A19:I19)=0,"",IF(AND(A19&lt;&gt;"",COUNTIF($A$5:$A$154,A19)&gt;1),"REVISAR",IF(AND(D19="No",I19&lt;&gt;""),"EXCLUIDO",IF(AND(A19&lt;&gt;"",B19&lt;&gt;"",C19&lt;&gt;"",D19="Sí",E19="Sí",OR(F19="Conforme",F19="No conforme"),G19="Sí",H19&lt;&gt;"",I19&lt;&gt;""),"VÁLIDO","INCOMPLETO"))))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2" t="str">
        <x:f>IF(COUNTA(A20:I20)=0,"",IF(AND(A20&lt;&gt;"",COUNTIF($A$5:$A$154,A20)&gt;1),"REVISAR",IF(AND(D20="No",I20&lt;&gt;""),"EXCLUIDO",IF(AND(A20&lt;&gt;"",B20&lt;&gt;"",C20&lt;&gt;"",D20="Sí",E20="Sí",OR(F20="Conforme",F20="No conforme"),G20="Sí",H20&lt;&gt;"",I20&lt;&gt;""),"VÁLIDO","INCOMPLETO"))))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2" t="str">
        <x:f>IF(COUNTA(A21:I21)=0,"",IF(AND(A21&lt;&gt;"",COUNTIF($A$5:$A$154,A21)&gt;1),"REVISAR",IF(AND(D21="No",I21&lt;&gt;""),"EXCLUIDO",IF(AND(A21&lt;&gt;"",B21&lt;&gt;"",C21&lt;&gt;"",D21="Sí",E21="Sí",OR(F21="Conforme",F21="No conforme"),G21="Sí",H21&lt;&gt;"",I21&lt;&gt;""),"VÁLIDO","INCOMPLETO"))))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2" t="str">
        <x:f>IF(COUNTA(A22:I22)=0,"",IF(AND(A22&lt;&gt;"",COUNTIF($A$5:$A$154,A22)&gt;1),"REVISAR",IF(AND(D22="No",I22&lt;&gt;""),"EXCLUIDO",IF(AND(A22&lt;&gt;"",B22&lt;&gt;"",C22&lt;&gt;"",D22="Sí",E22="Sí",OR(F22="Conforme",F22="No conforme"),G22="Sí",H22&lt;&gt;"",I22&lt;&gt;""),"VÁLIDO","INCOMPLETO"))))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2" t="str">
        <x:f>IF(COUNTA(A23:I23)=0,"",IF(AND(A23&lt;&gt;"",COUNTIF($A$5:$A$154,A23)&gt;1),"REVISAR",IF(AND(D23="No",I23&lt;&gt;""),"EXCLUIDO",IF(AND(A23&lt;&gt;"",B23&lt;&gt;"",C23&lt;&gt;"",D23="Sí",E23="Sí",OR(F23="Conforme",F23="No conforme"),G23="Sí",H23&lt;&gt;"",I23&lt;&gt;""),"VÁLIDO","INCOMPLETO"))))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2" t="str">
        <x:f>IF(COUNTA(A24:I24)=0,"",IF(AND(A24&lt;&gt;"",COUNTIF($A$5:$A$154,A24)&gt;1),"REVISAR",IF(AND(D24="No",I24&lt;&gt;""),"EXCLUIDO",IF(AND(A24&lt;&gt;"",B24&lt;&gt;"",C24&lt;&gt;"",D24="Sí",E24="Sí",OR(F24="Conforme",F24="No conforme"),G24="Sí",H24&lt;&gt;"",I24&lt;&gt;""),"VÁLIDO","INCOMPLETO"))))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2" t="str">
        <x:f>IF(COUNTA(A25:I25)=0,"",IF(AND(A25&lt;&gt;"",COUNTIF($A$5:$A$154,A25)&gt;1),"REVISAR",IF(AND(D25="No",I25&lt;&gt;""),"EXCLUIDO",IF(AND(A25&lt;&gt;"",B25&lt;&gt;"",C25&lt;&gt;"",D25="Sí",E25="Sí",OR(F25="Conforme",F25="No conforme"),G25="Sí",H25&lt;&gt;"",I25&lt;&gt;""),"VÁLIDO","INCOMPLETO"))))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2" t="str">
        <x:f>IF(COUNTA(A26:I26)=0,"",IF(AND(A26&lt;&gt;"",COUNTIF($A$5:$A$154,A26)&gt;1),"REVISAR",IF(AND(D26="No",I26&lt;&gt;""),"EXCLUIDO",IF(AND(A26&lt;&gt;"",B26&lt;&gt;"",C26&lt;&gt;"",D26="Sí",E26="Sí",OR(F26="Conforme",F26="No conforme"),G26="Sí",H26&lt;&gt;"",I26&lt;&gt;""),"VÁLIDO","INCOMPLETO"))))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2" t="str">
        <x:f>IF(COUNTA(A27:I27)=0,"",IF(AND(A27&lt;&gt;"",COUNTIF($A$5:$A$154,A27)&gt;1),"REVISAR",IF(AND(D27="No",I27&lt;&gt;""),"EXCLUIDO",IF(AND(A27&lt;&gt;"",B27&lt;&gt;"",C27&lt;&gt;"",D27="Sí",E27="Sí",OR(F27="Conforme",F27="No conforme"),G27="Sí",H27&lt;&gt;"",I27&lt;&gt;""),"VÁLIDO","INCOMPLETO"))))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2" t="str">
        <x:f>IF(COUNTA(A28:I28)=0,"",IF(AND(A28&lt;&gt;"",COUNTIF($A$5:$A$154,A28)&gt;1),"REVISAR",IF(AND(D28="No",I28&lt;&gt;""),"EXCLUIDO",IF(AND(A28&lt;&gt;"",B28&lt;&gt;"",C28&lt;&gt;"",D28="Sí",E28="Sí",OR(F28="Conforme",F28="No conforme"),G28="Sí",H28&lt;&gt;"",I28&lt;&gt;""),"VÁLIDO","INCOMPLETO"))))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2" t="str">
        <x:f>IF(COUNTA(A29:I29)=0,"",IF(AND(A29&lt;&gt;"",COUNTIF($A$5:$A$154,A29)&gt;1),"REVISAR",IF(AND(D29="No",I29&lt;&gt;""),"EXCLUIDO",IF(AND(A29&lt;&gt;"",B29&lt;&gt;"",C29&lt;&gt;"",D29="Sí",E29="Sí",OR(F29="Conforme",F29="No conforme"),G29="Sí",H29&lt;&gt;"",I29&lt;&gt;""),"VÁLIDO","INCOMPLETO"))))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2" t="str">
        <x:f>IF(COUNTA(A30:I30)=0,"",IF(AND(A30&lt;&gt;"",COUNTIF($A$5:$A$154,A30)&gt;1),"REVISAR",IF(AND(D30="No",I30&lt;&gt;""),"EXCLUIDO",IF(AND(A30&lt;&gt;"",B30&lt;&gt;"",C30&lt;&gt;"",D30="Sí",E30="Sí",OR(F30="Conforme",F30="No conforme"),G30="Sí",H30&lt;&gt;"",I30&lt;&gt;""),"VÁLIDO","INCOMPLETO"))))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2" t="str">
        <x:f>IF(COUNTA(A31:I31)=0,"",IF(AND(A31&lt;&gt;"",COUNTIF($A$5:$A$154,A31)&gt;1),"REVISAR",IF(AND(D31="No",I31&lt;&gt;""),"EXCLUIDO",IF(AND(A31&lt;&gt;"",B31&lt;&gt;"",C31&lt;&gt;"",D31="Sí",E31="Sí",OR(F31="Conforme",F31="No conforme"),G31="Sí",H31&lt;&gt;"",I31&lt;&gt;""),"VÁLIDO","INCOMPLETO"))))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2" t="str">
        <x:f>IF(COUNTA(A32:I32)=0,"",IF(AND(A32&lt;&gt;"",COUNTIF($A$5:$A$154,A32)&gt;1),"REVISAR",IF(AND(D32="No",I32&lt;&gt;""),"EXCLUIDO",IF(AND(A32&lt;&gt;"",B32&lt;&gt;"",C32&lt;&gt;"",D32="Sí",E32="Sí",OR(F32="Conforme",F32="No conforme"),G32="Sí",H32&lt;&gt;"",I32&lt;&gt;""),"VÁLIDO","INCOMPLETO"))))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2" t="str">
        <x:f>IF(COUNTA(A33:I33)=0,"",IF(AND(A33&lt;&gt;"",COUNTIF($A$5:$A$154,A33)&gt;1),"REVISAR",IF(AND(D33="No",I33&lt;&gt;""),"EXCLUIDO",IF(AND(A33&lt;&gt;"",B33&lt;&gt;"",C33&lt;&gt;"",D33="Sí",E33="Sí",OR(F33="Conforme",F33="No conforme"),G33="Sí",H33&lt;&gt;"",I33&lt;&gt;""),"VÁLIDO","INCOMPLETO"))))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2" t="str">
        <x:f>IF(COUNTA(A34:I34)=0,"",IF(AND(A34&lt;&gt;"",COUNTIF($A$5:$A$154,A34)&gt;1),"REVISAR",IF(AND(D34="No",I34&lt;&gt;""),"EXCLUIDO",IF(AND(A34&lt;&gt;"",B34&lt;&gt;"",C34&lt;&gt;"",D34="Sí",E34="Sí",OR(F34="Conforme",F34="No conforme"),G34="Sí",H34&lt;&gt;"",I34&lt;&gt;""),"VÁLIDO","INCOMPLETO"))))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2" t="str">
        <x:f>IF(COUNTA(A35:I35)=0,"",IF(AND(A35&lt;&gt;"",COUNTIF($A$5:$A$154,A35)&gt;1),"REVISAR",IF(AND(D35="No",I35&lt;&gt;""),"EXCLUIDO",IF(AND(A35&lt;&gt;"",B35&lt;&gt;"",C35&lt;&gt;"",D35="Sí",E35="Sí",OR(F35="Conforme",F35="No conforme"),G35="Sí",H35&lt;&gt;"",I35&lt;&gt;""),"VÁLIDO","INCOMPLETO"))))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2" t="str">
        <x:f>IF(COUNTA(A36:I36)=0,"",IF(AND(A36&lt;&gt;"",COUNTIF($A$5:$A$154,A36)&gt;1),"REVISAR",IF(AND(D36="No",I36&lt;&gt;""),"EXCLUIDO",IF(AND(A36&lt;&gt;"",B36&lt;&gt;"",C36&lt;&gt;"",D36="Sí",E36="Sí",OR(F36="Conforme",F36="No conforme"),G36="Sí",H36&lt;&gt;"",I36&lt;&gt;""),"VÁLIDO","INCOMPLETO"))))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2" t="str">
        <x:f>IF(COUNTA(A37:I37)=0,"",IF(AND(A37&lt;&gt;"",COUNTIF($A$5:$A$154,A37)&gt;1),"REVISAR",IF(AND(D37="No",I37&lt;&gt;""),"EXCLUIDO",IF(AND(A37&lt;&gt;"",B37&lt;&gt;"",C37&lt;&gt;"",D37="Sí",E37="Sí",OR(F37="Conforme",F37="No conforme"),G37="Sí",H37&lt;&gt;"",I37&lt;&gt;""),"VÁLIDO","INCOMPLETO"))))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2" t="str">
        <x:f>IF(COUNTA(A38:I38)=0,"",IF(AND(A38&lt;&gt;"",COUNTIF($A$5:$A$154,A38)&gt;1),"REVISAR",IF(AND(D38="No",I38&lt;&gt;""),"EXCLUIDO",IF(AND(A38&lt;&gt;"",B38&lt;&gt;"",C38&lt;&gt;"",D38="Sí",E38="Sí",OR(F38="Conforme",F38="No conforme"),G38="Sí",H38&lt;&gt;"",I38&lt;&gt;""),"VÁLIDO","INCOMPLETO"))))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2" t="str">
        <x:f>IF(COUNTA(A39:I39)=0,"",IF(AND(A39&lt;&gt;"",COUNTIF($A$5:$A$154,A39)&gt;1),"REVISAR",IF(AND(D39="No",I39&lt;&gt;""),"EXCLUIDO",IF(AND(A39&lt;&gt;"",B39&lt;&gt;"",C39&lt;&gt;"",D39="Sí",E39="Sí",OR(F39="Conforme",F39="No conforme"),G39="Sí",H39&lt;&gt;"",I39&lt;&gt;""),"VÁLIDO","INCOMPLETO"))))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2" t="str">
        <x:f>IF(COUNTA(A40:I40)=0,"",IF(AND(A40&lt;&gt;"",COUNTIF($A$5:$A$154,A40)&gt;1),"REVISAR",IF(AND(D40="No",I40&lt;&gt;""),"EXCLUIDO",IF(AND(A40&lt;&gt;"",B40&lt;&gt;"",C40&lt;&gt;"",D40="Sí",E40="Sí",OR(F40="Conforme",F40="No conforme"),G40="Sí",H40&lt;&gt;"",I40&lt;&gt;""),"VÁLIDO","INCOMPLETO"))))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2" t="str">
        <x:f>IF(COUNTA(A41:I41)=0,"",IF(AND(A41&lt;&gt;"",COUNTIF($A$5:$A$154,A41)&gt;1),"REVISAR",IF(AND(D41="No",I41&lt;&gt;""),"EXCLUIDO",IF(AND(A41&lt;&gt;"",B41&lt;&gt;"",C41&lt;&gt;"",D41="Sí",E41="Sí",OR(F41="Conforme",F41="No conforme"),G41="Sí",H41&lt;&gt;"",I41&lt;&gt;""),"VÁLIDO","INCOMPLETO"))))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2" t="str">
        <x:f>IF(COUNTA(A42:I42)=0,"",IF(AND(A42&lt;&gt;"",COUNTIF($A$5:$A$154,A42)&gt;1),"REVISAR",IF(AND(D42="No",I42&lt;&gt;""),"EXCLUIDO",IF(AND(A42&lt;&gt;"",B42&lt;&gt;"",C42&lt;&gt;"",D42="Sí",E42="Sí",OR(F42="Conforme",F42="No conforme"),G42="Sí",H42&lt;&gt;"",I42&lt;&gt;""),"VÁLIDO","INCOMPLETO"))))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2" t="str">
        <x:f>IF(COUNTA(A43:I43)=0,"",IF(AND(A43&lt;&gt;"",COUNTIF($A$5:$A$154,A43)&gt;1),"REVISAR",IF(AND(D43="No",I43&lt;&gt;""),"EXCLUIDO",IF(AND(A43&lt;&gt;"",B43&lt;&gt;"",C43&lt;&gt;"",D43="Sí",E43="Sí",OR(F43="Conforme",F43="No conforme"),G43="Sí",H43&lt;&gt;"",I43&lt;&gt;""),"VÁLIDO","INCOMPLETO"))))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2" t="str">
        <x:f>IF(COUNTA(A44:I44)=0,"",IF(AND(A44&lt;&gt;"",COUNTIF($A$5:$A$154,A44)&gt;1),"REVISAR",IF(AND(D44="No",I44&lt;&gt;""),"EXCLUIDO",IF(AND(A44&lt;&gt;"",B44&lt;&gt;"",C44&lt;&gt;"",D44="Sí",E44="Sí",OR(F44="Conforme",F44="No conforme"),G44="Sí",H44&lt;&gt;"",I44&lt;&gt;""),"VÁLIDO","INCOMPLETO"))))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2" t="str">
        <x:f>IF(COUNTA(A45:I45)=0,"",IF(AND(A45&lt;&gt;"",COUNTIF($A$5:$A$154,A45)&gt;1),"REVISAR",IF(AND(D45="No",I45&lt;&gt;""),"EXCLUIDO",IF(AND(A45&lt;&gt;"",B45&lt;&gt;"",C45&lt;&gt;"",D45="Sí",E45="Sí",OR(F45="Conforme",F45="No conforme"),G45="Sí",H45&lt;&gt;"",I45&lt;&gt;""),"VÁLIDO","INCOMPLETO"))))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2" t="str">
        <x:f>IF(COUNTA(A46:I46)=0,"",IF(AND(A46&lt;&gt;"",COUNTIF($A$5:$A$154,A46)&gt;1),"REVISAR",IF(AND(D46="No",I46&lt;&gt;""),"EXCLUIDO",IF(AND(A46&lt;&gt;"",B46&lt;&gt;"",C46&lt;&gt;"",D46="Sí",E46="Sí",OR(F46="Conforme",F46="No conforme"),G46="Sí",H46&lt;&gt;"",I46&lt;&gt;""),"VÁLIDO","INCOMPLETO"))))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2" t="str">
        <x:f>IF(COUNTA(A47:I47)=0,"",IF(AND(A47&lt;&gt;"",COUNTIF($A$5:$A$154,A47)&gt;1),"REVISAR",IF(AND(D47="No",I47&lt;&gt;""),"EXCLUIDO",IF(AND(A47&lt;&gt;"",B47&lt;&gt;"",C47&lt;&gt;"",D47="Sí",E47="Sí",OR(F47="Conforme",F47="No conforme"),G47="Sí",H47&lt;&gt;"",I47&lt;&gt;""),"VÁLIDO","INCOMPLETO"))))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2" t="str">
        <x:f>IF(COUNTA(A48:I48)=0,"",IF(AND(A48&lt;&gt;"",COUNTIF($A$5:$A$154,A48)&gt;1),"REVISAR",IF(AND(D48="No",I48&lt;&gt;""),"EXCLUIDO",IF(AND(A48&lt;&gt;"",B48&lt;&gt;"",C48&lt;&gt;"",D48="Sí",E48="Sí",OR(F48="Conforme",F48="No conforme"),G48="Sí",H48&lt;&gt;"",I48&lt;&gt;""),"VÁLIDO","INCOMPLETO"))))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2" t="str">
        <x:f>IF(COUNTA(A49:I49)=0,"",IF(AND(A49&lt;&gt;"",COUNTIF($A$5:$A$154,A49)&gt;1),"REVISAR",IF(AND(D49="No",I49&lt;&gt;""),"EXCLUIDO",IF(AND(A49&lt;&gt;"",B49&lt;&gt;"",C49&lt;&gt;"",D49="Sí",E49="Sí",OR(F49="Conforme",F49="No conforme"),G49="Sí",H49&lt;&gt;"",I49&lt;&gt;""),"VÁLIDO","INCOMPLETO"))))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2" t="str">
        <x:f>IF(COUNTA(A50:I50)=0,"",IF(AND(A50&lt;&gt;"",COUNTIF($A$5:$A$154,A50)&gt;1),"REVISAR",IF(AND(D50="No",I50&lt;&gt;""),"EXCLUIDO",IF(AND(A50&lt;&gt;"",B50&lt;&gt;"",C50&lt;&gt;"",D50="Sí",E50="Sí",OR(F50="Conforme",F50="No conforme"),G50="Sí",H50&lt;&gt;"",I50&lt;&gt;""),"VÁLIDO","INCOMPLETO"))))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2" t="str">
        <x:f>IF(COUNTA(A51:I51)=0,"",IF(AND(A51&lt;&gt;"",COUNTIF($A$5:$A$154,A51)&gt;1),"REVISAR",IF(AND(D51="No",I51&lt;&gt;""),"EXCLUIDO",IF(AND(A51&lt;&gt;"",B51&lt;&gt;"",C51&lt;&gt;"",D51="Sí",E51="Sí",OR(F51="Conforme",F51="No conforme"),G51="Sí",H51&lt;&gt;"",I51&lt;&gt;""),"VÁLIDO","INCOMPLETO"))))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2" t="str">
        <x:f>IF(COUNTA(A52:I52)=0,"",IF(AND(A52&lt;&gt;"",COUNTIF($A$5:$A$154,A52)&gt;1),"REVISAR",IF(AND(D52="No",I52&lt;&gt;""),"EXCLUIDO",IF(AND(A52&lt;&gt;"",B52&lt;&gt;"",C52&lt;&gt;"",D52="Sí",E52="Sí",OR(F52="Conforme",F52="No conforme"),G52="Sí",H52&lt;&gt;"",I52&lt;&gt;""),"VÁLIDO","INCOMPLETO"))))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2" t="str">
        <x:f>IF(COUNTA(A53:I53)=0,"",IF(AND(A53&lt;&gt;"",COUNTIF($A$5:$A$154,A53)&gt;1),"REVISAR",IF(AND(D53="No",I53&lt;&gt;""),"EXCLUIDO",IF(AND(A53&lt;&gt;"",B53&lt;&gt;"",C53&lt;&gt;"",D53="Sí",E53="Sí",OR(F53="Conforme",F53="No conforme"),G53="Sí",H53&lt;&gt;"",I53&lt;&gt;""),"VÁLIDO","INCOMPLETO"))))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2" t="str">
        <x:f>IF(COUNTA(A54:I54)=0,"",IF(AND(A54&lt;&gt;"",COUNTIF($A$5:$A$154,A54)&gt;1),"REVISAR",IF(AND(D54="No",I54&lt;&gt;""),"EXCLUIDO",IF(AND(A54&lt;&gt;"",B54&lt;&gt;"",C54&lt;&gt;"",D54="Sí",E54="Sí",OR(F54="Conforme",F54="No conforme"),G54="Sí",H54&lt;&gt;"",I54&lt;&gt;""),"VÁLIDO","INCOMPLETO"))))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2" t="str">
        <x:f>IF(COUNTA(A55:I55)=0,"",IF(AND(A55&lt;&gt;"",COUNTIF($A$5:$A$154,A55)&gt;1),"REVISAR",IF(AND(D55="No",I55&lt;&gt;""),"EXCLUIDO",IF(AND(A55&lt;&gt;"",B55&lt;&gt;"",C55&lt;&gt;"",D55="Sí",E55="Sí",OR(F55="Conforme",F55="No conforme"),G55="Sí",H55&lt;&gt;"",I55&lt;&gt;""),"VÁLIDO","INCOMPLETO"))))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2" t="str">
        <x:f>IF(COUNTA(A56:I56)=0,"",IF(AND(A56&lt;&gt;"",COUNTIF($A$5:$A$154,A56)&gt;1),"REVISAR",IF(AND(D56="No",I56&lt;&gt;""),"EXCLUIDO",IF(AND(A56&lt;&gt;"",B56&lt;&gt;"",C56&lt;&gt;"",D56="Sí",E56="Sí",OR(F56="Conforme",F56="No conforme"),G56="Sí",H56&lt;&gt;"",I56&lt;&gt;""),"VÁLIDO","INCOMPLETO"))))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2" t="str">
        <x:f>IF(COUNTA(A57:I57)=0,"",IF(AND(A57&lt;&gt;"",COUNTIF($A$5:$A$154,A57)&gt;1),"REVISAR",IF(AND(D57="No",I57&lt;&gt;""),"EXCLUIDO",IF(AND(A57&lt;&gt;"",B57&lt;&gt;"",C57&lt;&gt;"",D57="Sí",E57="Sí",OR(F57="Conforme",F57="No conforme"),G57="Sí",H57&lt;&gt;"",I57&lt;&gt;""),"VÁLIDO","INCOMPLETO"))))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2" t="str">
        <x:f>IF(COUNTA(A58:I58)=0,"",IF(AND(A58&lt;&gt;"",COUNTIF($A$5:$A$154,A58)&gt;1),"REVISAR",IF(AND(D58="No",I58&lt;&gt;""),"EXCLUIDO",IF(AND(A58&lt;&gt;"",B58&lt;&gt;"",C58&lt;&gt;"",D58="Sí",E58="Sí",OR(F58="Conforme",F58="No conforme"),G58="Sí",H58&lt;&gt;"",I58&lt;&gt;""),"VÁLIDO","INCOMPLETO"))))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2" t="str">
        <x:f>IF(COUNTA(A59:I59)=0,"",IF(AND(A59&lt;&gt;"",COUNTIF($A$5:$A$154,A59)&gt;1),"REVISAR",IF(AND(D59="No",I59&lt;&gt;""),"EXCLUIDO",IF(AND(A59&lt;&gt;"",B59&lt;&gt;"",C59&lt;&gt;"",D59="Sí",E59="Sí",OR(F59="Conforme",F59="No conforme"),G59="Sí",H59&lt;&gt;"",I59&lt;&gt;""),"VÁLIDO","INCOMPLETO"))))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2" t="str">
        <x:f>IF(COUNTA(A60:I60)=0,"",IF(AND(A60&lt;&gt;"",COUNTIF($A$5:$A$154,A60)&gt;1),"REVISAR",IF(AND(D60="No",I60&lt;&gt;""),"EXCLUIDO",IF(AND(A60&lt;&gt;"",B60&lt;&gt;"",C60&lt;&gt;"",D60="Sí",E60="Sí",OR(F60="Conforme",F60="No conforme"),G60="Sí",H60&lt;&gt;"",I60&lt;&gt;""),"VÁLIDO","INCOMPLETO"))))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2" t="str">
        <x:f>IF(COUNTA(A61:I61)=0,"",IF(AND(A61&lt;&gt;"",COUNTIF($A$5:$A$154,A61)&gt;1),"REVISAR",IF(AND(D61="No",I61&lt;&gt;""),"EXCLUIDO",IF(AND(A61&lt;&gt;"",B61&lt;&gt;"",C61&lt;&gt;"",D61="Sí",E61="Sí",OR(F61="Conforme",F61="No conforme"),G61="Sí",H61&lt;&gt;"",I61&lt;&gt;""),"VÁLIDO","INCOMPLETO"))))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2" t="str">
        <x:f>IF(COUNTA(A62:I62)=0,"",IF(AND(A62&lt;&gt;"",COUNTIF($A$5:$A$154,A62)&gt;1),"REVISAR",IF(AND(D62="No",I62&lt;&gt;""),"EXCLUIDO",IF(AND(A62&lt;&gt;"",B62&lt;&gt;"",C62&lt;&gt;"",D62="Sí",E62="Sí",OR(F62="Conforme",F62="No conforme"),G62="Sí",H62&lt;&gt;"",I62&lt;&gt;""),"VÁLIDO","INCOMPLETO"))))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2" t="str">
        <x:f>IF(COUNTA(A63:I63)=0,"",IF(AND(A63&lt;&gt;"",COUNTIF($A$5:$A$154,A63)&gt;1),"REVISAR",IF(AND(D63="No",I63&lt;&gt;""),"EXCLUIDO",IF(AND(A63&lt;&gt;"",B63&lt;&gt;"",C63&lt;&gt;"",D63="Sí",E63="Sí",OR(F63="Conforme",F63="No conforme"),G63="Sí",H63&lt;&gt;"",I63&lt;&gt;""),"VÁLIDO","INCOMPLETO"))))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2" t="str">
        <x:f>IF(COUNTA(A64:I64)=0,"",IF(AND(A64&lt;&gt;"",COUNTIF($A$5:$A$154,A64)&gt;1),"REVISAR",IF(AND(D64="No",I64&lt;&gt;""),"EXCLUIDO",IF(AND(A64&lt;&gt;"",B64&lt;&gt;"",C64&lt;&gt;"",D64="Sí",E64="Sí",OR(F64="Conforme",F64="No conforme"),G64="Sí",H64&lt;&gt;"",I64&lt;&gt;""),"VÁLIDO","INCOMPLETO"))))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2" t="str">
        <x:f>IF(COUNTA(A65:I65)=0,"",IF(AND(A65&lt;&gt;"",COUNTIF($A$5:$A$154,A65)&gt;1),"REVISAR",IF(AND(D65="No",I65&lt;&gt;""),"EXCLUIDO",IF(AND(A65&lt;&gt;"",B65&lt;&gt;"",C65&lt;&gt;"",D65="Sí",E65="Sí",OR(F65="Conforme",F65="No conforme"),G65="Sí",H65&lt;&gt;"",I65&lt;&gt;""),"VÁLIDO","INCOMPLETO"))))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2" t="str">
        <x:f>IF(COUNTA(A66:I66)=0,"",IF(AND(A66&lt;&gt;"",COUNTIF($A$5:$A$154,A66)&gt;1),"REVISAR",IF(AND(D66="No",I66&lt;&gt;""),"EXCLUIDO",IF(AND(A66&lt;&gt;"",B66&lt;&gt;"",C66&lt;&gt;"",D66="Sí",E66="Sí",OR(F66="Conforme",F66="No conforme"),G66="Sí",H66&lt;&gt;"",I66&lt;&gt;""),"VÁLIDO","INCOMPLETO"))))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2" t="str">
        <x:f>IF(COUNTA(A67:I67)=0,"",IF(AND(A67&lt;&gt;"",COUNTIF($A$5:$A$154,A67)&gt;1),"REVISAR",IF(AND(D67="No",I67&lt;&gt;""),"EXCLUIDO",IF(AND(A67&lt;&gt;"",B67&lt;&gt;"",C67&lt;&gt;"",D67="Sí",E67="Sí",OR(F67="Conforme",F67="No conforme"),G67="Sí",H67&lt;&gt;"",I67&lt;&gt;""),"VÁLIDO","INCOMPLETO"))))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2" t="str">
        <x:f>IF(COUNTA(A68:I68)=0,"",IF(AND(A68&lt;&gt;"",COUNTIF($A$5:$A$154,A68)&gt;1),"REVISAR",IF(AND(D68="No",I68&lt;&gt;""),"EXCLUIDO",IF(AND(A68&lt;&gt;"",B68&lt;&gt;"",C68&lt;&gt;"",D68="Sí",E68="Sí",OR(F68="Conforme",F68="No conforme"),G68="Sí",H68&lt;&gt;"",I68&lt;&gt;""),"VÁLIDO","INCOMPLETO"))))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2" t="str">
        <x:f>IF(COUNTA(A69:I69)=0,"",IF(AND(A69&lt;&gt;"",COUNTIF($A$5:$A$154,A69)&gt;1),"REVISAR",IF(AND(D69="No",I69&lt;&gt;""),"EXCLUIDO",IF(AND(A69&lt;&gt;"",B69&lt;&gt;"",C69&lt;&gt;"",D69="Sí",E69="Sí",OR(F69="Conforme",F69="No conforme"),G69="Sí",H69&lt;&gt;"",I69&lt;&gt;""),"VÁLIDO","INCOMPLETO"))))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2" t="str">
        <x:f>IF(COUNTA(A70:I70)=0,"",IF(AND(A70&lt;&gt;"",COUNTIF($A$5:$A$154,A70)&gt;1),"REVISAR",IF(AND(D70="No",I70&lt;&gt;""),"EXCLUIDO",IF(AND(A70&lt;&gt;"",B70&lt;&gt;"",C70&lt;&gt;"",D70="Sí",E70="Sí",OR(F70="Conforme",F70="No conforme"),G70="Sí",H70&lt;&gt;"",I70&lt;&gt;""),"VÁLIDO","INCOMPLETO"))))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2" t="str">
        <x:f>IF(COUNTA(A71:I71)=0,"",IF(AND(A71&lt;&gt;"",COUNTIF($A$5:$A$154,A71)&gt;1),"REVISAR",IF(AND(D71="No",I71&lt;&gt;""),"EXCLUIDO",IF(AND(A71&lt;&gt;"",B71&lt;&gt;"",C71&lt;&gt;"",D71="Sí",E71="Sí",OR(F71="Conforme",F71="No conforme"),G71="Sí",H71&lt;&gt;"",I71&lt;&gt;""),"VÁLIDO","INCOMPLETO"))))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2" t="str">
        <x:f>IF(COUNTA(A72:I72)=0,"",IF(AND(A72&lt;&gt;"",COUNTIF($A$5:$A$154,A72)&gt;1),"REVISAR",IF(AND(D72="No",I72&lt;&gt;""),"EXCLUIDO",IF(AND(A72&lt;&gt;"",B72&lt;&gt;"",C72&lt;&gt;"",D72="Sí",E72="Sí",OR(F72="Conforme",F72="No conforme"),G72="Sí",H72&lt;&gt;"",I72&lt;&gt;""),"VÁLIDO","INCOMPLETO"))))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2" t="str">
        <x:f>IF(COUNTA(A73:I73)=0,"",IF(AND(A73&lt;&gt;"",COUNTIF($A$5:$A$154,A73)&gt;1),"REVISAR",IF(AND(D73="No",I73&lt;&gt;""),"EXCLUIDO",IF(AND(A73&lt;&gt;"",B73&lt;&gt;"",C73&lt;&gt;"",D73="Sí",E73="Sí",OR(F73="Conforme",F73="No conforme"),G73="Sí",H73&lt;&gt;"",I73&lt;&gt;""),"VÁLIDO","INCOMPLETO"))))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2" t="str">
        <x:f>IF(COUNTA(A74:I74)=0,"",IF(AND(A74&lt;&gt;"",COUNTIF($A$5:$A$154,A74)&gt;1),"REVISAR",IF(AND(D74="No",I74&lt;&gt;""),"EXCLUIDO",IF(AND(A74&lt;&gt;"",B74&lt;&gt;"",C74&lt;&gt;"",D74="Sí",E74="Sí",OR(F74="Conforme",F74="No conforme"),G74="Sí",H74&lt;&gt;"",I74&lt;&gt;""),"VÁLIDO","INCOMPLETO"))))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2" t="str">
        <x:f>IF(COUNTA(A75:I75)=0,"",IF(AND(A75&lt;&gt;"",COUNTIF($A$5:$A$154,A75)&gt;1),"REVISAR",IF(AND(D75="No",I75&lt;&gt;""),"EXCLUIDO",IF(AND(A75&lt;&gt;"",B75&lt;&gt;"",C75&lt;&gt;"",D75="Sí",E75="Sí",OR(F75="Conforme",F75="No conforme"),G75="Sí",H75&lt;&gt;"",I75&lt;&gt;""),"VÁLIDO","INCOMPLETO"))))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2" t="str">
        <x:f>IF(COUNTA(A76:I76)=0,"",IF(AND(A76&lt;&gt;"",COUNTIF($A$5:$A$154,A76)&gt;1),"REVISAR",IF(AND(D76="No",I76&lt;&gt;""),"EXCLUIDO",IF(AND(A76&lt;&gt;"",B76&lt;&gt;"",C76&lt;&gt;"",D76="Sí",E76="Sí",OR(F76="Conforme",F76="No conforme"),G76="Sí",H76&lt;&gt;"",I76&lt;&gt;""),"VÁLIDO","INCOMPLETO"))))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2" t="str">
        <x:f>IF(COUNTA(A77:I77)=0,"",IF(AND(A77&lt;&gt;"",COUNTIF($A$5:$A$154,A77)&gt;1),"REVISAR",IF(AND(D77="No",I77&lt;&gt;""),"EXCLUIDO",IF(AND(A77&lt;&gt;"",B77&lt;&gt;"",C77&lt;&gt;"",D77="Sí",E77="Sí",OR(F77="Conforme",F77="No conforme"),G77="Sí",H77&lt;&gt;"",I77&lt;&gt;""),"VÁLIDO","INCOMPLETO"))))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2" t="str">
        <x:f>IF(COUNTA(A78:I78)=0,"",IF(AND(A78&lt;&gt;"",COUNTIF($A$5:$A$154,A78)&gt;1),"REVISAR",IF(AND(D78="No",I78&lt;&gt;""),"EXCLUIDO",IF(AND(A78&lt;&gt;"",B78&lt;&gt;"",C78&lt;&gt;"",D78="Sí",E78="Sí",OR(F78="Conforme",F78="No conforme"),G78="Sí",H78&lt;&gt;"",I78&lt;&gt;""),"VÁLIDO","INCOMPLETO"))))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2" t="str">
        <x:f>IF(COUNTA(A79:I79)=0,"",IF(AND(A79&lt;&gt;"",COUNTIF($A$5:$A$154,A79)&gt;1),"REVISAR",IF(AND(D79="No",I79&lt;&gt;""),"EXCLUIDO",IF(AND(A79&lt;&gt;"",B79&lt;&gt;"",C79&lt;&gt;"",D79="Sí",E79="Sí",OR(F79="Conforme",F79="No conforme"),G79="Sí",H79&lt;&gt;"",I79&lt;&gt;""),"VÁLIDO","INCOMPLETO"))))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2" t="str">
        <x:f>IF(COUNTA(A80:I80)=0,"",IF(AND(A80&lt;&gt;"",COUNTIF($A$5:$A$154,A80)&gt;1),"REVISAR",IF(AND(D80="No",I80&lt;&gt;""),"EXCLUIDO",IF(AND(A80&lt;&gt;"",B80&lt;&gt;"",C80&lt;&gt;"",D80="Sí",E80="Sí",OR(F80="Conforme",F80="No conforme"),G80="Sí",H80&lt;&gt;"",I80&lt;&gt;""),"VÁLIDO","INCOMPLETO"))))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2" t="str">
        <x:f>IF(COUNTA(A81:I81)=0,"",IF(AND(A81&lt;&gt;"",COUNTIF($A$5:$A$154,A81)&gt;1),"REVISAR",IF(AND(D81="No",I81&lt;&gt;""),"EXCLUIDO",IF(AND(A81&lt;&gt;"",B81&lt;&gt;"",C81&lt;&gt;"",D81="Sí",E81="Sí",OR(F81="Conforme",F81="No conforme"),G81="Sí",H81&lt;&gt;"",I81&lt;&gt;""),"VÁLIDO","INCOMPLETO"))))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2" t="str">
        <x:f>IF(COUNTA(A82:I82)=0,"",IF(AND(A82&lt;&gt;"",COUNTIF($A$5:$A$154,A82)&gt;1),"REVISAR",IF(AND(D82="No",I82&lt;&gt;""),"EXCLUIDO",IF(AND(A82&lt;&gt;"",B82&lt;&gt;"",C82&lt;&gt;"",D82="Sí",E82="Sí",OR(F82="Conforme",F82="No conforme"),G82="Sí",H82&lt;&gt;"",I82&lt;&gt;""),"VÁLIDO","INCOMPLETO"))))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2" t="str">
        <x:f>IF(COUNTA(A83:I83)=0,"",IF(AND(A83&lt;&gt;"",COUNTIF($A$5:$A$154,A83)&gt;1),"REVISAR",IF(AND(D83="No",I83&lt;&gt;""),"EXCLUIDO",IF(AND(A83&lt;&gt;"",B83&lt;&gt;"",C83&lt;&gt;"",D83="Sí",E83="Sí",OR(F83="Conforme",F83="No conforme"),G83="Sí",H83&lt;&gt;"",I83&lt;&gt;""),"VÁLIDO","INCOMPLETO"))))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2" t="str">
        <x:f>IF(COUNTA(A84:I84)=0,"",IF(AND(A84&lt;&gt;"",COUNTIF($A$5:$A$154,A84)&gt;1),"REVISAR",IF(AND(D84="No",I84&lt;&gt;""),"EXCLUIDO",IF(AND(A84&lt;&gt;"",B84&lt;&gt;"",C84&lt;&gt;"",D84="Sí",E84="Sí",OR(F84="Conforme",F84="No conforme"),G84="Sí",H84&lt;&gt;"",I84&lt;&gt;""),"VÁLIDO","INCOMPLETO"))))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2" t="str">
        <x:f>IF(COUNTA(A85:I85)=0,"",IF(AND(A85&lt;&gt;"",COUNTIF($A$5:$A$154,A85)&gt;1),"REVISAR",IF(AND(D85="No",I85&lt;&gt;""),"EXCLUIDO",IF(AND(A85&lt;&gt;"",B85&lt;&gt;"",C85&lt;&gt;"",D85="Sí",E85="Sí",OR(F85="Conforme",F85="No conforme"),G85="Sí",H85&lt;&gt;"",I85&lt;&gt;""),"VÁLIDO","INCOMPLETO"))))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2" t="str">
        <x:f>IF(COUNTA(A86:I86)=0,"",IF(AND(A86&lt;&gt;"",COUNTIF($A$5:$A$154,A86)&gt;1),"REVISAR",IF(AND(D86="No",I86&lt;&gt;""),"EXCLUIDO",IF(AND(A86&lt;&gt;"",B86&lt;&gt;"",C86&lt;&gt;"",D86="Sí",E86="Sí",OR(F86="Conforme",F86="No conforme"),G86="Sí",H86&lt;&gt;"",I86&lt;&gt;""),"VÁLIDO","INCOMPLETO"))))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2" t="str">
        <x:f>IF(COUNTA(A87:I87)=0,"",IF(AND(A87&lt;&gt;"",COUNTIF($A$5:$A$154,A87)&gt;1),"REVISAR",IF(AND(D87="No",I87&lt;&gt;""),"EXCLUIDO",IF(AND(A87&lt;&gt;"",B87&lt;&gt;"",C87&lt;&gt;"",D87="Sí",E87="Sí",OR(F87="Conforme",F87="No conforme"),G87="Sí",H87&lt;&gt;"",I87&lt;&gt;""),"VÁLIDO","INCOMPLETO"))))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2" t="str">
        <x:f>IF(COUNTA(A88:I88)=0,"",IF(AND(A88&lt;&gt;"",COUNTIF($A$5:$A$154,A88)&gt;1),"REVISAR",IF(AND(D88="No",I88&lt;&gt;""),"EXCLUIDO",IF(AND(A88&lt;&gt;"",B88&lt;&gt;"",C88&lt;&gt;"",D88="Sí",E88="Sí",OR(F88="Conforme",F88="No conforme"),G88="Sí",H88&lt;&gt;"",I88&lt;&gt;""),"VÁLIDO","INCOMPLETO"))))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2" t="str">
        <x:f>IF(COUNTA(A89:I89)=0,"",IF(AND(A89&lt;&gt;"",COUNTIF($A$5:$A$154,A89)&gt;1),"REVISAR",IF(AND(D89="No",I89&lt;&gt;""),"EXCLUIDO",IF(AND(A89&lt;&gt;"",B89&lt;&gt;"",C89&lt;&gt;"",D89="Sí",E89="Sí",OR(F89="Conforme",F89="No conforme"),G89="Sí",H89&lt;&gt;"",I89&lt;&gt;""),"VÁLIDO","INCOMPLETO"))))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2" t="str">
        <x:f>IF(COUNTA(A90:I90)=0,"",IF(AND(A90&lt;&gt;"",COUNTIF($A$5:$A$154,A90)&gt;1),"REVISAR",IF(AND(D90="No",I90&lt;&gt;""),"EXCLUIDO",IF(AND(A90&lt;&gt;"",B90&lt;&gt;"",C90&lt;&gt;"",D90="Sí",E90="Sí",OR(F90="Conforme",F90="No conforme"),G90="Sí",H90&lt;&gt;"",I90&lt;&gt;""),"VÁLIDO","INCOMPLETO"))))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2" t="str">
        <x:f>IF(COUNTA(A91:I91)=0,"",IF(AND(A91&lt;&gt;"",COUNTIF($A$5:$A$154,A91)&gt;1),"REVISAR",IF(AND(D91="No",I91&lt;&gt;""),"EXCLUIDO",IF(AND(A91&lt;&gt;"",B91&lt;&gt;"",C91&lt;&gt;"",D91="Sí",E91="Sí",OR(F91="Conforme",F91="No conforme"),G91="Sí",H91&lt;&gt;"",I91&lt;&gt;""),"VÁLIDO","INCOMPLETO"))))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2" t="str">
        <x:f>IF(COUNTA(A92:I92)=0,"",IF(AND(A92&lt;&gt;"",COUNTIF($A$5:$A$154,A92)&gt;1),"REVISAR",IF(AND(D92="No",I92&lt;&gt;""),"EXCLUIDO",IF(AND(A92&lt;&gt;"",B92&lt;&gt;"",C92&lt;&gt;"",D92="Sí",E92="Sí",OR(F92="Conforme",F92="No conforme"),G92="Sí",H92&lt;&gt;"",I92&lt;&gt;""),"VÁLIDO","INCOMPLETO"))))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2" t="str">
        <x:f>IF(COUNTA(A93:I93)=0,"",IF(AND(A93&lt;&gt;"",COUNTIF($A$5:$A$154,A93)&gt;1),"REVISAR",IF(AND(D93="No",I93&lt;&gt;""),"EXCLUIDO",IF(AND(A93&lt;&gt;"",B93&lt;&gt;"",C93&lt;&gt;"",D93="Sí",E93="Sí",OR(F93="Conforme",F93="No conforme"),G93="Sí",H93&lt;&gt;"",I93&lt;&gt;""),"VÁLIDO","INCOMPLETO"))))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2" t="str">
        <x:f>IF(COUNTA(A94:I94)=0,"",IF(AND(A94&lt;&gt;"",COUNTIF($A$5:$A$154,A94)&gt;1),"REVISAR",IF(AND(D94="No",I94&lt;&gt;""),"EXCLUIDO",IF(AND(A94&lt;&gt;"",B94&lt;&gt;"",C94&lt;&gt;"",D94="Sí",E94="Sí",OR(F94="Conforme",F94="No conforme"),G94="Sí",H94&lt;&gt;"",I94&lt;&gt;""),"VÁLIDO","INCOMPLETO"))))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2" t="str">
        <x:f>IF(COUNTA(A95:I95)=0,"",IF(AND(A95&lt;&gt;"",COUNTIF($A$5:$A$154,A95)&gt;1),"REVISAR",IF(AND(D95="No",I95&lt;&gt;""),"EXCLUIDO",IF(AND(A95&lt;&gt;"",B95&lt;&gt;"",C95&lt;&gt;"",D95="Sí",E95="Sí",OR(F95="Conforme",F95="No conforme"),G95="Sí",H95&lt;&gt;"",I95&lt;&gt;""),"VÁLIDO","INCOMPLETO"))))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2" t="str">
        <x:f>IF(COUNTA(A96:I96)=0,"",IF(AND(A96&lt;&gt;"",COUNTIF($A$5:$A$154,A96)&gt;1),"REVISAR",IF(AND(D96="No",I96&lt;&gt;""),"EXCLUIDO",IF(AND(A96&lt;&gt;"",B96&lt;&gt;"",C96&lt;&gt;"",D96="Sí",E96="Sí",OR(F96="Conforme",F96="No conforme"),G96="Sí",H96&lt;&gt;"",I96&lt;&gt;""),"VÁLIDO","INCOMPLETO"))))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2" t="str">
        <x:f>IF(COUNTA(A97:I97)=0,"",IF(AND(A97&lt;&gt;"",COUNTIF($A$5:$A$154,A97)&gt;1),"REVISAR",IF(AND(D97="No",I97&lt;&gt;""),"EXCLUIDO",IF(AND(A97&lt;&gt;"",B97&lt;&gt;"",C97&lt;&gt;"",D97="Sí",E97="Sí",OR(F97="Conforme",F97="No conforme"),G97="Sí",H97&lt;&gt;"",I97&lt;&gt;""),"VÁLIDO","INCOMPLETO"))))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2" t="str">
        <x:f>IF(COUNTA(A98:I98)=0,"",IF(AND(A98&lt;&gt;"",COUNTIF($A$5:$A$154,A98)&gt;1),"REVISAR",IF(AND(D98="No",I98&lt;&gt;""),"EXCLUIDO",IF(AND(A98&lt;&gt;"",B98&lt;&gt;"",C98&lt;&gt;"",D98="Sí",E98="Sí",OR(F98="Conforme",F98="No conforme"),G98="Sí",H98&lt;&gt;"",I98&lt;&gt;""),"VÁLIDO","INCOMPLETO"))))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2" t="str">
        <x:f>IF(COUNTA(A99:I99)=0,"",IF(AND(A99&lt;&gt;"",COUNTIF($A$5:$A$154,A99)&gt;1),"REVISAR",IF(AND(D99="No",I99&lt;&gt;""),"EXCLUIDO",IF(AND(A99&lt;&gt;"",B99&lt;&gt;"",C99&lt;&gt;"",D99="Sí",E99="Sí",OR(F99="Conforme",F99="No conforme"),G99="Sí",H99&lt;&gt;"",I99&lt;&gt;""),"VÁLIDO","INCOMPLETO"))))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2" t="str">
        <x:f>IF(COUNTA(A100:I100)=0,"",IF(AND(A100&lt;&gt;"",COUNTIF($A$5:$A$154,A100)&gt;1),"REVISAR",IF(AND(D100="No",I100&lt;&gt;""),"EXCLUIDO",IF(AND(A100&lt;&gt;"",B100&lt;&gt;"",C100&lt;&gt;"",D100="Sí",E100="Sí",OR(F100="Conforme",F100="No conforme"),G100="Sí",H100&lt;&gt;"",I100&lt;&gt;""),"VÁLIDO","INCOMPLETO"))))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2" t="str">
        <x:f>IF(COUNTA(A101:I101)=0,"",IF(AND(A101&lt;&gt;"",COUNTIF($A$5:$A$154,A101)&gt;1),"REVISAR",IF(AND(D101="No",I101&lt;&gt;""),"EXCLUIDO",IF(AND(A101&lt;&gt;"",B101&lt;&gt;"",C101&lt;&gt;"",D101="Sí",E101="Sí",OR(F101="Conforme",F101="No conforme"),G101="Sí",H101&lt;&gt;"",I101&lt;&gt;""),"VÁLIDO","INCOMPLETO"))))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2" t="str">
        <x:f>IF(COUNTA(A102:I102)=0,"",IF(AND(A102&lt;&gt;"",COUNTIF($A$5:$A$154,A102)&gt;1),"REVISAR",IF(AND(D102="No",I102&lt;&gt;""),"EXCLUIDO",IF(AND(A102&lt;&gt;"",B102&lt;&gt;"",C102&lt;&gt;"",D102="Sí",E102="Sí",OR(F102="Conforme",F102="No conforme"),G102="Sí",H102&lt;&gt;"",I102&lt;&gt;""),"VÁLIDO","INCOMPLETO"))))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2" t="str">
        <x:f>IF(COUNTA(A103:I103)=0,"",IF(AND(A103&lt;&gt;"",COUNTIF($A$5:$A$154,A103)&gt;1),"REVISAR",IF(AND(D103="No",I103&lt;&gt;""),"EXCLUIDO",IF(AND(A103&lt;&gt;"",B103&lt;&gt;"",C103&lt;&gt;"",D103="Sí",E103="Sí",OR(F103="Conforme",F103="No conforme"),G103="Sí",H103&lt;&gt;"",I103&lt;&gt;""),"VÁLIDO","INCOMPLETO"))))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2" t="str">
        <x:f>IF(COUNTA(A104:I104)=0,"",IF(AND(A104&lt;&gt;"",COUNTIF($A$5:$A$154,A104)&gt;1),"REVISAR",IF(AND(D104="No",I104&lt;&gt;""),"EXCLUIDO",IF(AND(A104&lt;&gt;"",B104&lt;&gt;"",C104&lt;&gt;"",D104="Sí",E104="Sí",OR(F104="Conforme",F104="No conforme"),G104="Sí",H104&lt;&gt;"",I104&lt;&gt;""),"VÁLIDO","INCOMPLETO"))))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2" t="str">
        <x:f>IF(COUNTA(A105:I105)=0,"",IF(AND(A105&lt;&gt;"",COUNTIF($A$5:$A$154,A105)&gt;1),"REVISAR",IF(AND(D105="No",I105&lt;&gt;""),"EXCLUIDO",IF(AND(A105&lt;&gt;"",B105&lt;&gt;"",C105&lt;&gt;"",D105="Sí",E105="Sí",OR(F105="Conforme",F105="No conforme"),G105="Sí",H105&lt;&gt;"",I105&lt;&gt;""),"VÁLIDO","INCOMPLETO"))))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2" t="str">
        <x:f>IF(COUNTA(A106:I106)=0,"",IF(AND(A106&lt;&gt;"",COUNTIF($A$5:$A$154,A106)&gt;1),"REVISAR",IF(AND(D106="No",I106&lt;&gt;""),"EXCLUIDO",IF(AND(A106&lt;&gt;"",B106&lt;&gt;"",C106&lt;&gt;"",D106="Sí",E106="Sí",OR(F106="Conforme",F106="No conforme"),G106="Sí",H106&lt;&gt;"",I106&lt;&gt;""),"VÁLIDO","INCOMPLETO"))))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2" t="str">
        <x:f>IF(COUNTA(A107:I107)=0,"",IF(AND(A107&lt;&gt;"",COUNTIF($A$5:$A$154,A107)&gt;1),"REVISAR",IF(AND(D107="No",I107&lt;&gt;""),"EXCLUIDO",IF(AND(A107&lt;&gt;"",B107&lt;&gt;"",C107&lt;&gt;"",D107="Sí",E107="Sí",OR(F107="Conforme",F107="No conforme"),G107="Sí",H107&lt;&gt;"",I107&lt;&gt;""),"VÁLIDO","INCOMPLETO"))))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2" t="str">
        <x:f>IF(COUNTA(A108:I108)=0,"",IF(AND(A108&lt;&gt;"",COUNTIF($A$5:$A$154,A108)&gt;1),"REVISAR",IF(AND(D108="No",I108&lt;&gt;""),"EXCLUIDO",IF(AND(A108&lt;&gt;"",B108&lt;&gt;"",C108&lt;&gt;"",D108="Sí",E108="Sí",OR(F108="Conforme",F108="No conforme"),G108="Sí",H108&lt;&gt;"",I108&lt;&gt;""),"VÁLIDO","INCOMPLETO"))))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2" t="str">
        <x:f>IF(COUNTA(A109:I109)=0,"",IF(AND(A109&lt;&gt;"",COUNTIF($A$5:$A$154,A109)&gt;1),"REVISAR",IF(AND(D109="No",I109&lt;&gt;""),"EXCLUIDO",IF(AND(A109&lt;&gt;"",B109&lt;&gt;"",C109&lt;&gt;"",D109="Sí",E109="Sí",OR(F109="Conforme",F109="No conforme"),G109="Sí",H109&lt;&gt;"",I109&lt;&gt;""),"VÁLIDO","INCOMPLETO"))))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2" t="str">
        <x:f>IF(COUNTA(A110:I110)=0,"",IF(AND(A110&lt;&gt;"",COUNTIF($A$5:$A$154,A110)&gt;1),"REVISAR",IF(AND(D110="No",I110&lt;&gt;""),"EXCLUIDO",IF(AND(A110&lt;&gt;"",B110&lt;&gt;"",C110&lt;&gt;"",D110="Sí",E110="Sí",OR(F110="Conforme",F110="No conforme"),G110="Sí",H110&lt;&gt;"",I110&lt;&gt;""),"VÁLIDO","INCOMPLETO"))))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2" t="str">
        <x:f>IF(COUNTA(A111:I111)=0,"",IF(AND(A111&lt;&gt;"",COUNTIF($A$5:$A$154,A111)&gt;1),"REVISAR",IF(AND(D111="No",I111&lt;&gt;""),"EXCLUIDO",IF(AND(A111&lt;&gt;"",B111&lt;&gt;"",C111&lt;&gt;"",D111="Sí",E111="Sí",OR(F111="Conforme",F111="No conforme"),G111="Sí",H111&lt;&gt;"",I111&lt;&gt;""),"VÁLIDO","INCOMPLETO"))))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2" t="str">
        <x:f>IF(COUNTA(A112:I112)=0,"",IF(AND(A112&lt;&gt;"",COUNTIF($A$5:$A$154,A112)&gt;1),"REVISAR",IF(AND(D112="No",I112&lt;&gt;""),"EXCLUIDO",IF(AND(A112&lt;&gt;"",B112&lt;&gt;"",C112&lt;&gt;"",D112="Sí",E112="Sí",OR(F112="Conforme",F112="No conforme"),G112="Sí",H112&lt;&gt;"",I112&lt;&gt;""),"VÁLIDO","INCOMPLETO"))))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2" t="str">
        <x:f>IF(COUNTA(A113:I113)=0,"",IF(AND(A113&lt;&gt;"",COUNTIF($A$5:$A$154,A113)&gt;1),"REVISAR",IF(AND(D113="No",I113&lt;&gt;""),"EXCLUIDO",IF(AND(A113&lt;&gt;"",B113&lt;&gt;"",C113&lt;&gt;"",D113="Sí",E113="Sí",OR(F113="Conforme",F113="No conforme"),G113="Sí",H113&lt;&gt;"",I113&lt;&gt;""),"VÁLIDO","INCOMPLETO"))))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2" t="str">
        <x:f>IF(COUNTA(A114:I114)=0,"",IF(AND(A114&lt;&gt;"",COUNTIF($A$5:$A$154,A114)&gt;1),"REVISAR",IF(AND(D114="No",I114&lt;&gt;""),"EXCLUIDO",IF(AND(A114&lt;&gt;"",B114&lt;&gt;"",C114&lt;&gt;"",D114="Sí",E114="Sí",OR(F114="Conforme",F114="No conforme"),G114="Sí",H114&lt;&gt;"",I114&lt;&gt;""),"VÁLIDO","INCOMPLETO"))))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2" t="str">
        <x:f>IF(COUNTA(A115:I115)=0,"",IF(AND(A115&lt;&gt;"",COUNTIF($A$5:$A$154,A115)&gt;1),"REVISAR",IF(AND(D115="No",I115&lt;&gt;""),"EXCLUIDO",IF(AND(A115&lt;&gt;"",B115&lt;&gt;"",C115&lt;&gt;"",D115="Sí",E115="Sí",OR(F115="Conforme",F115="No conforme"),G115="Sí",H115&lt;&gt;"",I115&lt;&gt;""),"VÁLIDO","INCOMPLETO"))))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2" t="str">
        <x:f>IF(COUNTA(A116:I116)=0,"",IF(AND(A116&lt;&gt;"",COUNTIF($A$5:$A$154,A116)&gt;1),"REVISAR",IF(AND(D116="No",I116&lt;&gt;""),"EXCLUIDO",IF(AND(A116&lt;&gt;"",B116&lt;&gt;"",C116&lt;&gt;"",D116="Sí",E116="Sí",OR(F116="Conforme",F116="No conforme"),G116="Sí",H116&lt;&gt;"",I116&lt;&gt;""),"VÁLIDO","INCOMPLETO"))))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2" t="str">
        <x:f>IF(COUNTA(A117:I117)=0,"",IF(AND(A117&lt;&gt;"",COUNTIF($A$5:$A$154,A117)&gt;1),"REVISAR",IF(AND(D117="No",I117&lt;&gt;""),"EXCLUIDO",IF(AND(A117&lt;&gt;"",B117&lt;&gt;"",C117&lt;&gt;"",D117="Sí",E117="Sí",OR(F117="Conforme",F117="No conforme"),G117="Sí",H117&lt;&gt;"",I117&lt;&gt;""),"VÁLIDO","INCOMPLETO"))))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2" t="str">
        <x:f>IF(COUNTA(A118:I118)=0,"",IF(AND(A118&lt;&gt;"",COUNTIF($A$5:$A$154,A118)&gt;1),"REVISAR",IF(AND(D118="No",I118&lt;&gt;""),"EXCLUIDO",IF(AND(A118&lt;&gt;"",B118&lt;&gt;"",C118&lt;&gt;"",D118="Sí",E118="Sí",OR(F118="Conforme",F118="No conforme"),G118="Sí",H118&lt;&gt;"",I118&lt;&gt;""),"VÁLIDO","INCOMPLETO"))))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2" t="str">
        <x:f>IF(COUNTA(A119:I119)=0,"",IF(AND(A119&lt;&gt;"",COUNTIF($A$5:$A$154,A119)&gt;1),"REVISAR",IF(AND(D119="No",I119&lt;&gt;""),"EXCLUIDO",IF(AND(A119&lt;&gt;"",B119&lt;&gt;"",C119&lt;&gt;"",D119="Sí",E119="Sí",OR(F119="Conforme",F119="No conforme"),G119="Sí",H119&lt;&gt;"",I119&lt;&gt;""),"VÁLIDO","INCOMPLETO"))))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2" t="str">
        <x:f>IF(COUNTA(A120:I120)=0,"",IF(AND(A120&lt;&gt;"",COUNTIF($A$5:$A$154,A120)&gt;1),"REVISAR",IF(AND(D120="No",I120&lt;&gt;""),"EXCLUIDO",IF(AND(A120&lt;&gt;"",B120&lt;&gt;"",C120&lt;&gt;"",D120="Sí",E120="Sí",OR(F120="Conforme",F120="No conforme"),G120="Sí",H120&lt;&gt;"",I120&lt;&gt;""),"VÁLIDO","INCOMPLETO"))))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2" t="str">
        <x:f>IF(COUNTA(A121:I121)=0,"",IF(AND(A121&lt;&gt;"",COUNTIF($A$5:$A$154,A121)&gt;1),"REVISAR",IF(AND(D121="No",I121&lt;&gt;""),"EXCLUIDO",IF(AND(A121&lt;&gt;"",B121&lt;&gt;"",C121&lt;&gt;"",D121="Sí",E121="Sí",OR(F121="Conforme",F121="No conforme"),G121="Sí",H121&lt;&gt;"",I121&lt;&gt;""),"VÁLIDO","INCOMPLETO"))))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2" t="str">
        <x:f>IF(COUNTA(A122:I122)=0,"",IF(AND(A122&lt;&gt;"",COUNTIF($A$5:$A$154,A122)&gt;1),"REVISAR",IF(AND(D122="No",I122&lt;&gt;""),"EXCLUIDO",IF(AND(A122&lt;&gt;"",B122&lt;&gt;"",C122&lt;&gt;"",D122="Sí",E122="Sí",OR(F122="Conforme",F122="No conforme"),G122="Sí",H122&lt;&gt;"",I122&lt;&gt;""),"VÁLIDO","INCOMPLETO"))))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2" t="str">
        <x:f>IF(COUNTA(A123:I123)=0,"",IF(AND(A123&lt;&gt;"",COUNTIF($A$5:$A$154,A123)&gt;1),"REVISAR",IF(AND(D123="No",I123&lt;&gt;""),"EXCLUIDO",IF(AND(A123&lt;&gt;"",B123&lt;&gt;"",C123&lt;&gt;"",D123="Sí",E123="Sí",OR(F123="Conforme",F123="No conforme"),G123="Sí",H123&lt;&gt;"",I123&lt;&gt;""),"VÁLIDO","INCOMPLETO"))))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2" t="str">
        <x:f>IF(COUNTA(A124:I124)=0,"",IF(AND(A124&lt;&gt;"",COUNTIF($A$5:$A$154,A124)&gt;1),"REVISAR",IF(AND(D124="No",I124&lt;&gt;""),"EXCLUIDO",IF(AND(A124&lt;&gt;"",B124&lt;&gt;"",C124&lt;&gt;"",D124="Sí",E124="Sí",OR(F124="Conforme",F124="No conforme"),G124="Sí",H124&lt;&gt;"",I124&lt;&gt;""),"VÁLIDO","INCOMPLETO"))))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2" t="str">
        <x:f>IF(COUNTA(A125:I125)=0,"",IF(AND(A125&lt;&gt;"",COUNTIF($A$5:$A$154,A125)&gt;1),"REVISAR",IF(AND(D125="No",I125&lt;&gt;""),"EXCLUIDO",IF(AND(A125&lt;&gt;"",B125&lt;&gt;"",C125&lt;&gt;"",D125="Sí",E125="Sí",OR(F125="Conforme",F125="No conforme"),G125="Sí",H125&lt;&gt;"",I125&lt;&gt;""),"VÁLIDO","INCOMPLETO"))))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2" t="str">
        <x:f>IF(COUNTA(A126:I126)=0,"",IF(AND(A126&lt;&gt;"",COUNTIF($A$5:$A$154,A126)&gt;1),"REVISAR",IF(AND(D126="No",I126&lt;&gt;""),"EXCLUIDO",IF(AND(A126&lt;&gt;"",B126&lt;&gt;"",C126&lt;&gt;"",D126="Sí",E126="Sí",OR(F126="Conforme",F126="No conforme"),G126="Sí",H126&lt;&gt;"",I126&lt;&gt;""),"VÁLIDO","INCOMPLETO"))))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2" t="str">
        <x:f>IF(COUNTA(A127:I127)=0,"",IF(AND(A127&lt;&gt;"",COUNTIF($A$5:$A$154,A127)&gt;1),"REVISAR",IF(AND(D127="No",I127&lt;&gt;""),"EXCLUIDO",IF(AND(A127&lt;&gt;"",B127&lt;&gt;"",C127&lt;&gt;"",D127="Sí",E127="Sí",OR(F127="Conforme",F127="No conforme"),G127="Sí",H127&lt;&gt;"",I127&lt;&gt;""),"VÁLIDO","INCOMPLETO"))))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2" t="str">
        <x:f>IF(COUNTA(A128:I128)=0,"",IF(AND(A128&lt;&gt;"",COUNTIF($A$5:$A$154,A128)&gt;1),"REVISAR",IF(AND(D128="No",I128&lt;&gt;""),"EXCLUIDO",IF(AND(A128&lt;&gt;"",B128&lt;&gt;"",C128&lt;&gt;"",D128="Sí",E128="Sí",OR(F128="Conforme",F128="No conforme"),G128="Sí",H128&lt;&gt;"",I128&lt;&gt;""),"VÁLIDO","INCOMPLETO"))))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2" t="str">
        <x:f>IF(COUNTA(A129:I129)=0,"",IF(AND(A129&lt;&gt;"",COUNTIF($A$5:$A$154,A129)&gt;1),"REVISAR",IF(AND(D129="No",I129&lt;&gt;""),"EXCLUIDO",IF(AND(A129&lt;&gt;"",B129&lt;&gt;"",C129&lt;&gt;"",D129="Sí",E129="Sí",OR(F129="Conforme",F129="No conforme"),G129="Sí",H129&lt;&gt;"",I129&lt;&gt;""),"VÁLIDO","INCOMPLETO"))))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2" t="str">
        <x:f>IF(COUNTA(A130:I130)=0,"",IF(AND(A130&lt;&gt;"",COUNTIF($A$5:$A$154,A130)&gt;1),"REVISAR",IF(AND(D130="No",I130&lt;&gt;""),"EXCLUIDO",IF(AND(A130&lt;&gt;"",B130&lt;&gt;"",C130&lt;&gt;"",D130="Sí",E130="Sí",OR(F130="Conforme",F130="No conforme"),G130="Sí",H130&lt;&gt;"",I130&lt;&gt;""),"VÁLIDO","INCOMPLETO"))))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2" t="str">
        <x:f>IF(COUNTA(A131:I131)=0,"",IF(AND(A131&lt;&gt;"",COUNTIF($A$5:$A$154,A131)&gt;1),"REVISAR",IF(AND(D131="No",I131&lt;&gt;""),"EXCLUIDO",IF(AND(A131&lt;&gt;"",B131&lt;&gt;"",C131&lt;&gt;"",D131="Sí",E131="Sí",OR(F131="Conforme",F131="No conforme"),G131="Sí",H131&lt;&gt;"",I131&lt;&gt;""),"VÁLIDO","INCOMPLETO"))))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2" t="str">
        <x:f>IF(COUNTA(A132:I132)=0,"",IF(AND(A132&lt;&gt;"",COUNTIF($A$5:$A$154,A132)&gt;1),"REVISAR",IF(AND(D132="No",I132&lt;&gt;""),"EXCLUIDO",IF(AND(A132&lt;&gt;"",B132&lt;&gt;"",C132&lt;&gt;"",D132="Sí",E132="Sí",OR(F132="Conforme",F132="No conforme"),G132="Sí",H132&lt;&gt;"",I132&lt;&gt;""),"VÁLIDO","INCOMPLETO"))))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2" t="str">
        <x:f>IF(COUNTA(A133:I133)=0,"",IF(AND(A133&lt;&gt;"",COUNTIF($A$5:$A$154,A133)&gt;1),"REVISAR",IF(AND(D133="No",I133&lt;&gt;""),"EXCLUIDO",IF(AND(A133&lt;&gt;"",B133&lt;&gt;"",C133&lt;&gt;"",D133="Sí",E133="Sí",OR(F133="Conforme",F133="No conforme"),G133="Sí",H133&lt;&gt;"",I133&lt;&gt;""),"VÁLIDO","INCOMPLETO"))))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2" t="str">
        <x:f>IF(COUNTA(A134:I134)=0,"",IF(AND(A134&lt;&gt;"",COUNTIF($A$5:$A$154,A134)&gt;1),"REVISAR",IF(AND(D134="No",I134&lt;&gt;""),"EXCLUIDO",IF(AND(A134&lt;&gt;"",B134&lt;&gt;"",C134&lt;&gt;"",D134="Sí",E134="Sí",OR(F134="Conforme",F134="No conforme"),G134="Sí",H134&lt;&gt;"",I134&lt;&gt;""),"VÁLIDO","INCOMPLETO"))))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2" t="str">
        <x:f>IF(COUNTA(A135:I135)=0,"",IF(AND(A135&lt;&gt;"",COUNTIF($A$5:$A$154,A135)&gt;1),"REVISAR",IF(AND(D135="No",I135&lt;&gt;""),"EXCLUIDO",IF(AND(A135&lt;&gt;"",B135&lt;&gt;"",C135&lt;&gt;"",D135="Sí",E135="Sí",OR(F135="Conforme",F135="No conforme"),G135="Sí",H135&lt;&gt;"",I135&lt;&gt;""),"VÁLIDO","INCOMPLETO"))))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2" t="str">
        <x:f>IF(COUNTA(A136:I136)=0,"",IF(AND(A136&lt;&gt;"",COUNTIF($A$5:$A$154,A136)&gt;1),"REVISAR",IF(AND(D136="No",I136&lt;&gt;""),"EXCLUIDO",IF(AND(A136&lt;&gt;"",B136&lt;&gt;"",C136&lt;&gt;"",D136="Sí",E136="Sí",OR(F136="Conforme",F136="No conforme"),G136="Sí",H136&lt;&gt;"",I136&lt;&gt;""),"VÁLIDO","INCOMPLETO"))))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2" t="str">
        <x:f>IF(COUNTA(A137:I137)=0,"",IF(AND(A137&lt;&gt;"",COUNTIF($A$5:$A$154,A137)&gt;1),"REVISAR",IF(AND(D137="No",I137&lt;&gt;""),"EXCLUIDO",IF(AND(A137&lt;&gt;"",B137&lt;&gt;"",C137&lt;&gt;"",D137="Sí",E137="Sí",OR(F137="Conforme",F137="No conforme"),G137="Sí",H137&lt;&gt;"",I137&lt;&gt;""),"VÁLIDO","INCOMPLETO"))))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2" t="str">
        <x:f>IF(COUNTA(A138:I138)=0,"",IF(AND(A138&lt;&gt;"",COUNTIF($A$5:$A$154,A138)&gt;1),"REVISAR",IF(AND(D138="No",I138&lt;&gt;""),"EXCLUIDO",IF(AND(A138&lt;&gt;"",B138&lt;&gt;"",C138&lt;&gt;"",D138="Sí",E138="Sí",OR(F138="Conforme",F138="No conforme"),G138="Sí",H138&lt;&gt;"",I138&lt;&gt;""),"VÁLIDO","INCOMPLETO"))))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2" t="str">
        <x:f>IF(COUNTA(A139:I139)=0,"",IF(AND(A139&lt;&gt;"",COUNTIF($A$5:$A$154,A139)&gt;1),"REVISAR",IF(AND(D139="No",I139&lt;&gt;""),"EXCLUIDO",IF(AND(A139&lt;&gt;"",B139&lt;&gt;"",C139&lt;&gt;"",D139="Sí",E139="Sí",OR(F139="Conforme",F139="No conforme"),G139="Sí",H139&lt;&gt;"",I139&lt;&gt;""),"VÁLIDO","INCOMPLETO"))))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2" t="str">
        <x:f>IF(COUNTA(A140:I140)=0,"",IF(AND(A140&lt;&gt;"",COUNTIF($A$5:$A$154,A140)&gt;1),"REVISAR",IF(AND(D140="No",I140&lt;&gt;""),"EXCLUIDO",IF(AND(A140&lt;&gt;"",B140&lt;&gt;"",C140&lt;&gt;"",D140="Sí",E140="Sí",OR(F140="Conforme",F140="No conforme"),G140="Sí",H140&lt;&gt;"",I140&lt;&gt;""),"VÁLIDO","INCOMPLETO"))))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2" t="str">
        <x:f>IF(COUNTA(A141:I141)=0,"",IF(AND(A141&lt;&gt;"",COUNTIF($A$5:$A$154,A141)&gt;1),"REVISAR",IF(AND(D141="No",I141&lt;&gt;""),"EXCLUIDO",IF(AND(A141&lt;&gt;"",B141&lt;&gt;"",C141&lt;&gt;"",D141="Sí",E141="Sí",OR(F141="Conforme",F141="No conforme"),G141="Sí",H141&lt;&gt;"",I141&lt;&gt;""),"VÁLIDO","INCOMPLETO"))))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2" t="str">
        <x:f>IF(COUNTA(A142:I142)=0,"",IF(AND(A142&lt;&gt;"",COUNTIF($A$5:$A$154,A142)&gt;1),"REVISAR",IF(AND(D142="No",I142&lt;&gt;""),"EXCLUIDO",IF(AND(A142&lt;&gt;"",B142&lt;&gt;"",C142&lt;&gt;"",D142="Sí",E142="Sí",OR(F142="Conforme",F142="No conforme"),G142="Sí",H142&lt;&gt;"",I142&lt;&gt;""),"VÁLIDO","INCOMPLETO"))))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2" t="str">
        <x:f>IF(COUNTA(A143:I143)=0,"",IF(AND(A143&lt;&gt;"",COUNTIF($A$5:$A$154,A143)&gt;1),"REVISAR",IF(AND(D143="No",I143&lt;&gt;""),"EXCLUIDO",IF(AND(A143&lt;&gt;"",B143&lt;&gt;"",C143&lt;&gt;"",D143="Sí",E143="Sí",OR(F143="Conforme",F143="No conforme"),G143="Sí",H143&lt;&gt;"",I143&lt;&gt;""),"VÁLIDO","INCOMPLETO"))))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2" t="str">
        <x:f>IF(COUNTA(A144:I144)=0,"",IF(AND(A144&lt;&gt;"",COUNTIF($A$5:$A$154,A144)&gt;1),"REVISAR",IF(AND(D144="No",I144&lt;&gt;""),"EXCLUIDO",IF(AND(A144&lt;&gt;"",B144&lt;&gt;"",C144&lt;&gt;"",D144="Sí",E144="Sí",OR(F144="Conforme",F144="No conforme"),G144="Sí",H144&lt;&gt;"",I144&lt;&gt;""),"VÁLIDO","INCOMPLETO"))))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2" t="str">
        <x:f>IF(COUNTA(A145:I145)=0,"",IF(AND(A145&lt;&gt;"",COUNTIF($A$5:$A$154,A145)&gt;1),"REVISAR",IF(AND(D145="No",I145&lt;&gt;""),"EXCLUIDO",IF(AND(A145&lt;&gt;"",B145&lt;&gt;"",C145&lt;&gt;"",D145="Sí",E145="Sí",OR(F145="Conforme",F145="No conforme"),G145="Sí",H145&lt;&gt;"",I145&lt;&gt;""),"VÁLIDO","INCOMPLETO"))))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2" t="str">
        <x:f>IF(COUNTA(A146:I146)=0,"",IF(AND(A146&lt;&gt;"",COUNTIF($A$5:$A$154,A146)&gt;1),"REVISAR",IF(AND(D146="No",I146&lt;&gt;""),"EXCLUIDO",IF(AND(A146&lt;&gt;"",B146&lt;&gt;"",C146&lt;&gt;"",D146="Sí",E146="Sí",OR(F146="Conforme",F146="No conforme"),G146="Sí",H146&lt;&gt;"",I146&lt;&gt;""),"VÁLIDO","INCOMPLETO"))))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2" t="str">
        <x:f>IF(COUNTA(A147:I147)=0,"",IF(AND(A147&lt;&gt;"",COUNTIF($A$5:$A$154,A147)&gt;1),"REVISAR",IF(AND(D147="No",I147&lt;&gt;""),"EXCLUIDO",IF(AND(A147&lt;&gt;"",B147&lt;&gt;"",C147&lt;&gt;"",D147="Sí",E147="Sí",OR(F147="Conforme",F147="No conforme"),G147="Sí",H147&lt;&gt;"",I147&lt;&gt;""),"VÁLIDO","INCOMPLETO"))))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2" t="str">
        <x:f>IF(COUNTA(A148:I148)=0,"",IF(AND(A148&lt;&gt;"",COUNTIF($A$5:$A$154,A148)&gt;1),"REVISAR",IF(AND(D148="No",I148&lt;&gt;""),"EXCLUIDO",IF(AND(A148&lt;&gt;"",B148&lt;&gt;"",C148&lt;&gt;"",D148="Sí",E148="Sí",OR(F148="Conforme",F148="No conforme"),G148="Sí",H148&lt;&gt;"",I148&lt;&gt;""),"VÁLIDO","INCOMPLETO"))))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2" t="str">
        <x:f>IF(COUNTA(A149:I149)=0,"",IF(AND(A149&lt;&gt;"",COUNTIF($A$5:$A$154,A149)&gt;1),"REVISAR",IF(AND(D149="No",I149&lt;&gt;""),"EXCLUIDO",IF(AND(A149&lt;&gt;"",B149&lt;&gt;"",C149&lt;&gt;"",D149="Sí",E149="Sí",OR(F149="Conforme",F149="No conforme"),G149="Sí",H149&lt;&gt;"",I149&lt;&gt;""),"VÁLIDO","INCOMPLETO"))))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2" t="str">
        <x:f>IF(COUNTA(A150:I150)=0,"",IF(AND(A150&lt;&gt;"",COUNTIF($A$5:$A$154,A150)&gt;1),"REVISAR",IF(AND(D150="No",I150&lt;&gt;""),"EXCLUIDO",IF(AND(A150&lt;&gt;"",B150&lt;&gt;"",C150&lt;&gt;"",D150="Sí",E150="Sí",OR(F150="Conforme",F150="No conforme"),G150="Sí",H150&lt;&gt;"",I150&lt;&gt;""),"VÁLIDO","INCOMPLETO"))))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2" t="str">
        <x:f>IF(COUNTA(A151:I151)=0,"",IF(AND(A151&lt;&gt;"",COUNTIF($A$5:$A$154,A151)&gt;1),"REVISAR",IF(AND(D151="No",I151&lt;&gt;""),"EXCLUIDO",IF(AND(A151&lt;&gt;"",B151&lt;&gt;"",C151&lt;&gt;"",D151="Sí",E151="Sí",OR(F151="Conforme",F151="No conforme"),G151="Sí",H151&lt;&gt;"",I151&lt;&gt;""),"VÁLIDO","INCOMPLETO"))))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2" t="str">
        <x:f>IF(COUNTA(A152:I152)=0,"",IF(AND(A152&lt;&gt;"",COUNTIF($A$5:$A$154,A152)&gt;1),"REVISAR",IF(AND(D152="No",I152&lt;&gt;""),"EXCLUIDO",IF(AND(A152&lt;&gt;"",B152&lt;&gt;"",C152&lt;&gt;"",D152="Sí",E152="Sí",OR(F152="Conforme",F152="No conforme"),G152="Sí",H152&lt;&gt;"",I152&lt;&gt;""),"VÁLIDO","INCOMPLETO"))))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2" t="str">
        <x:f>IF(COUNTA(A153:I153)=0,"",IF(AND(A153&lt;&gt;"",COUNTIF($A$5:$A$154,A153)&gt;1),"REVISAR",IF(AND(D153="No",I153&lt;&gt;""),"EXCLUIDO",IF(AND(A153&lt;&gt;"",B153&lt;&gt;"",C153&lt;&gt;"",D153="Sí",E153="Sí",OR(F153="Conforme",F153="No conforme"),G153="Sí",H153&lt;&gt;"",I153&lt;&gt;""),"VÁLIDO","INCOMPLETO"))))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2" t="str">
        <x:f>IF(COUNTA(A154:I154)=0,"",IF(AND(A154&lt;&gt;"",COUNTIF($A$5:$A$154,A154)&gt;1),"REVISAR",IF(AND(D154="No",I154&lt;&gt;""),"EXCLUIDO",IF(AND(A154&lt;&gt;"",B154&lt;&gt;"",C154&lt;&gt;"",D154="Sí",E154="Sí",OR(F154="Conforme",F154="No conforme"),G154="Sí",H154&lt;&gt;"",I154&lt;&gt;""),"VÁLIDO","INCOMPLETO"))))</x:f>
      </x:c>
    </x:row>
  </x:sheetData>
  <x:mergeCells>
    <x:mergeCell ref="A1:J1"/>
    <x:mergeCell ref="A2:J2"/>
  </x:mergeCells>
  <x:conditionalFormatting sqref="J5:J154">
    <x:cfRule type="expression" dxfId="4" priority="1">
      <x:formula>J5="REVISAR"</x:formula>
    </x:cfRule>
  </x:conditionalFormatting>
  <x:dataValidations count="4">
    <x:dataValidation type="list" sqref="D5:E154">
      <x:formula1>"Sí,No,Pendiente"</x:formula1>
    </x:dataValidation>
    <x:dataValidation type="list" sqref="F5:F154">
      <x:formula1>"Conforme,No conforme,Pendiente"</x:formula1>
    </x:dataValidation>
    <x:dataValidation type="list" sqref="G5:G154">
      <x:formula1>"Sí,No,Pendiente"</x:formula1>
    </x:dataValidation>
    <x:dataValidation type="list" sqref="B5:B154">
      <x:formula1>"FOR-001,FOR-002,FOR-003,FOR-004,FOR-005,FOR-006,FOR-007,FOR-008,FOR-009,FOR-010"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e65e3705c14b7d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5" hidden="0" customWidth="1"/>
    <x:col min="6" max="6" width="25" hidden="0" customWidth="1"/>
    <x:col min="7" max="7" width="58" hidden="0" customWidth="1"/>
    <x:col min="8" max="8" width="38" hidden="0" customWidth="1"/>
    <x:col min="9" max="9" width="47" hidden="0" customWidth="1"/>
    <x:col min="10" max="10" width="22" hidden="0" customWidth="1"/>
  </x:cols>
  <x:sheetData>
    <x:row r="1" ht="35" customHeight="1">
      <x:c r="A1" s="3" t="str">
        <x:v>REGISTRO REPRODUCIBLE DE DUPLICADOS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7" t="str">
        <x:v>Una fila por consulta/conjunto; cero únicamente si se inspeccionó realmente.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1" customHeight="1">
      <x:c r="A4" s="13" t="str">
        <x:v>ID conjunto</x:v>
      </x:c>
      <x:c r="B4" s="13" t="str">
        <x:v>Entidad ENT</x:v>
      </x:c>
      <x:c r="C4" s="13" t="str">
        <x:v>Clave aprobada</x:v>
      </x:c>
      <x:c r="D4" s="13" t="str">
        <x:v>Regla aprobada</x:v>
      </x:c>
      <x:c r="E4" s="13" t="str">
        <x:v>Registros examinados</x:v>
      </x:c>
      <x:c r="F4" s="13" t="str">
        <x:v>Duplicados confirmados</x:v>
      </x:c>
      <x:c r="G4" s="13" t="str">
        <x:v>SQL / método</x:v>
      </x:c>
      <x:c r="H4" s="13" t="str">
        <x:v>Conjunto/version</x:v>
      </x:c>
      <x:c r="I4" s="13" t="str">
        <x:v>Evidencia</x:v>
      </x:c>
      <x:c r="J4" s="13" t="str">
        <x:v>Estado control</x:v>
      </x:c>
    </x:row>
    <x:row r="5" ht="22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2" t="str">
        <x:f>IF(COUNTA(A5:I5)=0,"",IF(OR(AND(ISNUMBER(E5),E5&lt;0),AND(ISNUMBER(F5),F5&lt;0),AND(ISNUMBER(E5),ISNUMBER(F5),F5&gt;E5)),"REVISAR",IF(AND(A5&lt;&gt;"",COUNTIF($A$5:$A$124,A5)&gt;1),"REVISAR",IF(AND(A5&lt;&gt;"",B5&lt;&gt;"",C5="Sí",D5="Sí",ISNUMBER(E5),E5&gt;0,ISNUMBER(F5),F5&gt;=0,F5&lt;=E5,G5&lt;&gt;"",H5&lt;&gt;"",I5&lt;&gt;""),"VÁLIDO","INCOMPLETO"))))</x:f>
      </x:c>
    </x:row>
    <x:row r="6" ht="22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2" t="str">
        <x:f>IF(COUNTA(A6:I6)=0,"",IF(OR(AND(ISNUMBER(E6),E6&lt;0),AND(ISNUMBER(F6),F6&lt;0),AND(ISNUMBER(E6),ISNUMBER(F6),F6&gt;E6)),"REVISAR",IF(AND(A6&lt;&gt;"",COUNTIF($A$5:$A$124,A6)&gt;1),"REVISAR",IF(AND(A6&lt;&gt;"",B6&lt;&gt;"",C6="Sí",D6="Sí",ISNUMBER(E6),E6&gt;0,ISNUMBER(F6),F6&gt;=0,F6&lt;=E6,G6&lt;&gt;"",H6&lt;&gt;"",I6&lt;&gt;""),"VÁLIDO","INCOMPLETO"))))</x:f>
      </x:c>
    </x:row>
    <x:row r="7" ht="22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2" t="str">
        <x:f>IF(COUNTA(A7:I7)=0,"",IF(OR(AND(ISNUMBER(E7),E7&lt;0),AND(ISNUMBER(F7),F7&lt;0),AND(ISNUMBER(E7),ISNUMBER(F7),F7&gt;E7)),"REVISAR",IF(AND(A7&lt;&gt;"",COUNTIF($A$5:$A$124,A7)&gt;1),"REVISAR",IF(AND(A7&lt;&gt;"",B7&lt;&gt;"",C7="Sí",D7="Sí",ISNUMBER(E7),E7&gt;0,ISNUMBER(F7),F7&gt;=0,F7&lt;=E7,G7&lt;&gt;"",H7&lt;&gt;"",I7&lt;&gt;""),"VÁLIDO","INCOMPLETO"))))</x:f>
      </x:c>
    </x:row>
    <x:row r="8" ht="22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2" t="str">
        <x:f>IF(COUNTA(A8:I8)=0,"",IF(OR(AND(ISNUMBER(E8),E8&lt;0),AND(ISNUMBER(F8),F8&lt;0),AND(ISNUMBER(E8),ISNUMBER(F8),F8&gt;E8)),"REVISAR",IF(AND(A8&lt;&gt;"",COUNTIF($A$5:$A$124,A8)&gt;1),"REVISAR",IF(AND(A8&lt;&gt;"",B8&lt;&gt;"",C8="Sí",D8="Sí",ISNUMBER(E8),E8&gt;0,ISNUMBER(F8),F8&gt;=0,F8&lt;=E8,G8&lt;&gt;"",H8&lt;&gt;"",I8&lt;&gt;""),"VÁLIDO","INCOMPLETO"))))</x:f>
      </x:c>
    </x:row>
    <x:row r="9" ht="22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2" t="str">
        <x:f>IF(COUNTA(A9:I9)=0,"",IF(OR(AND(ISNUMBER(E9),E9&lt;0),AND(ISNUMBER(F9),F9&lt;0),AND(ISNUMBER(E9),ISNUMBER(F9),F9&gt;E9)),"REVISAR",IF(AND(A9&lt;&gt;"",COUNTIF($A$5:$A$124,A9)&gt;1),"REVISAR",IF(AND(A9&lt;&gt;"",B9&lt;&gt;"",C9="Sí",D9="Sí",ISNUMBER(E9),E9&gt;0,ISNUMBER(F9),F9&gt;=0,F9&lt;=E9,G9&lt;&gt;"",H9&lt;&gt;"",I9&lt;&gt;""),"VÁLIDO","INCOMPLETO"))))</x:f>
      </x:c>
    </x:row>
    <x:row r="10" ht="22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2" t="str">
        <x:f>IF(COUNTA(A10:I10)=0,"",IF(OR(AND(ISNUMBER(E10),E10&lt;0),AND(ISNUMBER(F10),F10&lt;0),AND(ISNUMBER(E10),ISNUMBER(F10),F10&gt;E10)),"REVISAR",IF(AND(A10&lt;&gt;"",COUNTIF($A$5:$A$124,A10)&gt;1),"REVISAR",IF(AND(A10&lt;&gt;"",B10&lt;&gt;"",C10="Sí",D10="Sí",ISNUMBER(E10),E10&gt;0,ISNUMBER(F10),F10&gt;=0,F10&lt;=E10,G10&lt;&gt;"",H10&lt;&gt;"",I10&lt;&gt;""),"VÁLIDO","INCOMPLETO"))))</x:f>
      </x:c>
    </x:row>
    <x:row r="11" ht="22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2" t="str">
        <x:f>IF(COUNTA(A11:I11)=0,"",IF(OR(AND(ISNUMBER(E11),E11&lt;0),AND(ISNUMBER(F11),F11&lt;0),AND(ISNUMBER(E11),ISNUMBER(F11),F11&gt;E11)),"REVISAR",IF(AND(A11&lt;&gt;"",COUNTIF($A$5:$A$124,A11)&gt;1),"REVISAR",IF(AND(A11&lt;&gt;"",B11&lt;&gt;"",C11="Sí",D11="Sí",ISNUMBER(E11),E11&gt;0,ISNUMBER(F11),F11&gt;=0,F11&lt;=E11,G11&lt;&gt;"",H11&lt;&gt;"",I11&lt;&gt;""),"VÁLIDO","INCOMPLETO"))))</x:f>
      </x:c>
    </x:row>
    <x:row r="12" ht="22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2" t="str">
        <x:f>IF(COUNTA(A12:I12)=0,"",IF(OR(AND(ISNUMBER(E12),E12&lt;0),AND(ISNUMBER(F12),F12&lt;0),AND(ISNUMBER(E12),ISNUMBER(F12),F12&gt;E12)),"REVISAR",IF(AND(A12&lt;&gt;"",COUNTIF($A$5:$A$124,A12)&gt;1),"REVISAR",IF(AND(A12&lt;&gt;"",B12&lt;&gt;"",C12="Sí",D12="Sí",ISNUMBER(E12),E12&gt;0,ISNUMBER(F12),F12&gt;=0,F12&lt;=E12,G12&lt;&gt;"",H12&lt;&gt;"",I12&lt;&gt;""),"VÁLIDO","INCOMPLETO"))))</x:f>
      </x:c>
    </x:row>
    <x:row r="13" ht="22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2" t="str">
        <x:f>IF(COUNTA(A13:I13)=0,"",IF(OR(AND(ISNUMBER(E13),E13&lt;0),AND(ISNUMBER(F13),F13&lt;0),AND(ISNUMBER(E13),ISNUMBER(F13),F13&gt;E13)),"REVISAR",IF(AND(A13&lt;&gt;"",COUNTIF($A$5:$A$124,A13)&gt;1),"REVISAR",IF(AND(A13&lt;&gt;"",B13&lt;&gt;"",C13="Sí",D13="Sí",ISNUMBER(E13),E13&gt;0,ISNUMBER(F13),F13&gt;=0,F13&lt;=E13,G13&lt;&gt;"",H13&lt;&gt;"",I13&lt;&gt;""),"VÁLIDO","INCOMPLETO"))))</x:f>
      </x:c>
    </x:row>
    <x:row r="14" ht="22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2" t="str">
        <x:f>IF(COUNTA(A14:I14)=0,"",IF(OR(AND(ISNUMBER(E14),E14&lt;0),AND(ISNUMBER(F14),F14&lt;0),AND(ISNUMBER(E14),ISNUMBER(F14),F14&gt;E14)),"REVISAR",IF(AND(A14&lt;&gt;"",COUNTIF($A$5:$A$124,A14)&gt;1),"REVISAR",IF(AND(A14&lt;&gt;"",B14&lt;&gt;"",C14="Sí",D14="Sí",ISNUMBER(E14),E14&gt;0,ISNUMBER(F14),F14&gt;=0,F14&lt;=E14,G14&lt;&gt;"",H14&lt;&gt;"",I14&lt;&gt;""),"VÁLIDO","INCOMPLETO"))))</x:f>
      </x:c>
    </x:row>
    <x:row r="15" ht="22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2" t="str">
        <x:f>IF(COUNTA(A15:I15)=0,"",IF(OR(AND(ISNUMBER(E15),E15&lt;0),AND(ISNUMBER(F15),F15&lt;0),AND(ISNUMBER(E15),ISNUMBER(F15),F15&gt;E15)),"REVISAR",IF(AND(A15&lt;&gt;"",COUNTIF($A$5:$A$124,A15)&gt;1),"REVISAR",IF(AND(A15&lt;&gt;"",B15&lt;&gt;"",C15="Sí",D15="Sí",ISNUMBER(E15),E15&gt;0,ISNUMBER(F15),F15&gt;=0,F15&lt;=E15,G15&lt;&gt;"",H15&lt;&gt;"",I15&lt;&gt;""),"VÁLIDO","INCOMPLETO"))))</x:f>
      </x:c>
    </x:row>
    <x:row r="16" ht="22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2" t="str">
        <x:f>IF(COUNTA(A16:I16)=0,"",IF(OR(AND(ISNUMBER(E16),E16&lt;0),AND(ISNUMBER(F16),F16&lt;0),AND(ISNUMBER(E16),ISNUMBER(F16),F16&gt;E16)),"REVISAR",IF(AND(A16&lt;&gt;"",COUNTIF($A$5:$A$124,A16)&gt;1),"REVISAR",IF(AND(A16&lt;&gt;"",B16&lt;&gt;"",C16="Sí",D16="Sí",ISNUMBER(E16),E16&gt;0,ISNUMBER(F16),F16&gt;=0,F16&lt;=E16,G16&lt;&gt;"",H16&lt;&gt;"",I16&lt;&gt;""),"VÁLIDO","INCOMPLETO"))))</x:f>
      </x:c>
    </x:row>
    <x:row r="17" ht="22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2" t="str">
        <x:f>IF(COUNTA(A17:I17)=0,"",IF(OR(AND(ISNUMBER(E17),E17&lt;0),AND(ISNUMBER(F17),F17&lt;0),AND(ISNUMBER(E17),ISNUMBER(F17),F17&gt;E17)),"REVISAR",IF(AND(A17&lt;&gt;"",COUNTIF($A$5:$A$124,A17)&gt;1),"REVISAR",IF(AND(A17&lt;&gt;"",B17&lt;&gt;"",C17="Sí",D17="Sí",ISNUMBER(E17),E17&gt;0,ISNUMBER(F17),F17&gt;=0,F17&lt;=E17,G17&lt;&gt;"",H17&lt;&gt;"",I17&lt;&gt;""),"VÁLIDO","INCOMPLETO"))))</x:f>
      </x:c>
    </x:row>
    <x:row r="18" ht="22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2" t="str">
        <x:f>IF(COUNTA(A18:I18)=0,"",IF(OR(AND(ISNUMBER(E18),E18&lt;0),AND(ISNUMBER(F18),F18&lt;0),AND(ISNUMBER(E18),ISNUMBER(F18),F18&gt;E18)),"REVISAR",IF(AND(A18&lt;&gt;"",COUNTIF($A$5:$A$124,A18)&gt;1),"REVISAR",IF(AND(A18&lt;&gt;"",B18&lt;&gt;"",C18="Sí",D18="Sí",ISNUMBER(E18),E18&gt;0,ISNUMBER(F18),F18&gt;=0,F18&lt;=E18,G18&lt;&gt;"",H18&lt;&gt;"",I18&lt;&gt;""),"VÁLIDO","INCOMPLETO"))))</x:f>
      </x:c>
    </x:row>
    <x:row r="19" ht="22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2" t="str">
        <x:f>IF(COUNTA(A19:I19)=0,"",IF(OR(AND(ISNUMBER(E19),E19&lt;0),AND(ISNUMBER(F19),F19&lt;0),AND(ISNUMBER(E19),ISNUMBER(F19),F19&gt;E19)),"REVISAR",IF(AND(A19&lt;&gt;"",COUNTIF($A$5:$A$124,A19)&gt;1),"REVISAR",IF(AND(A19&lt;&gt;"",B19&lt;&gt;"",C19="Sí",D19="Sí",ISNUMBER(E19),E19&gt;0,ISNUMBER(F19),F19&gt;=0,F19&lt;=E19,G19&lt;&gt;"",H19&lt;&gt;"",I19&lt;&gt;""),"VÁLIDO","INCOMPLETO"))))</x:f>
      </x:c>
    </x:row>
    <x:row r="20" ht="22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2" t="str">
        <x:f>IF(COUNTA(A20:I20)=0,"",IF(OR(AND(ISNUMBER(E20),E20&lt;0),AND(ISNUMBER(F20),F20&lt;0),AND(ISNUMBER(E20),ISNUMBER(F20),F20&gt;E20)),"REVISAR",IF(AND(A20&lt;&gt;"",COUNTIF($A$5:$A$124,A20)&gt;1),"REVISAR",IF(AND(A20&lt;&gt;"",B20&lt;&gt;"",C20="Sí",D20="Sí",ISNUMBER(E20),E20&gt;0,ISNUMBER(F20),F20&gt;=0,F20&lt;=E20,G20&lt;&gt;"",H20&lt;&gt;"",I20&lt;&gt;""),"VÁLIDO","INCOMPLETO"))))</x:f>
      </x:c>
    </x:row>
    <x:row r="21" ht="22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2" t="str">
        <x:f>IF(COUNTA(A21:I21)=0,"",IF(OR(AND(ISNUMBER(E21),E21&lt;0),AND(ISNUMBER(F21),F21&lt;0),AND(ISNUMBER(E21),ISNUMBER(F21),F21&gt;E21)),"REVISAR",IF(AND(A21&lt;&gt;"",COUNTIF($A$5:$A$124,A21)&gt;1),"REVISAR",IF(AND(A21&lt;&gt;"",B21&lt;&gt;"",C21="Sí",D21="Sí",ISNUMBER(E21),E21&gt;0,ISNUMBER(F21),F21&gt;=0,F21&lt;=E21,G21&lt;&gt;"",H21&lt;&gt;"",I21&lt;&gt;""),"VÁLIDO","INCOMPLETO"))))</x:f>
      </x:c>
    </x:row>
    <x:row r="22" ht="22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2" t="str">
        <x:f>IF(COUNTA(A22:I22)=0,"",IF(OR(AND(ISNUMBER(E22),E22&lt;0),AND(ISNUMBER(F22),F22&lt;0),AND(ISNUMBER(E22),ISNUMBER(F22),F22&gt;E22)),"REVISAR",IF(AND(A22&lt;&gt;"",COUNTIF($A$5:$A$124,A22)&gt;1),"REVISAR",IF(AND(A22&lt;&gt;"",B22&lt;&gt;"",C22="Sí",D22="Sí",ISNUMBER(E22),E22&gt;0,ISNUMBER(F22),F22&gt;=0,F22&lt;=E22,G22&lt;&gt;"",H22&lt;&gt;"",I22&lt;&gt;""),"VÁLIDO","INCOMPLETO"))))</x:f>
      </x:c>
    </x:row>
    <x:row r="23" ht="22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2" t="str">
        <x:f>IF(COUNTA(A23:I23)=0,"",IF(OR(AND(ISNUMBER(E23),E23&lt;0),AND(ISNUMBER(F23),F23&lt;0),AND(ISNUMBER(E23),ISNUMBER(F23),F23&gt;E23)),"REVISAR",IF(AND(A23&lt;&gt;"",COUNTIF($A$5:$A$124,A23)&gt;1),"REVISAR",IF(AND(A23&lt;&gt;"",B23&lt;&gt;"",C23="Sí",D23="Sí",ISNUMBER(E23),E23&gt;0,ISNUMBER(F23),F23&gt;=0,F23&lt;=E23,G23&lt;&gt;"",H23&lt;&gt;"",I23&lt;&gt;""),"VÁLIDO","INCOMPLETO"))))</x:f>
      </x:c>
    </x:row>
    <x:row r="24" ht="22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2" t="str">
        <x:f>IF(COUNTA(A24:I24)=0,"",IF(OR(AND(ISNUMBER(E24),E24&lt;0),AND(ISNUMBER(F24),F24&lt;0),AND(ISNUMBER(E24),ISNUMBER(F24),F24&gt;E24)),"REVISAR",IF(AND(A24&lt;&gt;"",COUNTIF($A$5:$A$124,A24)&gt;1),"REVISAR",IF(AND(A24&lt;&gt;"",B24&lt;&gt;"",C24="Sí",D24="Sí",ISNUMBER(E24),E24&gt;0,ISNUMBER(F24),F24&gt;=0,F24&lt;=E24,G24&lt;&gt;"",H24&lt;&gt;"",I24&lt;&gt;""),"VÁLIDO","INCOMPLETO"))))</x:f>
      </x:c>
    </x:row>
    <x:row r="25" ht="22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2" t="str">
        <x:f>IF(COUNTA(A25:I25)=0,"",IF(OR(AND(ISNUMBER(E25),E25&lt;0),AND(ISNUMBER(F25),F25&lt;0),AND(ISNUMBER(E25),ISNUMBER(F25),F25&gt;E25)),"REVISAR",IF(AND(A25&lt;&gt;"",COUNTIF($A$5:$A$124,A25)&gt;1),"REVISAR",IF(AND(A25&lt;&gt;"",B25&lt;&gt;"",C25="Sí",D25="Sí",ISNUMBER(E25),E25&gt;0,ISNUMBER(F25),F25&gt;=0,F25&lt;=E25,G25&lt;&gt;"",H25&lt;&gt;"",I25&lt;&gt;""),"VÁLIDO","INCOMPLETO"))))</x:f>
      </x:c>
    </x:row>
    <x:row r="26" ht="22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2" t="str">
        <x:f>IF(COUNTA(A26:I26)=0,"",IF(OR(AND(ISNUMBER(E26),E26&lt;0),AND(ISNUMBER(F26),F26&lt;0),AND(ISNUMBER(E26),ISNUMBER(F26),F26&gt;E26)),"REVISAR",IF(AND(A26&lt;&gt;"",COUNTIF($A$5:$A$124,A26)&gt;1),"REVISAR",IF(AND(A26&lt;&gt;"",B26&lt;&gt;"",C26="Sí",D26="Sí",ISNUMBER(E26),E26&gt;0,ISNUMBER(F26),F26&gt;=0,F26&lt;=E26,G26&lt;&gt;"",H26&lt;&gt;"",I26&lt;&gt;""),"VÁLIDO","INCOMPLETO"))))</x:f>
      </x:c>
    </x:row>
    <x:row r="27" ht="22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2" t="str">
        <x:f>IF(COUNTA(A27:I27)=0,"",IF(OR(AND(ISNUMBER(E27),E27&lt;0),AND(ISNUMBER(F27),F27&lt;0),AND(ISNUMBER(E27),ISNUMBER(F27),F27&gt;E27)),"REVISAR",IF(AND(A27&lt;&gt;"",COUNTIF($A$5:$A$124,A27)&gt;1),"REVISAR",IF(AND(A27&lt;&gt;"",B27&lt;&gt;"",C27="Sí",D27="Sí",ISNUMBER(E27),E27&gt;0,ISNUMBER(F27),F27&gt;=0,F27&lt;=E27,G27&lt;&gt;"",H27&lt;&gt;"",I27&lt;&gt;""),"VÁLIDO","INCOMPLETO"))))</x:f>
      </x:c>
    </x:row>
    <x:row r="28" ht="22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2" t="str">
        <x:f>IF(COUNTA(A28:I28)=0,"",IF(OR(AND(ISNUMBER(E28),E28&lt;0),AND(ISNUMBER(F28),F28&lt;0),AND(ISNUMBER(E28),ISNUMBER(F28),F28&gt;E28)),"REVISAR",IF(AND(A28&lt;&gt;"",COUNTIF($A$5:$A$124,A28)&gt;1),"REVISAR",IF(AND(A28&lt;&gt;"",B28&lt;&gt;"",C28="Sí",D28="Sí",ISNUMBER(E28),E28&gt;0,ISNUMBER(F28),F28&gt;=0,F28&lt;=E28,G28&lt;&gt;"",H28&lt;&gt;"",I28&lt;&gt;""),"VÁLIDO","INCOMPLETO"))))</x:f>
      </x:c>
    </x:row>
    <x:row r="29" ht="22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2" t="str">
        <x:f>IF(COUNTA(A29:I29)=0,"",IF(OR(AND(ISNUMBER(E29),E29&lt;0),AND(ISNUMBER(F29),F29&lt;0),AND(ISNUMBER(E29),ISNUMBER(F29),F29&gt;E29)),"REVISAR",IF(AND(A29&lt;&gt;"",COUNTIF($A$5:$A$124,A29)&gt;1),"REVISAR",IF(AND(A29&lt;&gt;"",B29&lt;&gt;"",C29="Sí",D29="Sí",ISNUMBER(E29),E29&gt;0,ISNUMBER(F29),F29&gt;=0,F29&lt;=E29,G29&lt;&gt;"",H29&lt;&gt;"",I29&lt;&gt;""),"VÁLIDO","INCOMPLETO"))))</x:f>
      </x:c>
    </x:row>
    <x:row r="30" ht="22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2" t="str">
        <x:f>IF(COUNTA(A30:I30)=0,"",IF(OR(AND(ISNUMBER(E30),E30&lt;0),AND(ISNUMBER(F30),F30&lt;0),AND(ISNUMBER(E30),ISNUMBER(F30),F30&gt;E30)),"REVISAR",IF(AND(A30&lt;&gt;"",COUNTIF($A$5:$A$124,A30)&gt;1),"REVISAR",IF(AND(A30&lt;&gt;"",B30&lt;&gt;"",C30="Sí",D30="Sí",ISNUMBER(E30),E30&gt;0,ISNUMBER(F30),F30&gt;=0,F30&lt;=E30,G30&lt;&gt;"",H30&lt;&gt;"",I30&lt;&gt;""),"VÁLIDO","INCOMPLETO"))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2" t="str">
        <x:f>IF(COUNTA(A31:I31)=0,"",IF(OR(AND(ISNUMBER(E31),E31&lt;0),AND(ISNUMBER(F31),F31&lt;0),AND(ISNUMBER(E31),ISNUMBER(F31),F31&gt;E31)),"REVISAR",IF(AND(A31&lt;&gt;"",COUNTIF($A$5:$A$124,A31)&gt;1),"REVISAR",IF(AND(A31&lt;&gt;"",B31&lt;&gt;"",C31="Sí",D31="Sí",ISNUMBER(E31),E31&gt;0,ISNUMBER(F31),F31&gt;=0,F31&lt;=E31,G31&lt;&gt;"",H31&lt;&gt;"",I31&lt;&gt;""),"VÁLIDO","INCOMPLETO"))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2" t="str">
        <x:f>IF(COUNTA(A32:I32)=0,"",IF(OR(AND(ISNUMBER(E32),E32&lt;0),AND(ISNUMBER(F32),F32&lt;0),AND(ISNUMBER(E32),ISNUMBER(F32),F32&gt;E32)),"REVISAR",IF(AND(A32&lt;&gt;"",COUNTIF($A$5:$A$124,A32)&gt;1),"REVISAR",IF(AND(A32&lt;&gt;"",B32&lt;&gt;"",C32="Sí",D32="Sí",ISNUMBER(E32),E32&gt;0,ISNUMBER(F32),F32&gt;=0,F32&lt;=E32,G32&lt;&gt;"",H32&lt;&gt;"",I32&lt;&gt;""),"VÁLIDO","INCOMPLETO"))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2" t="str">
        <x:f>IF(COUNTA(A33:I33)=0,"",IF(OR(AND(ISNUMBER(E33),E33&lt;0),AND(ISNUMBER(F33),F33&lt;0),AND(ISNUMBER(E33),ISNUMBER(F33),F33&gt;E33)),"REVISAR",IF(AND(A33&lt;&gt;"",COUNTIF($A$5:$A$124,A33)&gt;1),"REVISAR",IF(AND(A33&lt;&gt;"",B33&lt;&gt;"",C33="Sí",D33="Sí",ISNUMBER(E33),E33&gt;0,ISNUMBER(F33),F33&gt;=0,F33&lt;=E33,G33&lt;&gt;"",H33&lt;&gt;"",I33&lt;&gt;""),"VÁLIDO","INCOMPLETO"))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2" t="str">
        <x:f>IF(COUNTA(A34:I34)=0,"",IF(OR(AND(ISNUMBER(E34),E34&lt;0),AND(ISNUMBER(F34),F34&lt;0),AND(ISNUMBER(E34),ISNUMBER(F34),F34&gt;E34)),"REVISAR",IF(AND(A34&lt;&gt;"",COUNTIF($A$5:$A$124,A34)&gt;1),"REVISAR",IF(AND(A34&lt;&gt;"",B34&lt;&gt;"",C34="Sí",D34="Sí",ISNUMBER(E34),E34&gt;0,ISNUMBER(F34),F34&gt;=0,F34&lt;=E34,G34&lt;&gt;"",H34&lt;&gt;"",I34&lt;&gt;""),"VÁLIDO","INCOMPLETO"))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2" t="str">
        <x:f>IF(COUNTA(A35:I35)=0,"",IF(OR(AND(ISNUMBER(E35),E35&lt;0),AND(ISNUMBER(F35),F35&lt;0),AND(ISNUMBER(E35),ISNUMBER(F35),F35&gt;E35)),"REVISAR",IF(AND(A35&lt;&gt;"",COUNTIF($A$5:$A$124,A35)&gt;1),"REVISAR",IF(AND(A35&lt;&gt;"",B35&lt;&gt;"",C35="Sí",D35="Sí",ISNUMBER(E35),E35&gt;0,ISNUMBER(F35),F35&gt;=0,F35&lt;=E35,G35&lt;&gt;"",H35&lt;&gt;"",I35&lt;&gt;""),"VÁLIDO","INCOMPLETO"))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2" t="str">
        <x:f>IF(COUNTA(A36:I36)=0,"",IF(OR(AND(ISNUMBER(E36),E36&lt;0),AND(ISNUMBER(F36),F36&lt;0),AND(ISNUMBER(E36),ISNUMBER(F36),F36&gt;E36)),"REVISAR",IF(AND(A36&lt;&gt;"",COUNTIF($A$5:$A$124,A36)&gt;1),"REVISAR",IF(AND(A36&lt;&gt;"",B36&lt;&gt;"",C36="Sí",D36="Sí",ISNUMBER(E36),E36&gt;0,ISNUMBER(F36),F36&gt;=0,F36&lt;=E36,G36&lt;&gt;"",H36&lt;&gt;"",I36&lt;&gt;""),"VÁLIDO","INCOMPLETO"))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2" t="str">
        <x:f>IF(COUNTA(A37:I37)=0,"",IF(OR(AND(ISNUMBER(E37),E37&lt;0),AND(ISNUMBER(F37),F37&lt;0),AND(ISNUMBER(E37),ISNUMBER(F37),F37&gt;E37)),"REVISAR",IF(AND(A37&lt;&gt;"",COUNTIF($A$5:$A$124,A37)&gt;1),"REVISAR",IF(AND(A37&lt;&gt;"",B37&lt;&gt;"",C37="Sí",D37="Sí",ISNUMBER(E37),E37&gt;0,ISNUMBER(F37),F37&gt;=0,F37&lt;=E37,G37&lt;&gt;"",H37&lt;&gt;"",I37&lt;&gt;""),"VÁLIDO","INCOMPLETO"))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2" t="str">
        <x:f>IF(COUNTA(A38:I38)=0,"",IF(OR(AND(ISNUMBER(E38),E38&lt;0),AND(ISNUMBER(F38),F38&lt;0),AND(ISNUMBER(E38),ISNUMBER(F38),F38&gt;E38)),"REVISAR",IF(AND(A38&lt;&gt;"",COUNTIF($A$5:$A$124,A38)&gt;1),"REVISAR",IF(AND(A38&lt;&gt;"",B38&lt;&gt;"",C38="Sí",D38="Sí",ISNUMBER(E38),E38&gt;0,ISNUMBER(F38),F38&gt;=0,F38&lt;=E38,G38&lt;&gt;"",H38&lt;&gt;"",I38&lt;&gt;""),"VÁLIDO","INCOMPLETO"))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2" t="str">
        <x:f>IF(COUNTA(A39:I39)=0,"",IF(OR(AND(ISNUMBER(E39),E39&lt;0),AND(ISNUMBER(F39),F39&lt;0),AND(ISNUMBER(E39),ISNUMBER(F39),F39&gt;E39)),"REVISAR",IF(AND(A39&lt;&gt;"",COUNTIF($A$5:$A$124,A39)&gt;1),"REVISAR",IF(AND(A39&lt;&gt;"",B39&lt;&gt;"",C39="Sí",D39="Sí",ISNUMBER(E39),E39&gt;0,ISNUMBER(F39),F39&gt;=0,F39&lt;=E39,G39&lt;&gt;"",H39&lt;&gt;"",I39&lt;&gt;""),"VÁLIDO","INCOMPLETO"))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2" t="str">
        <x:f>IF(COUNTA(A40:I40)=0,"",IF(OR(AND(ISNUMBER(E40),E40&lt;0),AND(ISNUMBER(F40),F40&lt;0),AND(ISNUMBER(E40),ISNUMBER(F40),F40&gt;E40)),"REVISAR",IF(AND(A40&lt;&gt;"",COUNTIF($A$5:$A$124,A40)&gt;1),"REVISAR",IF(AND(A40&lt;&gt;"",B40&lt;&gt;"",C40="Sí",D40="Sí",ISNUMBER(E40),E40&gt;0,ISNUMBER(F40),F40&gt;=0,F40&lt;=E40,G40&lt;&gt;"",H40&lt;&gt;"",I40&lt;&gt;""),"VÁLIDO","INCOMPLETO"))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2" t="str">
        <x:f>IF(COUNTA(A41:I41)=0,"",IF(OR(AND(ISNUMBER(E41),E41&lt;0),AND(ISNUMBER(F41),F41&lt;0),AND(ISNUMBER(E41),ISNUMBER(F41),F41&gt;E41)),"REVISAR",IF(AND(A41&lt;&gt;"",COUNTIF($A$5:$A$124,A41)&gt;1),"REVISAR",IF(AND(A41&lt;&gt;"",B41&lt;&gt;"",C41="Sí",D41="Sí",ISNUMBER(E41),E41&gt;0,ISNUMBER(F41),F41&gt;=0,F41&lt;=E41,G41&lt;&gt;"",H41&lt;&gt;"",I41&lt;&gt;""),"VÁLIDO","INCOMPLETO"))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2" t="str">
        <x:f>IF(COUNTA(A42:I42)=0,"",IF(OR(AND(ISNUMBER(E42),E42&lt;0),AND(ISNUMBER(F42),F42&lt;0),AND(ISNUMBER(E42),ISNUMBER(F42),F42&gt;E42)),"REVISAR",IF(AND(A42&lt;&gt;"",COUNTIF($A$5:$A$124,A42)&gt;1),"REVISAR",IF(AND(A42&lt;&gt;"",B42&lt;&gt;"",C42="Sí",D42="Sí",ISNUMBER(E42),E42&gt;0,ISNUMBER(F42),F42&gt;=0,F42&lt;=E42,G42&lt;&gt;"",H42&lt;&gt;"",I42&lt;&gt;""),"VÁLIDO","INCOMPLETO"))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2" t="str">
        <x:f>IF(COUNTA(A43:I43)=0,"",IF(OR(AND(ISNUMBER(E43),E43&lt;0),AND(ISNUMBER(F43),F43&lt;0),AND(ISNUMBER(E43),ISNUMBER(F43),F43&gt;E43)),"REVISAR",IF(AND(A43&lt;&gt;"",COUNTIF($A$5:$A$124,A43)&gt;1),"REVISAR",IF(AND(A43&lt;&gt;"",B43&lt;&gt;"",C43="Sí",D43="Sí",ISNUMBER(E43),E43&gt;0,ISNUMBER(F43),F43&gt;=0,F43&lt;=E43,G43&lt;&gt;"",H43&lt;&gt;"",I43&lt;&gt;""),"VÁLIDO","INCOMPLETO"))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2" t="str">
        <x:f>IF(COUNTA(A44:I44)=0,"",IF(OR(AND(ISNUMBER(E44),E44&lt;0),AND(ISNUMBER(F44),F44&lt;0),AND(ISNUMBER(E44),ISNUMBER(F44),F44&gt;E44)),"REVISAR",IF(AND(A44&lt;&gt;"",COUNTIF($A$5:$A$124,A44)&gt;1),"REVISAR",IF(AND(A44&lt;&gt;"",B44&lt;&gt;"",C44="Sí",D44="Sí",ISNUMBER(E44),E44&gt;0,ISNUMBER(F44),F44&gt;=0,F44&lt;=E44,G44&lt;&gt;"",H44&lt;&gt;"",I44&lt;&gt;""),"VÁLIDO","INCOMPLETO"))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2" t="str">
        <x:f>IF(COUNTA(A45:I45)=0,"",IF(OR(AND(ISNUMBER(E45),E45&lt;0),AND(ISNUMBER(F45),F45&lt;0),AND(ISNUMBER(E45),ISNUMBER(F45),F45&gt;E45)),"REVISAR",IF(AND(A45&lt;&gt;"",COUNTIF($A$5:$A$124,A45)&gt;1),"REVISAR",IF(AND(A45&lt;&gt;"",B45&lt;&gt;"",C45="Sí",D45="Sí",ISNUMBER(E45),E45&gt;0,ISNUMBER(F45),F45&gt;=0,F45&lt;=E45,G45&lt;&gt;"",H45&lt;&gt;"",I45&lt;&gt;""),"VÁLIDO","INCOMPLETO"))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2" t="str">
        <x:f>IF(COUNTA(A46:I46)=0,"",IF(OR(AND(ISNUMBER(E46),E46&lt;0),AND(ISNUMBER(F46),F46&lt;0),AND(ISNUMBER(E46),ISNUMBER(F46),F46&gt;E46)),"REVISAR",IF(AND(A46&lt;&gt;"",COUNTIF($A$5:$A$124,A46)&gt;1),"REVISAR",IF(AND(A46&lt;&gt;"",B46&lt;&gt;"",C46="Sí",D46="Sí",ISNUMBER(E46),E46&gt;0,ISNUMBER(F46),F46&gt;=0,F46&lt;=E46,G46&lt;&gt;"",H46&lt;&gt;"",I46&lt;&gt;""),"VÁLIDO","INCOMPLETO"))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2" t="str">
        <x:f>IF(COUNTA(A47:I47)=0,"",IF(OR(AND(ISNUMBER(E47),E47&lt;0),AND(ISNUMBER(F47),F47&lt;0),AND(ISNUMBER(E47),ISNUMBER(F47),F47&gt;E47)),"REVISAR",IF(AND(A47&lt;&gt;"",COUNTIF($A$5:$A$124,A47)&gt;1),"REVISAR",IF(AND(A47&lt;&gt;"",B47&lt;&gt;"",C47="Sí",D47="Sí",ISNUMBER(E47),E47&gt;0,ISNUMBER(F47),F47&gt;=0,F47&lt;=E47,G47&lt;&gt;"",H47&lt;&gt;"",I47&lt;&gt;""),"VÁLIDO","INCOMPLETO"))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2" t="str">
        <x:f>IF(COUNTA(A48:I48)=0,"",IF(OR(AND(ISNUMBER(E48),E48&lt;0),AND(ISNUMBER(F48),F48&lt;0),AND(ISNUMBER(E48),ISNUMBER(F48),F48&gt;E48)),"REVISAR",IF(AND(A48&lt;&gt;"",COUNTIF($A$5:$A$124,A48)&gt;1),"REVISAR",IF(AND(A48&lt;&gt;"",B48&lt;&gt;"",C48="Sí",D48="Sí",ISNUMBER(E48),E48&gt;0,ISNUMBER(F48),F48&gt;=0,F48&lt;=E48,G48&lt;&gt;"",H48&lt;&gt;"",I48&lt;&gt;""),"VÁLIDO","INCOMPLETO"))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2" t="str">
        <x:f>IF(COUNTA(A49:I49)=0,"",IF(OR(AND(ISNUMBER(E49),E49&lt;0),AND(ISNUMBER(F49),F49&lt;0),AND(ISNUMBER(E49),ISNUMBER(F49),F49&gt;E49)),"REVISAR",IF(AND(A49&lt;&gt;"",COUNTIF($A$5:$A$124,A49)&gt;1),"REVISAR",IF(AND(A49&lt;&gt;"",B49&lt;&gt;"",C49="Sí",D49="Sí",ISNUMBER(E49),E49&gt;0,ISNUMBER(F49),F49&gt;=0,F49&lt;=E49,G49&lt;&gt;"",H49&lt;&gt;"",I49&lt;&gt;""),"VÁLIDO","INCOMPLETO"))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2" t="str">
        <x:f>IF(COUNTA(A50:I50)=0,"",IF(OR(AND(ISNUMBER(E50),E50&lt;0),AND(ISNUMBER(F50),F50&lt;0),AND(ISNUMBER(E50),ISNUMBER(F50),F50&gt;E50)),"REVISAR",IF(AND(A50&lt;&gt;"",COUNTIF($A$5:$A$124,A50)&gt;1),"REVISAR",IF(AND(A50&lt;&gt;"",B50&lt;&gt;"",C50="Sí",D50="Sí",ISNUMBER(E50),E50&gt;0,ISNUMBER(F50),F50&gt;=0,F50&lt;=E50,G50&lt;&gt;"",H50&lt;&gt;"",I50&lt;&gt;""),"VÁLIDO","INCOMPLETO"))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2" t="str">
        <x:f>IF(COUNTA(A51:I51)=0,"",IF(OR(AND(ISNUMBER(E51),E51&lt;0),AND(ISNUMBER(F51),F51&lt;0),AND(ISNUMBER(E51),ISNUMBER(F51),F51&gt;E51)),"REVISAR",IF(AND(A51&lt;&gt;"",COUNTIF($A$5:$A$124,A51)&gt;1),"REVISAR",IF(AND(A51&lt;&gt;"",B51&lt;&gt;"",C51="Sí",D51="Sí",ISNUMBER(E51),E51&gt;0,ISNUMBER(F51),F51&gt;=0,F51&lt;=E51,G51&lt;&gt;"",H51&lt;&gt;"",I51&lt;&gt;""),"VÁLIDO","INCOMPLETO"))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2" t="str">
        <x:f>IF(COUNTA(A52:I52)=0,"",IF(OR(AND(ISNUMBER(E52),E52&lt;0),AND(ISNUMBER(F52),F52&lt;0),AND(ISNUMBER(E52),ISNUMBER(F52),F52&gt;E52)),"REVISAR",IF(AND(A52&lt;&gt;"",COUNTIF($A$5:$A$124,A52)&gt;1),"REVISAR",IF(AND(A52&lt;&gt;"",B52&lt;&gt;"",C52="Sí",D52="Sí",ISNUMBER(E52),E52&gt;0,ISNUMBER(F52),F52&gt;=0,F52&lt;=E52,G52&lt;&gt;"",H52&lt;&gt;"",I52&lt;&gt;""),"VÁLIDO","INCOMPLETO"))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2" t="str">
        <x:f>IF(COUNTA(A53:I53)=0,"",IF(OR(AND(ISNUMBER(E53),E53&lt;0),AND(ISNUMBER(F53),F53&lt;0),AND(ISNUMBER(E53),ISNUMBER(F53),F53&gt;E53)),"REVISAR",IF(AND(A53&lt;&gt;"",COUNTIF($A$5:$A$124,A53)&gt;1),"REVISAR",IF(AND(A53&lt;&gt;"",B53&lt;&gt;"",C53="Sí",D53="Sí",ISNUMBER(E53),E53&gt;0,ISNUMBER(F53),F53&gt;=0,F53&lt;=E53,G53&lt;&gt;"",H53&lt;&gt;"",I53&lt;&gt;""),"VÁLIDO","INCOMPLETO"))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2" t="str">
        <x:f>IF(COUNTA(A54:I54)=0,"",IF(OR(AND(ISNUMBER(E54),E54&lt;0),AND(ISNUMBER(F54),F54&lt;0),AND(ISNUMBER(E54),ISNUMBER(F54),F54&gt;E54)),"REVISAR",IF(AND(A54&lt;&gt;"",COUNTIF($A$5:$A$124,A54)&gt;1),"REVISAR",IF(AND(A54&lt;&gt;"",B54&lt;&gt;"",C54="Sí",D54="Sí",ISNUMBER(E54),E54&gt;0,ISNUMBER(F54),F54&gt;=0,F54&lt;=E54,G54&lt;&gt;"",H54&lt;&gt;"",I54&lt;&gt;""),"VÁLIDO","INCOMPLETO"))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2" t="str">
        <x:f>IF(COUNTA(A55:I55)=0,"",IF(OR(AND(ISNUMBER(E55),E55&lt;0),AND(ISNUMBER(F55),F55&lt;0),AND(ISNUMBER(E55),ISNUMBER(F55),F55&gt;E55)),"REVISAR",IF(AND(A55&lt;&gt;"",COUNTIF($A$5:$A$124,A55)&gt;1),"REVISAR",IF(AND(A55&lt;&gt;"",B55&lt;&gt;"",C55="Sí",D55="Sí",ISNUMBER(E55),E55&gt;0,ISNUMBER(F55),F55&gt;=0,F55&lt;=E55,G55&lt;&gt;"",H55&lt;&gt;"",I55&lt;&gt;""),"VÁLIDO","INCOMPLETO"))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2" t="str">
        <x:f>IF(COUNTA(A56:I56)=0,"",IF(OR(AND(ISNUMBER(E56),E56&lt;0),AND(ISNUMBER(F56),F56&lt;0),AND(ISNUMBER(E56),ISNUMBER(F56),F56&gt;E56)),"REVISAR",IF(AND(A56&lt;&gt;"",COUNTIF($A$5:$A$124,A56)&gt;1),"REVISAR",IF(AND(A56&lt;&gt;"",B56&lt;&gt;"",C56="Sí",D56="Sí",ISNUMBER(E56),E56&gt;0,ISNUMBER(F56),F56&gt;=0,F56&lt;=E56,G56&lt;&gt;"",H56&lt;&gt;"",I56&lt;&gt;""),"VÁLIDO","INCOMPLETO"))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2" t="str">
        <x:f>IF(COUNTA(A57:I57)=0,"",IF(OR(AND(ISNUMBER(E57),E57&lt;0),AND(ISNUMBER(F57),F57&lt;0),AND(ISNUMBER(E57),ISNUMBER(F57),F57&gt;E57)),"REVISAR",IF(AND(A57&lt;&gt;"",COUNTIF($A$5:$A$124,A57)&gt;1),"REVISAR",IF(AND(A57&lt;&gt;"",B57&lt;&gt;"",C57="Sí",D57="Sí",ISNUMBER(E57),E57&gt;0,ISNUMBER(F57),F57&gt;=0,F57&lt;=E57,G57&lt;&gt;"",H57&lt;&gt;"",I57&lt;&gt;""),"VÁLIDO","INCOMPLETO"))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2" t="str">
        <x:f>IF(COUNTA(A58:I58)=0,"",IF(OR(AND(ISNUMBER(E58),E58&lt;0),AND(ISNUMBER(F58),F58&lt;0),AND(ISNUMBER(E58),ISNUMBER(F58),F58&gt;E58)),"REVISAR",IF(AND(A58&lt;&gt;"",COUNTIF($A$5:$A$124,A58)&gt;1),"REVISAR",IF(AND(A58&lt;&gt;"",B58&lt;&gt;"",C58="Sí",D58="Sí",ISNUMBER(E58),E58&gt;0,ISNUMBER(F58),F58&gt;=0,F58&lt;=E58,G58&lt;&gt;"",H58&lt;&gt;"",I58&lt;&gt;""),"VÁLIDO","INCOMPLETO"))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2" t="str">
        <x:f>IF(COUNTA(A59:I59)=0,"",IF(OR(AND(ISNUMBER(E59),E59&lt;0),AND(ISNUMBER(F59),F59&lt;0),AND(ISNUMBER(E59),ISNUMBER(F59),F59&gt;E59)),"REVISAR",IF(AND(A59&lt;&gt;"",COUNTIF($A$5:$A$124,A59)&gt;1),"REVISAR",IF(AND(A59&lt;&gt;"",B59&lt;&gt;"",C59="Sí",D59="Sí",ISNUMBER(E59),E59&gt;0,ISNUMBER(F59),F59&gt;=0,F59&lt;=E59,G59&lt;&gt;"",H59&lt;&gt;"",I59&lt;&gt;""),"VÁLIDO","INCOMPLETO"))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2" t="str">
        <x:f>IF(COUNTA(A60:I60)=0,"",IF(OR(AND(ISNUMBER(E60),E60&lt;0),AND(ISNUMBER(F60),F60&lt;0),AND(ISNUMBER(E60),ISNUMBER(F60),F60&gt;E60)),"REVISAR",IF(AND(A60&lt;&gt;"",COUNTIF($A$5:$A$124,A60)&gt;1),"REVISAR",IF(AND(A60&lt;&gt;"",B60&lt;&gt;"",C60="Sí",D60="Sí",ISNUMBER(E60),E60&gt;0,ISNUMBER(F60),F60&gt;=0,F60&lt;=E60,G60&lt;&gt;"",H60&lt;&gt;"",I60&lt;&gt;""),"VÁLIDO","INCOMPLETO"))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2" t="str">
        <x:f>IF(COUNTA(A61:I61)=0,"",IF(OR(AND(ISNUMBER(E61),E61&lt;0),AND(ISNUMBER(F61),F61&lt;0),AND(ISNUMBER(E61),ISNUMBER(F61),F61&gt;E61)),"REVISAR",IF(AND(A61&lt;&gt;"",COUNTIF($A$5:$A$124,A61)&gt;1),"REVISAR",IF(AND(A61&lt;&gt;"",B61&lt;&gt;"",C61="Sí",D61="Sí",ISNUMBER(E61),E61&gt;0,ISNUMBER(F61),F61&gt;=0,F61&lt;=E61,G61&lt;&gt;"",H61&lt;&gt;"",I61&lt;&gt;""),"VÁLIDO","INCOMPLETO"))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2" t="str">
        <x:f>IF(COUNTA(A62:I62)=0,"",IF(OR(AND(ISNUMBER(E62),E62&lt;0),AND(ISNUMBER(F62),F62&lt;0),AND(ISNUMBER(E62),ISNUMBER(F62),F62&gt;E62)),"REVISAR",IF(AND(A62&lt;&gt;"",COUNTIF($A$5:$A$124,A62)&gt;1),"REVISAR",IF(AND(A62&lt;&gt;"",B62&lt;&gt;"",C62="Sí",D62="Sí",ISNUMBER(E62),E62&gt;0,ISNUMBER(F62),F62&gt;=0,F62&lt;=E62,G62&lt;&gt;"",H62&lt;&gt;"",I62&lt;&gt;""),"VÁLIDO","INCOMPLETO"))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2" t="str">
        <x:f>IF(COUNTA(A63:I63)=0,"",IF(OR(AND(ISNUMBER(E63),E63&lt;0),AND(ISNUMBER(F63),F63&lt;0),AND(ISNUMBER(E63),ISNUMBER(F63),F63&gt;E63)),"REVISAR",IF(AND(A63&lt;&gt;"",COUNTIF($A$5:$A$124,A63)&gt;1),"REVISAR",IF(AND(A63&lt;&gt;"",B63&lt;&gt;"",C63="Sí",D63="Sí",ISNUMBER(E63),E63&gt;0,ISNUMBER(F63),F63&gt;=0,F63&lt;=E63,G63&lt;&gt;"",H63&lt;&gt;"",I63&lt;&gt;""),"VÁLIDO","INCOMPLETO"))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2" t="str">
        <x:f>IF(COUNTA(A64:I64)=0,"",IF(OR(AND(ISNUMBER(E64),E64&lt;0),AND(ISNUMBER(F64),F64&lt;0),AND(ISNUMBER(E64),ISNUMBER(F64),F64&gt;E64)),"REVISAR",IF(AND(A64&lt;&gt;"",COUNTIF($A$5:$A$124,A64)&gt;1),"REVISAR",IF(AND(A64&lt;&gt;"",B64&lt;&gt;"",C64="Sí",D64="Sí",ISNUMBER(E64),E64&gt;0,ISNUMBER(F64),F64&gt;=0,F64&lt;=E64,G64&lt;&gt;"",H64&lt;&gt;"",I64&lt;&gt;""),"VÁLIDO","INCOMPLETO"))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2" t="str">
        <x:f>IF(COUNTA(A65:I65)=0,"",IF(OR(AND(ISNUMBER(E65),E65&lt;0),AND(ISNUMBER(F65),F65&lt;0),AND(ISNUMBER(E65),ISNUMBER(F65),F65&gt;E65)),"REVISAR",IF(AND(A65&lt;&gt;"",COUNTIF($A$5:$A$124,A65)&gt;1),"REVISAR",IF(AND(A65&lt;&gt;"",B65&lt;&gt;"",C65="Sí",D65="Sí",ISNUMBER(E65),E65&gt;0,ISNUMBER(F65),F65&gt;=0,F65&lt;=E65,G65&lt;&gt;"",H65&lt;&gt;"",I65&lt;&gt;""),"VÁLIDO","INCOMPLETO"))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2" t="str">
        <x:f>IF(COUNTA(A66:I66)=0,"",IF(OR(AND(ISNUMBER(E66),E66&lt;0),AND(ISNUMBER(F66),F66&lt;0),AND(ISNUMBER(E66),ISNUMBER(F66),F66&gt;E66)),"REVISAR",IF(AND(A66&lt;&gt;"",COUNTIF($A$5:$A$124,A66)&gt;1),"REVISAR",IF(AND(A66&lt;&gt;"",B66&lt;&gt;"",C66="Sí",D66="Sí",ISNUMBER(E66),E66&gt;0,ISNUMBER(F66),F66&gt;=0,F66&lt;=E66,G66&lt;&gt;"",H66&lt;&gt;"",I66&lt;&gt;""),"VÁLIDO","INCOMPLETO"))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2" t="str">
        <x:f>IF(COUNTA(A67:I67)=0,"",IF(OR(AND(ISNUMBER(E67),E67&lt;0),AND(ISNUMBER(F67),F67&lt;0),AND(ISNUMBER(E67),ISNUMBER(F67),F67&gt;E67)),"REVISAR",IF(AND(A67&lt;&gt;"",COUNTIF($A$5:$A$124,A67)&gt;1),"REVISAR",IF(AND(A67&lt;&gt;"",B67&lt;&gt;"",C67="Sí",D67="Sí",ISNUMBER(E67),E67&gt;0,ISNUMBER(F67),F67&gt;=0,F67&lt;=E67,G67&lt;&gt;"",H67&lt;&gt;"",I67&lt;&gt;""),"VÁLIDO","INCOMPLETO"))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2" t="str">
        <x:f>IF(COUNTA(A68:I68)=0,"",IF(OR(AND(ISNUMBER(E68),E68&lt;0),AND(ISNUMBER(F68),F68&lt;0),AND(ISNUMBER(E68),ISNUMBER(F68),F68&gt;E68)),"REVISAR",IF(AND(A68&lt;&gt;"",COUNTIF($A$5:$A$124,A68)&gt;1),"REVISAR",IF(AND(A68&lt;&gt;"",B68&lt;&gt;"",C68="Sí",D68="Sí",ISNUMBER(E68),E68&gt;0,ISNUMBER(F68),F68&gt;=0,F68&lt;=E68,G68&lt;&gt;"",H68&lt;&gt;"",I68&lt;&gt;""),"VÁLIDO","INCOMPLETO"))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2" t="str">
        <x:f>IF(COUNTA(A69:I69)=0,"",IF(OR(AND(ISNUMBER(E69),E69&lt;0),AND(ISNUMBER(F69),F69&lt;0),AND(ISNUMBER(E69),ISNUMBER(F69),F69&gt;E69)),"REVISAR",IF(AND(A69&lt;&gt;"",COUNTIF($A$5:$A$124,A69)&gt;1),"REVISAR",IF(AND(A69&lt;&gt;"",B69&lt;&gt;"",C69="Sí",D69="Sí",ISNUMBER(E69),E69&gt;0,ISNUMBER(F69),F69&gt;=0,F69&lt;=E69,G69&lt;&gt;"",H69&lt;&gt;"",I69&lt;&gt;""),"VÁLIDO","INCOMPLETO"))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2" t="str">
        <x:f>IF(COUNTA(A70:I70)=0,"",IF(OR(AND(ISNUMBER(E70),E70&lt;0),AND(ISNUMBER(F70),F70&lt;0),AND(ISNUMBER(E70),ISNUMBER(F70),F70&gt;E70)),"REVISAR",IF(AND(A70&lt;&gt;"",COUNTIF($A$5:$A$124,A70)&gt;1),"REVISAR",IF(AND(A70&lt;&gt;"",B70&lt;&gt;"",C70="Sí",D70="Sí",ISNUMBER(E70),E70&gt;0,ISNUMBER(F70),F70&gt;=0,F70&lt;=E70,G70&lt;&gt;"",H70&lt;&gt;"",I70&lt;&gt;""),"VÁLIDO","INCOMPLETO"))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2" t="str">
        <x:f>IF(COUNTA(A71:I71)=0,"",IF(OR(AND(ISNUMBER(E71),E71&lt;0),AND(ISNUMBER(F71),F71&lt;0),AND(ISNUMBER(E71),ISNUMBER(F71),F71&gt;E71)),"REVISAR",IF(AND(A71&lt;&gt;"",COUNTIF($A$5:$A$124,A71)&gt;1),"REVISAR",IF(AND(A71&lt;&gt;"",B71&lt;&gt;"",C71="Sí",D71="Sí",ISNUMBER(E71),E71&gt;0,ISNUMBER(F71),F71&gt;=0,F71&lt;=E71,G71&lt;&gt;"",H71&lt;&gt;"",I71&lt;&gt;""),"VÁLIDO","INCOMPLETO"))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2" t="str">
        <x:f>IF(COUNTA(A72:I72)=0,"",IF(OR(AND(ISNUMBER(E72),E72&lt;0),AND(ISNUMBER(F72),F72&lt;0),AND(ISNUMBER(E72),ISNUMBER(F72),F72&gt;E72)),"REVISAR",IF(AND(A72&lt;&gt;"",COUNTIF($A$5:$A$124,A72)&gt;1),"REVISAR",IF(AND(A72&lt;&gt;"",B72&lt;&gt;"",C72="Sí",D72="Sí",ISNUMBER(E72),E72&gt;0,ISNUMBER(F72),F72&gt;=0,F72&lt;=E72,G72&lt;&gt;"",H72&lt;&gt;"",I72&lt;&gt;""),"VÁLIDO","INCOMPLETO"))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2" t="str">
        <x:f>IF(COUNTA(A73:I73)=0,"",IF(OR(AND(ISNUMBER(E73),E73&lt;0),AND(ISNUMBER(F73),F73&lt;0),AND(ISNUMBER(E73),ISNUMBER(F73),F73&gt;E73)),"REVISAR",IF(AND(A73&lt;&gt;"",COUNTIF($A$5:$A$124,A73)&gt;1),"REVISAR",IF(AND(A73&lt;&gt;"",B73&lt;&gt;"",C73="Sí",D73="Sí",ISNUMBER(E73),E73&gt;0,ISNUMBER(F73),F73&gt;=0,F73&lt;=E73,G73&lt;&gt;"",H73&lt;&gt;"",I73&lt;&gt;""),"VÁLIDO","INCOMPLETO"))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2" t="str">
        <x:f>IF(COUNTA(A74:I74)=0,"",IF(OR(AND(ISNUMBER(E74),E74&lt;0),AND(ISNUMBER(F74),F74&lt;0),AND(ISNUMBER(E74),ISNUMBER(F74),F74&gt;E74)),"REVISAR",IF(AND(A74&lt;&gt;"",COUNTIF($A$5:$A$124,A74)&gt;1),"REVISAR",IF(AND(A74&lt;&gt;"",B74&lt;&gt;"",C74="Sí",D74="Sí",ISNUMBER(E74),E74&gt;0,ISNUMBER(F74),F74&gt;=0,F74&lt;=E74,G74&lt;&gt;"",H74&lt;&gt;"",I74&lt;&gt;""),"VÁLIDO","INCOMPLETO"))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2" t="str">
        <x:f>IF(COUNTA(A75:I75)=0,"",IF(OR(AND(ISNUMBER(E75),E75&lt;0),AND(ISNUMBER(F75),F75&lt;0),AND(ISNUMBER(E75),ISNUMBER(F75),F75&gt;E75)),"REVISAR",IF(AND(A75&lt;&gt;"",COUNTIF($A$5:$A$124,A75)&gt;1),"REVISAR",IF(AND(A75&lt;&gt;"",B75&lt;&gt;"",C75="Sí",D75="Sí",ISNUMBER(E75),E75&gt;0,ISNUMBER(F75),F75&gt;=0,F75&lt;=E75,G75&lt;&gt;"",H75&lt;&gt;"",I75&lt;&gt;""),"VÁLIDO","INCOMPLETO"))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2" t="str">
        <x:f>IF(COUNTA(A76:I76)=0,"",IF(OR(AND(ISNUMBER(E76),E76&lt;0),AND(ISNUMBER(F76),F76&lt;0),AND(ISNUMBER(E76),ISNUMBER(F76),F76&gt;E76)),"REVISAR",IF(AND(A76&lt;&gt;"",COUNTIF($A$5:$A$124,A76)&gt;1),"REVISAR",IF(AND(A76&lt;&gt;"",B76&lt;&gt;"",C76="Sí",D76="Sí",ISNUMBER(E76),E76&gt;0,ISNUMBER(F76),F76&gt;=0,F76&lt;=E76,G76&lt;&gt;"",H76&lt;&gt;"",I76&lt;&gt;""),"VÁLIDO","INCOMPLETO"))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2" t="str">
        <x:f>IF(COUNTA(A77:I77)=0,"",IF(OR(AND(ISNUMBER(E77),E77&lt;0),AND(ISNUMBER(F77),F77&lt;0),AND(ISNUMBER(E77),ISNUMBER(F77),F77&gt;E77)),"REVISAR",IF(AND(A77&lt;&gt;"",COUNTIF($A$5:$A$124,A77)&gt;1),"REVISAR",IF(AND(A77&lt;&gt;"",B77&lt;&gt;"",C77="Sí",D77="Sí",ISNUMBER(E77),E77&gt;0,ISNUMBER(F77),F77&gt;=0,F77&lt;=E77,G77&lt;&gt;"",H77&lt;&gt;"",I77&lt;&gt;""),"VÁLIDO","INCOMPLETO"))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2" t="str">
        <x:f>IF(COUNTA(A78:I78)=0,"",IF(OR(AND(ISNUMBER(E78),E78&lt;0),AND(ISNUMBER(F78),F78&lt;0),AND(ISNUMBER(E78),ISNUMBER(F78),F78&gt;E78)),"REVISAR",IF(AND(A78&lt;&gt;"",COUNTIF($A$5:$A$124,A78)&gt;1),"REVISAR",IF(AND(A78&lt;&gt;"",B78&lt;&gt;"",C78="Sí",D78="Sí",ISNUMBER(E78),E78&gt;0,ISNUMBER(F78),F78&gt;=0,F78&lt;=E78,G78&lt;&gt;"",H78&lt;&gt;"",I78&lt;&gt;""),"VÁLIDO","INCOMPLETO"))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2" t="str">
        <x:f>IF(COUNTA(A79:I79)=0,"",IF(OR(AND(ISNUMBER(E79),E79&lt;0),AND(ISNUMBER(F79),F79&lt;0),AND(ISNUMBER(E79),ISNUMBER(F79),F79&gt;E79)),"REVISAR",IF(AND(A79&lt;&gt;"",COUNTIF($A$5:$A$124,A79)&gt;1),"REVISAR",IF(AND(A79&lt;&gt;"",B79&lt;&gt;"",C79="Sí",D79="Sí",ISNUMBER(E79),E79&gt;0,ISNUMBER(F79),F79&gt;=0,F79&lt;=E79,G79&lt;&gt;"",H79&lt;&gt;"",I79&lt;&gt;""),"VÁLIDO","INCOMPLETO"))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2" t="str">
        <x:f>IF(COUNTA(A80:I80)=0,"",IF(OR(AND(ISNUMBER(E80),E80&lt;0),AND(ISNUMBER(F80),F80&lt;0),AND(ISNUMBER(E80),ISNUMBER(F80),F80&gt;E80)),"REVISAR",IF(AND(A80&lt;&gt;"",COUNTIF($A$5:$A$124,A80)&gt;1),"REVISAR",IF(AND(A80&lt;&gt;"",B80&lt;&gt;"",C80="Sí",D80="Sí",ISNUMBER(E80),E80&gt;0,ISNUMBER(F80),F80&gt;=0,F80&lt;=E80,G80&lt;&gt;"",H80&lt;&gt;"",I80&lt;&gt;""),"VÁLIDO","INCOMPLETO"))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2" t="str">
        <x:f>IF(COUNTA(A81:I81)=0,"",IF(OR(AND(ISNUMBER(E81),E81&lt;0),AND(ISNUMBER(F81),F81&lt;0),AND(ISNUMBER(E81),ISNUMBER(F81),F81&gt;E81)),"REVISAR",IF(AND(A81&lt;&gt;"",COUNTIF($A$5:$A$124,A81)&gt;1),"REVISAR",IF(AND(A81&lt;&gt;"",B81&lt;&gt;"",C81="Sí",D81="Sí",ISNUMBER(E81),E81&gt;0,ISNUMBER(F81),F81&gt;=0,F81&lt;=E81,G81&lt;&gt;"",H81&lt;&gt;"",I81&lt;&gt;""),"VÁLIDO","INCOMPLETO"))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2" t="str">
        <x:f>IF(COUNTA(A82:I82)=0,"",IF(OR(AND(ISNUMBER(E82),E82&lt;0),AND(ISNUMBER(F82),F82&lt;0),AND(ISNUMBER(E82),ISNUMBER(F82),F82&gt;E82)),"REVISAR",IF(AND(A82&lt;&gt;"",COUNTIF($A$5:$A$124,A82)&gt;1),"REVISAR",IF(AND(A82&lt;&gt;"",B82&lt;&gt;"",C82="Sí",D82="Sí",ISNUMBER(E82),E82&gt;0,ISNUMBER(F82),F82&gt;=0,F82&lt;=E82,G82&lt;&gt;"",H82&lt;&gt;"",I82&lt;&gt;""),"VÁLIDO","INCOMPLETO"))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2" t="str">
        <x:f>IF(COUNTA(A83:I83)=0,"",IF(OR(AND(ISNUMBER(E83),E83&lt;0),AND(ISNUMBER(F83),F83&lt;0),AND(ISNUMBER(E83),ISNUMBER(F83),F83&gt;E83)),"REVISAR",IF(AND(A83&lt;&gt;"",COUNTIF($A$5:$A$124,A83)&gt;1),"REVISAR",IF(AND(A83&lt;&gt;"",B83&lt;&gt;"",C83="Sí",D83="Sí",ISNUMBER(E83),E83&gt;0,ISNUMBER(F83),F83&gt;=0,F83&lt;=E83,G83&lt;&gt;"",H83&lt;&gt;"",I83&lt;&gt;""),"VÁLIDO","INCOMPLETO"))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2" t="str">
        <x:f>IF(COUNTA(A84:I84)=0,"",IF(OR(AND(ISNUMBER(E84),E84&lt;0),AND(ISNUMBER(F84),F84&lt;0),AND(ISNUMBER(E84),ISNUMBER(F84),F84&gt;E84)),"REVISAR",IF(AND(A84&lt;&gt;"",COUNTIF($A$5:$A$124,A84)&gt;1),"REVISAR",IF(AND(A84&lt;&gt;"",B84&lt;&gt;"",C84="Sí",D84="Sí",ISNUMBER(E84),E84&gt;0,ISNUMBER(F84),F84&gt;=0,F84&lt;=E84,G84&lt;&gt;"",H84&lt;&gt;"",I84&lt;&gt;""),"VÁLIDO","INCOMPLETO"))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2" t="str">
        <x:f>IF(COUNTA(A85:I85)=0,"",IF(OR(AND(ISNUMBER(E85),E85&lt;0),AND(ISNUMBER(F85),F85&lt;0),AND(ISNUMBER(E85),ISNUMBER(F85),F85&gt;E85)),"REVISAR",IF(AND(A85&lt;&gt;"",COUNTIF($A$5:$A$124,A85)&gt;1),"REVISAR",IF(AND(A85&lt;&gt;"",B85&lt;&gt;"",C85="Sí",D85="Sí",ISNUMBER(E85),E85&gt;0,ISNUMBER(F85),F85&gt;=0,F85&lt;=E85,G85&lt;&gt;"",H85&lt;&gt;"",I85&lt;&gt;""),"VÁLIDO","INCOMPLETO"))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2" t="str">
        <x:f>IF(COUNTA(A86:I86)=0,"",IF(OR(AND(ISNUMBER(E86),E86&lt;0),AND(ISNUMBER(F86),F86&lt;0),AND(ISNUMBER(E86),ISNUMBER(F86),F86&gt;E86)),"REVISAR",IF(AND(A86&lt;&gt;"",COUNTIF($A$5:$A$124,A86)&gt;1),"REVISAR",IF(AND(A86&lt;&gt;"",B86&lt;&gt;"",C86="Sí",D86="Sí",ISNUMBER(E86),E86&gt;0,ISNUMBER(F86),F86&gt;=0,F86&lt;=E86,G86&lt;&gt;"",H86&lt;&gt;"",I86&lt;&gt;""),"VÁLIDO","INCOMPLETO"))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2" t="str">
        <x:f>IF(COUNTA(A87:I87)=0,"",IF(OR(AND(ISNUMBER(E87),E87&lt;0),AND(ISNUMBER(F87),F87&lt;0),AND(ISNUMBER(E87),ISNUMBER(F87),F87&gt;E87)),"REVISAR",IF(AND(A87&lt;&gt;"",COUNTIF($A$5:$A$124,A87)&gt;1),"REVISAR",IF(AND(A87&lt;&gt;"",B87&lt;&gt;"",C87="Sí",D87="Sí",ISNUMBER(E87),E87&gt;0,ISNUMBER(F87),F87&gt;=0,F87&lt;=E87,G87&lt;&gt;"",H87&lt;&gt;"",I87&lt;&gt;""),"VÁLIDO","INCOMPLETO"))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2" t="str">
        <x:f>IF(COUNTA(A88:I88)=0,"",IF(OR(AND(ISNUMBER(E88),E88&lt;0),AND(ISNUMBER(F88),F88&lt;0),AND(ISNUMBER(E88),ISNUMBER(F88),F88&gt;E88)),"REVISAR",IF(AND(A88&lt;&gt;"",COUNTIF($A$5:$A$124,A88)&gt;1),"REVISAR",IF(AND(A88&lt;&gt;"",B88&lt;&gt;"",C88="Sí",D88="Sí",ISNUMBER(E88),E88&gt;0,ISNUMBER(F88),F88&gt;=0,F88&lt;=E88,G88&lt;&gt;"",H88&lt;&gt;"",I88&lt;&gt;""),"VÁLIDO","INCOMPLETO"))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2" t="str">
        <x:f>IF(COUNTA(A89:I89)=0,"",IF(OR(AND(ISNUMBER(E89),E89&lt;0),AND(ISNUMBER(F89),F89&lt;0),AND(ISNUMBER(E89),ISNUMBER(F89),F89&gt;E89)),"REVISAR",IF(AND(A89&lt;&gt;"",COUNTIF($A$5:$A$124,A89)&gt;1),"REVISAR",IF(AND(A89&lt;&gt;"",B89&lt;&gt;"",C89="Sí",D89="Sí",ISNUMBER(E89),E89&gt;0,ISNUMBER(F89),F89&gt;=0,F89&lt;=E89,G89&lt;&gt;"",H89&lt;&gt;"",I89&lt;&gt;""),"VÁLIDO","INCOMPLETO"))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2" t="str">
        <x:f>IF(COUNTA(A90:I90)=0,"",IF(OR(AND(ISNUMBER(E90),E90&lt;0),AND(ISNUMBER(F90),F90&lt;0),AND(ISNUMBER(E90),ISNUMBER(F90),F90&gt;E90)),"REVISAR",IF(AND(A90&lt;&gt;"",COUNTIF($A$5:$A$124,A90)&gt;1),"REVISAR",IF(AND(A90&lt;&gt;"",B90&lt;&gt;"",C90="Sí",D90="Sí",ISNUMBER(E90),E90&gt;0,ISNUMBER(F90),F90&gt;=0,F90&lt;=E90,G90&lt;&gt;"",H90&lt;&gt;"",I90&lt;&gt;""),"VÁLIDO","INCOMPLETO"))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2" t="str">
        <x:f>IF(COUNTA(A91:I91)=0,"",IF(OR(AND(ISNUMBER(E91),E91&lt;0),AND(ISNUMBER(F91),F91&lt;0),AND(ISNUMBER(E91),ISNUMBER(F91),F91&gt;E91)),"REVISAR",IF(AND(A91&lt;&gt;"",COUNTIF($A$5:$A$124,A91)&gt;1),"REVISAR",IF(AND(A91&lt;&gt;"",B91&lt;&gt;"",C91="Sí",D91="Sí",ISNUMBER(E91),E91&gt;0,ISNUMBER(F91),F91&gt;=0,F91&lt;=E91,G91&lt;&gt;"",H91&lt;&gt;"",I91&lt;&gt;""),"VÁLIDO","INCOMPLETO"))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2" t="str">
        <x:f>IF(COUNTA(A92:I92)=0,"",IF(OR(AND(ISNUMBER(E92),E92&lt;0),AND(ISNUMBER(F92),F92&lt;0),AND(ISNUMBER(E92),ISNUMBER(F92),F92&gt;E92)),"REVISAR",IF(AND(A92&lt;&gt;"",COUNTIF($A$5:$A$124,A92)&gt;1),"REVISAR",IF(AND(A92&lt;&gt;"",B92&lt;&gt;"",C92="Sí",D92="Sí",ISNUMBER(E92),E92&gt;0,ISNUMBER(F92),F92&gt;=0,F92&lt;=E92,G92&lt;&gt;"",H92&lt;&gt;"",I92&lt;&gt;""),"VÁLIDO","INCOMPLETO"))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2" t="str">
        <x:f>IF(COUNTA(A93:I93)=0,"",IF(OR(AND(ISNUMBER(E93),E93&lt;0),AND(ISNUMBER(F93),F93&lt;0),AND(ISNUMBER(E93),ISNUMBER(F93),F93&gt;E93)),"REVISAR",IF(AND(A93&lt;&gt;"",COUNTIF($A$5:$A$124,A93)&gt;1),"REVISAR",IF(AND(A93&lt;&gt;"",B93&lt;&gt;"",C93="Sí",D93="Sí",ISNUMBER(E93),E93&gt;0,ISNUMBER(F93),F93&gt;=0,F93&lt;=E93,G93&lt;&gt;"",H93&lt;&gt;"",I93&lt;&gt;""),"VÁLIDO","INCOMPLETO"))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2" t="str">
        <x:f>IF(COUNTA(A94:I94)=0,"",IF(OR(AND(ISNUMBER(E94),E94&lt;0),AND(ISNUMBER(F94),F94&lt;0),AND(ISNUMBER(E94),ISNUMBER(F94),F94&gt;E94)),"REVISAR",IF(AND(A94&lt;&gt;"",COUNTIF($A$5:$A$124,A94)&gt;1),"REVISAR",IF(AND(A94&lt;&gt;"",B94&lt;&gt;"",C94="Sí",D94="Sí",ISNUMBER(E94),E94&gt;0,ISNUMBER(F94),F94&gt;=0,F94&lt;=E94,G94&lt;&gt;"",H94&lt;&gt;"",I94&lt;&gt;""),"VÁLIDO","INCOMPLETO"))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2" t="str">
        <x:f>IF(COUNTA(A95:I95)=0,"",IF(OR(AND(ISNUMBER(E95),E95&lt;0),AND(ISNUMBER(F95),F95&lt;0),AND(ISNUMBER(E95),ISNUMBER(F95),F95&gt;E95)),"REVISAR",IF(AND(A95&lt;&gt;"",COUNTIF($A$5:$A$124,A95)&gt;1),"REVISAR",IF(AND(A95&lt;&gt;"",B95&lt;&gt;"",C95="Sí",D95="Sí",ISNUMBER(E95),E95&gt;0,ISNUMBER(F95),F95&gt;=0,F95&lt;=E95,G95&lt;&gt;"",H95&lt;&gt;"",I95&lt;&gt;""),"VÁLIDO","INCOMPLETO"))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2" t="str">
        <x:f>IF(COUNTA(A96:I96)=0,"",IF(OR(AND(ISNUMBER(E96),E96&lt;0),AND(ISNUMBER(F96),F96&lt;0),AND(ISNUMBER(E96),ISNUMBER(F96),F96&gt;E96)),"REVISAR",IF(AND(A96&lt;&gt;"",COUNTIF($A$5:$A$124,A96)&gt;1),"REVISAR",IF(AND(A96&lt;&gt;"",B96&lt;&gt;"",C96="Sí",D96="Sí",ISNUMBER(E96),E96&gt;0,ISNUMBER(F96),F96&gt;=0,F96&lt;=E96,G96&lt;&gt;"",H96&lt;&gt;"",I96&lt;&gt;""),"VÁLIDO","INCOMPLETO"))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2" t="str">
        <x:f>IF(COUNTA(A97:I97)=0,"",IF(OR(AND(ISNUMBER(E97),E97&lt;0),AND(ISNUMBER(F97),F97&lt;0),AND(ISNUMBER(E97),ISNUMBER(F97),F97&gt;E97)),"REVISAR",IF(AND(A97&lt;&gt;"",COUNTIF($A$5:$A$124,A97)&gt;1),"REVISAR",IF(AND(A97&lt;&gt;"",B97&lt;&gt;"",C97="Sí",D97="Sí",ISNUMBER(E97),E97&gt;0,ISNUMBER(F97),F97&gt;=0,F97&lt;=E97,G97&lt;&gt;"",H97&lt;&gt;"",I97&lt;&gt;""),"VÁLIDO","INCOMPLETO"))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2" t="str">
        <x:f>IF(COUNTA(A98:I98)=0,"",IF(OR(AND(ISNUMBER(E98),E98&lt;0),AND(ISNUMBER(F98),F98&lt;0),AND(ISNUMBER(E98),ISNUMBER(F98),F98&gt;E98)),"REVISAR",IF(AND(A98&lt;&gt;"",COUNTIF($A$5:$A$124,A98)&gt;1),"REVISAR",IF(AND(A98&lt;&gt;"",B98&lt;&gt;"",C98="Sí",D98="Sí",ISNUMBER(E98),E98&gt;0,ISNUMBER(F98),F98&gt;=0,F98&lt;=E98,G98&lt;&gt;"",H98&lt;&gt;"",I98&lt;&gt;""),"VÁLIDO","INCOMPLETO"))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2" t="str">
        <x:f>IF(COUNTA(A99:I99)=0,"",IF(OR(AND(ISNUMBER(E99),E99&lt;0),AND(ISNUMBER(F99),F99&lt;0),AND(ISNUMBER(E99),ISNUMBER(F99),F99&gt;E99)),"REVISAR",IF(AND(A99&lt;&gt;"",COUNTIF($A$5:$A$124,A99)&gt;1),"REVISAR",IF(AND(A99&lt;&gt;"",B99&lt;&gt;"",C99="Sí",D99="Sí",ISNUMBER(E99),E99&gt;0,ISNUMBER(F99),F99&gt;=0,F99&lt;=E99,G99&lt;&gt;"",H99&lt;&gt;"",I99&lt;&gt;""),"VÁLIDO","INCOMPLETO"))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2" t="str">
        <x:f>IF(COUNTA(A100:I100)=0,"",IF(OR(AND(ISNUMBER(E100),E100&lt;0),AND(ISNUMBER(F100),F100&lt;0),AND(ISNUMBER(E100),ISNUMBER(F100),F100&gt;E100)),"REVISAR",IF(AND(A100&lt;&gt;"",COUNTIF($A$5:$A$124,A100)&gt;1),"REVISAR",IF(AND(A100&lt;&gt;"",B100&lt;&gt;"",C100="Sí",D100="Sí",ISNUMBER(E100),E100&gt;0,ISNUMBER(F100),F100&gt;=0,F100&lt;=E100,G100&lt;&gt;"",H100&lt;&gt;"",I100&lt;&gt;""),"VÁLIDO","INCOMPLETO"))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2" t="str">
        <x:f>IF(COUNTA(A101:I101)=0,"",IF(OR(AND(ISNUMBER(E101),E101&lt;0),AND(ISNUMBER(F101),F101&lt;0),AND(ISNUMBER(E101),ISNUMBER(F101),F101&gt;E101)),"REVISAR",IF(AND(A101&lt;&gt;"",COUNTIF($A$5:$A$124,A101)&gt;1),"REVISAR",IF(AND(A101&lt;&gt;"",B101&lt;&gt;"",C101="Sí",D101="Sí",ISNUMBER(E101),E101&gt;0,ISNUMBER(F101),F101&gt;=0,F101&lt;=E101,G101&lt;&gt;"",H101&lt;&gt;"",I101&lt;&gt;""),"VÁLIDO","INCOMPLETO"))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2" t="str">
        <x:f>IF(COUNTA(A102:I102)=0,"",IF(OR(AND(ISNUMBER(E102),E102&lt;0),AND(ISNUMBER(F102),F102&lt;0),AND(ISNUMBER(E102),ISNUMBER(F102),F102&gt;E102)),"REVISAR",IF(AND(A102&lt;&gt;"",COUNTIF($A$5:$A$124,A102)&gt;1),"REVISAR",IF(AND(A102&lt;&gt;"",B102&lt;&gt;"",C102="Sí",D102="Sí",ISNUMBER(E102),E102&gt;0,ISNUMBER(F102),F102&gt;=0,F102&lt;=E102,G102&lt;&gt;"",H102&lt;&gt;"",I102&lt;&gt;""),"VÁLIDO","INCOMPLETO"))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2" t="str">
        <x:f>IF(COUNTA(A103:I103)=0,"",IF(OR(AND(ISNUMBER(E103),E103&lt;0),AND(ISNUMBER(F103),F103&lt;0),AND(ISNUMBER(E103),ISNUMBER(F103),F103&gt;E103)),"REVISAR",IF(AND(A103&lt;&gt;"",COUNTIF($A$5:$A$124,A103)&gt;1),"REVISAR",IF(AND(A103&lt;&gt;"",B103&lt;&gt;"",C103="Sí",D103="Sí",ISNUMBER(E103),E103&gt;0,ISNUMBER(F103),F103&gt;=0,F103&lt;=E103,G103&lt;&gt;"",H103&lt;&gt;"",I103&lt;&gt;""),"VÁLIDO","INCOMPLETO"))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2" t="str">
        <x:f>IF(COUNTA(A104:I104)=0,"",IF(OR(AND(ISNUMBER(E104),E104&lt;0),AND(ISNUMBER(F104),F104&lt;0),AND(ISNUMBER(E104),ISNUMBER(F104),F104&gt;E104)),"REVISAR",IF(AND(A104&lt;&gt;"",COUNTIF($A$5:$A$124,A104)&gt;1),"REVISAR",IF(AND(A104&lt;&gt;"",B104&lt;&gt;"",C104="Sí",D104="Sí",ISNUMBER(E104),E104&gt;0,ISNUMBER(F104),F104&gt;=0,F104&lt;=E104,G104&lt;&gt;"",H104&lt;&gt;"",I104&lt;&gt;""),"VÁLIDO","INCOMPLETO"))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2" t="str">
        <x:f>IF(COUNTA(A105:I105)=0,"",IF(OR(AND(ISNUMBER(E105),E105&lt;0),AND(ISNUMBER(F105),F105&lt;0),AND(ISNUMBER(E105),ISNUMBER(F105),F105&gt;E105)),"REVISAR",IF(AND(A105&lt;&gt;"",COUNTIF($A$5:$A$124,A105)&gt;1),"REVISAR",IF(AND(A105&lt;&gt;"",B105&lt;&gt;"",C105="Sí",D105="Sí",ISNUMBER(E105),E105&gt;0,ISNUMBER(F105),F105&gt;=0,F105&lt;=E105,G105&lt;&gt;"",H105&lt;&gt;"",I105&lt;&gt;""),"VÁLIDO","INCOMPLETO"))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2" t="str">
        <x:f>IF(COUNTA(A106:I106)=0,"",IF(OR(AND(ISNUMBER(E106),E106&lt;0),AND(ISNUMBER(F106),F106&lt;0),AND(ISNUMBER(E106),ISNUMBER(F106),F106&gt;E106)),"REVISAR",IF(AND(A106&lt;&gt;"",COUNTIF($A$5:$A$124,A106)&gt;1),"REVISAR",IF(AND(A106&lt;&gt;"",B106&lt;&gt;"",C106="Sí",D106="Sí",ISNUMBER(E106),E106&gt;0,ISNUMBER(F106),F106&gt;=0,F106&lt;=E106,G106&lt;&gt;"",H106&lt;&gt;"",I106&lt;&gt;""),"VÁLIDO","INCOMPLETO"))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2" t="str">
        <x:f>IF(COUNTA(A107:I107)=0,"",IF(OR(AND(ISNUMBER(E107),E107&lt;0),AND(ISNUMBER(F107),F107&lt;0),AND(ISNUMBER(E107),ISNUMBER(F107),F107&gt;E107)),"REVISAR",IF(AND(A107&lt;&gt;"",COUNTIF($A$5:$A$124,A107)&gt;1),"REVISAR",IF(AND(A107&lt;&gt;"",B107&lt;&gt;"",C107="Sí",D107="Sí",ISNUMBER(E107),E107&gt;0,ISNUMBER(F107),F107&gt;=0,F107&lt;=E107,G107&lt;&gt;"",H107&lt;&gt;"",I107&lt;&gt;""),"VÁLIDO","INCOMPLETO"))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2" t="str">
        <x:f>IF(COUNTA(A108:I108)=0,"",IF(OR(AND(ISNUMBER(E108),E108&lt;0),AND(ISNUMBER(F108),F108&lt;0),AND(ISNUMBER(E108),ISNUMBER(F108),F108&gt;E108)),"REVISAR",IF(AND(A108&lt;&gt;"",COUNTIF($A$5:$A$124,A108)&gt;1),"REVISAR",IF(AND(A108&lt;&gt;"",B108&lt;&gt;"",C108="Sí",D108="Sí",ISNUMBER(E108),E108&gt;0,ISNUMBER(F108),F108&gt;=0,F108&lt;=E108,G108&lt;&gt;"",H108&lt;&gt;"",I108&lt;&gt;""),"VÁLIDO","INCOMPLETO"))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2" t="str">
        <x:f>IF(COUNTA(A109:I109)=0,"",IF(OR(AND(ISNUMBER(E109),E109&lt;0),AND(ISNUMBER(F109),F109&lt;0),AND(ISNUMBER(E109),ISNUMBER(F109),F109&gt;E109)),"REVISAR",IF(AND(A109&lt;&gt;"",COUNTIF($A$5:$A$124,A109)&gt;1),"REVISAR",IF(AND(A109&lt;&gt;"",B109&lt;&gt;"",C109="Sí",D109="Sí",ISNUMBER(E109),E109&gt;0,ISNUMBER(F109),F109&gt;=0,F109&lt;=E109,G109&lt;&gt;"",H109&lt;&gt;"",I109&lt;&gt;""),"VÁLIDO","INCOMPLETO"))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2" t="str">
        <x:f>IF(COUNTA(A110:I110)=0,"",IF(OR(AND(ISNUMBER(E110),E110&lt;0),AND(ISNUMBER(F110),F110&lt;0),AND(ISNUMBER(E110),ISNUMBER(F110),F110&gt;E110)),"REVISAR",IF(AND(A110&lt;&gt;"",COUNTIF($A$5:$A$124,A110)&gt;1),"REVISAR",IF(AND(A110&lt;&gt;"",B110&lt;&gt;"",C110="Sí",D110="Sí",ISNUMBER(E110),E110&gt;0,ISNUMBER(F110),F110&gt;=0,F110&lt;=E110,G110&lt;&gt;"",H110&lt;&gt;"",I110&lt;&gt;""),"VÁLIDO","INCOMPLETO"))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2" t="str">
        <x:f>IF(COUNTA(A111:I111)=0,"",IF(OR(AND(ISNUMBER(E111),E111&lt;0),AND(ISNUMBER(F111),F111&lt;0),AND(ISNUMBER(E111),ISNUMBER(F111),F111&gt;E111)),"REVISAR",IF(AND(A111&lt;&gt;"",COUNTIF($A$5:$A$124,A111)&gt;1),"REVISAR",IF(AND(A111&lt;&gt;"",B111&lt;&gt;"",C111="Sí",D111="Sí",ISNUMBER(E111),E111&gt;0,ISNUMBER(F111),F111&gt;=0,F111&lt;=E111,G111&lt;&gt;"",H111&lt;&gt;"",I111&lt;&gt;""),"VÁLIDO","INCOMPLETO"))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2" t="str">
        <x:f>IF(COUNTA(A112:I112)=0,"",IF(OR(AND(ISNUMBER(E112),E112&lt;0),AND(ISNUMBER(F112),F112&lt;0),AND(ISNUMBER(E112),ISNUMBER(F112),F112&gt;E112)),"REVISAR",IF(AND(A112&lt;&gt;"",COUNTIF($A$5:$A$124,A112)&gt;1),"REVISAR",IF(AND(A112&lt;&gt;"",B112&lt;&gt;"",C112="Sí",D112="Sí",ISNUMBER(E112),E112&gt;0,ISNUMBER(F112),F112&gt;=0,F112&lt;=E112,G112&lt;&gt;"",H112&lt;&gt;"",I112&lt;&gt;""),"VÁLIDO","INCOMPLETO"))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2" t="str">
        <x:f>IF(COUNTA(A113:I113)=0,"",IF(OR(AND(ISNUMBER(E113),E113&lt;0),AND(ISNUMBER(F113),F113&lt;0),AND(ISNUMBER(E113),ISNUMBER(F113),F113&gt;E113)),"REVISAR",IF(AND(A113&lt;&gt;"",COUNTIF($A$5:$A$124,A113)&gt;1),"REVISAR",IF(AND(A113&lt;&gt;"",B113&lt;&gt;"",C113="Sí",D113="Sí",ISNUMBER(E113),E113&gt;0,ISNUMBER(F113),F113&gt;=0,F113&lt;=E113,G113&lt;&gt;"",H113&lt;&gt;"",I113&lt;&gt;""),"VÁLIDO","INCOMPLETO"))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2" t="str">
        <x:f>IF(COUNTA(A114:I114)=0,"",IF(OR(AND(ISNUMBER(E114),E114&lt;0),AND(ISNUMBER(F114),F114&lt;0),AND(ISNUMBER(E114),ISNUMBER(F114),F114&gt;E114)),"REVISAR",IF(AND(A114&lt;&gt;"",COUNTIF($A$5:$A$124,A114)&gt;1),"REVISAR",IF(AND(A114&lt;&gt;"",B114&lt;&gt;"",C114="Sí",D114="Sí",ISNUMBER(E114),E114&gt;0,ISNUMBER(F114),F114&gt;=0,F114&lt;=E114,G114&lt;&gt;"",H114&lt;&gt;"",I114&lt;&gt;""),"VÁLIDO","INCOMPLETO"))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2" t="str">
        <x:f>IF(COUNTA(A115:I115)=0,"",IF(OR(AND(ISNUMBER(E115),E115&lt;0),AND(ISNUMBER(F115),F115&lt;0),AND(ISNUMBER(E115),ISNUMBER(F115),F115&gt;E115)),"REVISAR",IF(AND(A115&lt;&gt;"",COUNTIF($A$5:$A$124,A115)&gt;1),"REVISAR",IF(AND(A115&lt;&gt;"",B115&lt;&gt;"",C115="Sí",D115="Sí",ISNUMBER(E115),E115&gt;0,ISNUMBER(F115),F115&gt;=0,F115&lt;=E115,G115&lt;&gt;"",H115&lt;&gt;"",I115&lt;&gt;""),"VÁLIDO","INCOMPLETO"))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2" t="str">
        <x:f>IF(COUNTA(A116:I116)=0,"",IF(OR(AND(ISNUMBER(E116),E116&lt;0),AND(ISNUMBER(F116),F116&lt;0),AND(ISNUMBER(E116),ISNUMBER(F116),F116&gt;E116)),"REVISAR",IF(AND(A116&lt;&gt;"",COUNTIF($A$5:$A$124,A116)&gt;1),"REVISAR",IF(AND(A116&lt;&gt;"",B116&lt;&gt;"",C116="Sí",D116="Sí",ISNUMBER(E116),E116&gt;0,ISNUMBER(F116),F116&gt;=0,F116&lt;=E116,G116&lt;&gt;"",H116&lt;&gt;"",I116&lt;&gt;""),"VÁLIDO","INCOMPLETO"))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2" t="str">
        <x:f>IF(COUNTA(A117:I117)=0,"",IF(OR(AND(ISNUMBER(E117),E117&lt;0),AND(ISNUMBER(F117),F117&lt;0),AND(ISNUMBER(E117),ISNUMBER(F117),F117&gt;E117)),"REVISAR",IF(AND(A117&lt;&gt;"",COUNTIF($A$5:$A$124,A117)&gt;1),"REVISAR",IF(AND(A117&lt;&gt;"",B117&lt;&gt;"",C117="Sí",D117="Sí",ISNUMBER(E117),E117&gt;0,ISNUMBER(F117),F117&gt;=0,F117&lt;=E117,G117&lt;&gt;"",H117&lt;&gt;"",I117&lt;&gt;""),"VÁLIDO","INCOMPLETO"))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2" t="str">
        <x:f>IF(COUNTA(A118:I118)=0,"",IF(OR(AND(ISNUMBER(E118),E118&lt;0),AND(ISNUMBER(F118),F118&lt;0),AND(ISNUMBER(E118),ISNUMBER(F118),F118&gt;E118)),"REVISAR",IF(AND(A118&lt;&gt;"",COUNTIF($A$5:$A$124,A118)&gt;1),"REVISAR",IF(AND(A118&lt;&gt;"",B118&lt;&gt;"",C118="Sí",D118="Sí",ISNUMBER(E118),E118&gt;0,ISNUMBER(F118),F118&gt;=0,F118&lt;=E118,G118&lt;&gt;"",H118&lt;&gt;"",I118&lt;&gt;""),"VÁLIDO","INCOMPLETO"))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2" t="str">
        <x:f>IF(COUNTA(A119:I119)=0,"",IF(OR(AND(ISNUMBER(E119),E119&lt;0),AND(ISNUMBER(F119),F119&lt;0),AND(ISNUMBER(E119),ISNUMBER(F119),F119&gt;E119)),"REVISAR",IF(AND(A119&lt;&gt;"",COUNTIF($A$5:$A$124,A119)&gt;1),"REVISAR",IF(AND(A119&lt;&gt;"",B119&lt;&gt;"",C119="Sí",D119="Sí",ISNUMBER(E119),E119&gt;0,ISNUMBER(F119),F119&gt;=0,F119&lt;=E119,G119&lt;&gt;"",H119&lt;&gt;"",I119&lt;&gt;""),"VÁLIDO","INCOMPLETO"))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2" t="str">
        <x:f>IF(COUNTA(A120:I120)=0,"",IF(OR(AND(ISNUMBER(E120),E120&lt;0),AND(ISNUMBER(F120),F120&lt;0),AND(ISNUMBER(E120),ISNUMBER(F120),F120&gt;E120)),"REVISAR",IF(AND(A120&lt;&gt;"",COUNTIF($A$5:$A$124,A120)&gt;1),"REVISAR",IF(AND(A120&lt;&gt;"",B120&lt;&gt;"",C120="Sí",D120="Sí",ISNUMBER(E120),E120&gt;0,ISNUMBER(F120),F120&gt;=0,F120&lt;=E120,G120&lt;&gt;"",H120&lt;&gt;"",I120&lt;&gt;""),"VÁLIDO","INCOMPLETO"))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2" t="str">
        <x:f>IF(COUNTA(A121:I121)=0,"",IF(OR(AND(ISNUMBER(E121),E121&lt;0),AND(ISNUMBER(F121),F121&lt;0),AND(ISNUMBER(E121),ISNUMBER(F121),F121&gt;E121)),"REVISAR",IF(AND(A121&lt;&gt;"",COUNTIF($A$5:$A$124,A121)&gt;1),"REVISAR",IF(AND(A121&lt;&gt;"",B121&lt;&gt;"",C121="Sí",D121="Sí",ISNUMBER(E121),E121&gt;0,ISNUMBER(F121),F121&gt;=0,F121&lt;=E121,G121&lt;&gt;"",H121&lt;&gt;"",I121&lt;&gt;""),"VÁLIDO","INCOMPLETO"))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2" t="str">
        <x:f>IF(COUNTA(A122:I122)=0,"",IF(OR(AND(ISNUMBER(E122),E122&lt;0),AND(ISNUMBER(F122),F122&lt;0),AND(ISNUMBER(E122),ISNUMBER(F122),F122&gt;E122)),"REVISAR",IF(AND(A122&lt;&gt;"",COUNTIF($A$5:$A$124,A122)&gt;1),"REVISAR",IF(AND(A122&lt;&gt;"",B122&lt;&gt;"",C122="Sí",D122="Sí",ISNUMBER(E122),E122&gt;0,ISNUMBER(F122),F122&gt;=0,F122&lt;=E122,G122&lt;&gt;"",H122&lt;&gt;"",I122&lt;&gt;""),"VÁLIDO","INCOMPLETO"))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2" t="str">
        <x:f>IF(COUNTA(A123:I123)=0,"",IF(OR(AND(ISNUMBER(E123),E123&lt;0),AND(ISNUMBER(F123),F123&lt;0),AND(ISNUMBER(E123),ISNUMBER(F123),F123&gt;E123)),"REVISAR",IF(AND(A123&lt;&gt;"",COUNTIF($A$5:$A$124,A123)&gt;1),"REVISAR",IF(AND(A123&lt;&gt;"",B123&lt;&gt;"",C123="Sí",D123="Sí",ISNUMBER(E123),E123&gt;0,ISNUMBER(F123),F123&gt;=0,F123&lt;=E123,G123&lt;&gt;"",H123&lt;&gt;"",I123&lt;&gt;""),"VÁLIDO","INCOMPLETO"))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2" t="str">
        <x:f>IF(COUNTA(A124:I124)=0,"",IF(OR(AND(ISNUMBER(E124),E124&lt;0),AND(ISNUMBER(F124),F124&lt;0),AND(ISNUMBER(E124),ISNUMBER(F124),F124&gt;E124)),"REVISAR",IF(AND(A124&lt;&gt;"",COUNTIF($A$5:$A$124,A124)&gt;1),"REVISAR",IF(AND(A124&lt;&gt;"",B124&lt;&gt;"",C124="Sí",D124="Sí",ISNUMBER(E124),E124&gt;0,ISNUMBER(F124),F124&gt;=0,F124&lt;=E124,G124&lt;&gt;"",H124&lt;&gt;"",I124&lt;&gt;""),"VÁLIDO","INCOMPLETO"))))</x:f>
      </x:c>
    </x:row>
  </x:sheetData>
  <x:mergeCells>
    <x:mergeCell ref="A1:J1"/>
    <x:mergeCell ref="A2:J2"/>
  </x:mergeCells>
  <x:conditionalFormatting sqref="J5:J124">
    <x:cfRule type="expression" dxfId="5" priority="1">
      <x:formula>J5="REVISAR"</x:formula>
    </x:cfRule>
  </x:conditionalFormatting>
  <x:dataValidations count="3">
    <x:dataValidation type="list" sqref="C5:D124">
      <x:formula1>"Sí,No,Pendiente"</x:formula1>
    </x:dataValidation>
    <x:dataValidation type="whole" sqref="E5:F124">
      <x:formula1>0</x:formula1>
    </x:dataValidation>
    <x:dataValidation type="list" sqref="B5:B124">
      <x:formula1>"ENT-001,ENT-002,ENT-003,ENT-004,ENT-005,ENT-006,ENT-007,ENT-008,ENT-009,ENT-010,ENT-011,ENT-012,ENT-013,ENT-014,ENT-015,ENT-016,ENT-017,ENT-018,ENT-019"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6ca63e82d84c74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67" hidden="0" customWidth="1"/>
    <x:col min="4" max="4" width="70" hidden="0" customWidth="1"/>
    <x:col min="5" max="5" width="38" hidden="0" customWidth="1"/>
    <x:col min="6" max="6" width="90" hidden="0" customWidth="1"/>
    <x:col min="7" max="7" width="75" hidden="0" customWidth="1"/>
  </x:cols>
  <x:sheetData>
    <x:row r="1" ht="35" customHeight="1">
      <x:c r="A1" s="3" t="str">
        <x:v>FUENTES DOCUMENTALES Y TÉCNICAS</x:v>
      </x:c>
      <x:c r="B1" s="3"/>
      <x:c r="C1" s="3"/>
      <x:c r="D1" s="3"/>
      <x:c r="E1" s="3"/>
      <x:c r="F1" s="3"/>
      <x:c r="G1" s="3"/>
    </x:row>
    <x:row r="2" ht="29" customHeight="1">
      <x:c r="A2" s="7" t="str">
        <x:v>Versiones y rutas citadas; fuentes no constituyen resultados de ensayo.</x:v>
      </x:c>
      <x:c r="B2" s="7"/>
      <x:c r="C2" s="7"/>
      <x:c r="D2" s="7"/>
      <x:c r="E2" s="7"/>
      <x:c r="F2" s="7"/>
      <x:c r="G2" s="7"/>
    </x:row>
    <x:row r="4" ht="31" customHeight="1">
      <x:c r="A4" s="13" t="str">
        <x:v>Código</x:v>
      </x:c>
      <x:c r="B4" s="13" t="str">
        <x:v>Tipo</x:v>
      </x:c>
      <x:c r="C4" s="13" t="str">
        <x:v>Archivo / ruta</x:v>
      </x:c>
      <x:c r="D4" s="13" t="str">
        <x:v>Sección / uso</x:v>
      </x:c>
      <x:c r="E4" s="13" t="str">
        <x:v>Versión / fecha</x:v>
      </x:c>
      <x:c r="F4" s="13" t="str">
        <x:v>URL o ubicación</x:v>
      </x:c>
      <x:c r="G4" s="13" t="str">
        <x:v>Limitación / observaciones</x:v>
      </x:c>
    </x:row>
    <x:row r="5" ht="22" customHeight="1">
      <x:c r="A5" t="str">
        <x:v>S-01</x:v>
      </x:c>
      <x:c r="B5" t="str">
        <x:v>Documento</x:v>
      </x:c>
      <x:c r="C5" t="str">
        <x:v>03_Plan_Verificacion_Criterios_Aceptacion_ICARO.xlsx</x:v>
      </x:c>
      <x:c r="D5" t="str">
        <x:v>PLAN_CRITERIOS (PV-01 a PV-09); DISCREPANCIAS (D-01 a D-08)</x:v>
      </x:c>
      <x:c r="E5" t="str">
        <x:v>Versión adjunta</x:v>
      </x:c>
      <x:c r="F5" t="str">
        <x:v>Archivo de proyecto</x:v>
      </x:c>
      <x:c r="G5" t="str">
        <x:v>No confundir referencia y resultado.</x:v>
      </x:c>
    </x:row>
    <x:row r="6" ht="22" customHeight="1">
      <x:c r="A6" t="str">
        <x:v>S-02</x:v>
      </x:c>
      <x:c r="B6" t="str">
        <x:v>Manual</x:v>
      </x:c>
      <x:c r="C6" t="str">
        <x:v>Manual_Llenado_Plan_Verificacion_ICARO.docx</x:v>
      </x:c>
      <x:c r="D6" t="str">
        <x:v>Significado de PV-01 a PV-09</x:v>
      </x:c>
      <x:c r="E6" t="str">
        <x:v>Versión adjunta</x:v>
      </x:c>
      <x:c r="F6" t="str">
        <x:v>Archivo de proyecto</x:v>
      </x:c>
      <x:c r="G6" t="str">
        <x:v>Manual de criterios, no mediciones.</x:v>
      </x:c>
    </x:row>
    <x:row r="7" ht="22" customHeight="1">
      <x:c r="A7" t="str">
        <x:v>S-03</x:v>
      </x:c>
      <x:c r="B7" t="str">
        <x:v>Manual</x:v>
      </x:c>
      <x:c r="C7" t="str">
        <x:v>Manual_Llenado_Matriz_Operacionalizacion_ICARO.docx</x:v>
      </x:c>
      <x:c r="D7" t="str">
        <x:v>OP-01 a OP-11; SUS, operaciones y disponibilidad</x:v>
      </x:c>
      <x:c r="E7" t="str">
        <x:v>Versión adjunta</x:v>
      </x:c>
      <x:c r="F7" t="str">
        <x:v>Archivo de proyecto</x:v>
      </x:c>
      <x:c r="G7" t="str">
        <x:v>Archivo 02 original no adjunto localmente.</x:v>
      </x:c>
    </x:row>
    <x:row r="8" ht="22" customHeight="1">
      <x:c r="A8" t="str">
        <x:v>S-04</x:v>
      </x:c>
      <x:c r="B8" t="str">
        <x:v>Excel</x:v>
      </x:c>
      <x:c r="C8" t="str">
        <x:v>D-34-01_Matriz_Poblacion_Muestra_ICARO_CORREGIDA.xlsx</x:v>
      </x:c>
      <x:c r="D8" t="str">
        <x:v>UA-01 a UA-08; tamaño previsto y efectivo</x:v>
      </x:c>
      <x:c r="E8" t="str">
        <x:v>CORREGIDA</x:v>
      </x:c>
      <x:c r="F8" t="str">
        <x:v>Archivo de proyecto</x:v>
      </x:c>
      <x:c r="G8" t="str">
        <x:v>10 sujetos es censo propuesto, no evidencia de participación.</x:v>
      </x:c>
    </x:row>
    <x:row r="9" ht="22" customHeight="1">
      <x:c r="A9" t="str">
        <x:v>S-05</x:v>
      </x:c>
      <x:c r="B9" t="str">
        <x:v>Excel</x:v>
      </x:c>
      <x:c r="C9" t="str">
        <x:v>D-34-02_Registro_Participantes_SUS_ICARO_CORREGIDA.xlsx</x:v>
      </x:c>
      <x:c r="D9" t="str">
        <x:v>Participantes, catálogo T-US, captura SUS</x:v>
      </x:c>
      <x:c r="E9" t="str">
        <x:v>CORREGIDA</x:v>
      </x:c>
      <x:c r="F9" t="str">
        <x:v>Archivo de proyecto</x:v>
      </x:c>
      <x:c r="G9" t="str">
        <x:v>No transferir reservas P01-P10 como evaluados.</x:v>
      </x:c>
    </x:row>
    <x:row r="10" ht="22" customHeight="1">
      <x:c r="A10" t="str">
        <x:v>S-06</x:v>
      </x:c>
      <x:c r="B10" t="str">
        <x:v>Excel</x:v>
      </x:c>
      <x:c r="C10" t="str">
        <x:v>D-34-03_Plan_Escenarios_Repeticiones_ICARO_CORREGIDA.xlsx</x:v>
      </x:c>
      <x:c r="D10" t="str">
        <x:v>ET-01 a ET-06, k6, repeticiones y ventanas</x:v>
      </x:c>
      <x:c r="E10" t="str">
        <x:v>CORREGIDA</x:v>
      </x:c>
      <x:c r="F10" t="str">
        <x:v>Archivo de proyecto</x:v>
      </x:c>
      <x:c r="G10" t="str">
        <x:v>20 VU no son 20 solicitudes ni personas.</x:v>
      </x:c>
    </x:row>
    <x:row r="11" ht="22" customHeight="1">
      <x:c r="A11" t="str">
        <x:v>S-07</x:v>
      </x:c>
      <x:c r="B11" t="str">
        <x:v>Excel</x:v>
      </x:c>
      <x:c r="C11" t="str">
        <x:v>D-34-04_Inventario_Elementos_Evaluables_ICARO_CORREGIDA.xlsx</x:v>
      </x:c>
      <x:c r="D11" t="str">
        <x:v>MOD, FOR-001 a FOR-010; ENT-001 a ENT-019</x:v>
      </x:c>
      <x:c r="E11" t="str">
        <x:v>CORREGIDA</x:v>
      </x:c>
      <x:c r="F11" t="str">
        <x:v>Archivo de proyecto</x:v>
      </x:c>
      <x:c r="G11" t="str">
        <x:v>Elementos preliminares; no conformidad verificada.</x:v>
      </x:c>
    </x:row>
    <x:row r="12" ht="22" customHeight="1">
      <x:c r="A12" t="str">
        <x:v>S-08</x:v>
      </x:c>
      <x:c r="B12" t="str">
        <x:v>Excel</x:v>
      </x:c>
      <x:c r="C12" t="str">
        <x:v>D-36-01_Ficha_Ambiente_Pruebas_ICARO.xlsx</x:v>
      </x:c>
      <x:c r="D12" t="str">
        <x:v>Ambiente y versiones por observar</x:v>
      </x:c>
      <x:c r="E12" t="str">
        <x:v>Adjunto</x:v>
      </x:c>
      <x:c r="F12" t="str">
        <x:v>Archivo de proyecto</x:v>
      </x:c>
      <x:c r="G12" t="str">
        <x:v>Las versiones declaradas no son condiciones medidas.</x:v>
      </x:c>
    </x:row>
    <x:row r="13" ht="22" customHeight="1">
      <x:c r="A13" t="str">
        <x:v>S-09</x:v>
      </x:c>
      <x:c r="B13" t="str">
        <x:v>Excel</x:v>
      </x:c>
      <x:c r="C13" t="str">
        <x:v>D-36-02_Matriz_Normas_Estandares_ICARO.xlsx</x:v>
      </x:c>
      <x:c r="D13" t="str">
        <x:v>ISO/IEC 25010:2023; 25023:2016; 25040:2024; 25019</x:v>
      </x:c>
      <x:c r="E13" t="str">
        <x:v>Adjunto</x:v>
      </x:c>
      <x:c r="F13" t="str">
        <x:v>Archivo de proyecto</x:v>
      </x:c>
      <x:c r="G13" t="str">
        <x:v>No constituye certificación ni aplicación.</x:v>
      </x:c>
    </x:row>
    <x:row r="14" ht="22" customHeight="1">
      <x:c r="A14" t="str">
        <x:v>S-10</x:v>
      </x:c>
      <x:c r="B14" t="str">
        <x:v>Documento</x:v>
      </x:c>
      <x:c r="C14" t="str">
        <x:v>plantilla_formato_ieee830 - V3.docx</x:v>
      </x:c>
      <x:c r="D14" t="str">
        <x:v>Especificación de requisitos de software</x:v>
      </x:c>
      <x:c r="E14" t="str">
        <x:v>Revisión 1</x:v>
      </x:c>
      <x:c r="F14" t="str">
        <x:v>Archivo de proyecto</x:v>
      </x:c>
      <x:c r="G14" t="str">
        <x:v>Requisitos necesitan contraste con criterios PV.</x:v>
      </x:c>
    </x:row>
    <x:row r="15" ht="22" customHeight="1">
      <x:c r="A15" t="str">
        <x:v>S-11</x:v>
      </x:c>
      <x:c r="B15" t="str">
        <x:v>Documento</x:v>
      </x:c>
      <x:c r="C15" t="str">
        <x:v>Arquitectura_Sistema_ICARO_v2.docx</x:v>
      </x:c>
      <x:c r="D15" t="str">
        <x:v>Estilo, tecnologías y endpoints</x:v>
      </x:c>
      <x:c r="E15" t="str">
        <x:v>v2 / 2026-04-25</x:v>
      </x:c>
      <x:c r="F15" t="str">
        <x:v>Archivo de proyecto</x:v>
      </x:c>
      <x:c r="G15" t="str">
        <x:v>Documento de diseño no es evidencia de funcionamiento.</x:v>
      </x:c>
    </x:row>
    <x:row r="16" ht="22" customHeight="1">
      <x:c r="A16" t="str">
        <x:v>S-12</x:v>
      </x:c>
      <x:c r="B16" t="str">
        <x:v>Documento</x:v>
      </x:c>
      <x:c r="C16" t="str">
        <x:v>Informe_Ejecucion_Plan_Pruebas_Verificacion_Validacion_Integracion_ICARO_v3.docx</x:v>
      </x:c>
      <x:c r="D16" t="str">
        <x:v>Constatación estructural y evidencias pendientes</x:v>
      </x:c>
      <x:c r="E16" t="str">
        <x:v>v3 adjunta</x:v>
      </x:c>
      <x:c r="F16" t="str">
        <x:v>Archivo de proyecto</x:v>
      </x:c>
      <x:c r="G16" t="str">
        <x:v>Inspección de prototipo distinta de ensayo de calidad.</x:v>
      </x:c>
    </x:row>
    <x:row r="17" ht="22" customHeight="1">
      <x:c r="A17" t="str">
        <x:v>GH-00</x:v>
      </x:c>
      <x:c r="B17" t="str">
        <x:v>Repositorio</x:v>
      </x:c>
      <x:c r="C17" t="str">
        <x:v>main</x:v>
      </x:c>
      <x:c r="D17" t="str">
        <x:v>Commit verificado</x:v>
      </x:c>
      <x:c r="E17" t="str">
        <x:v>b74af8e9f656b59bf68924daa02f5e22ca2c49ff</x:v>
      </x:c>
      <x:c r="F17" t="str">
        <x:v>https://github.com/SebastianCM020/Sistema_Gestion_Integral_Constructora/commit/b74af8e9f656b59bf68924daa02f5e22ca2c49ff</x:v>
      </x:c>
      <x:c r="G17" t="str">
        <x:v>GitHub consultado; sin cambios.</x:v>
      </x:c>
    </x:row>
    <x:row r="18" ht="22" customHeight="1">
      <x:c r="A18" t="str">
        <x:v>GH-01</x:v>
      </x:c>
      <x:c r="B18" t="str">
        <x:v>Código</x:v>
      </x:c>
      <x:c r="C18" t="str">
        <x:v>backend/tests/load_test.js</x:v>
      </x:c>
      <x:c r="D18" t="str">
        <x:v>Escenarios k6, 20 VU, P95 &lt; 2000</x:v>
      </x:c>
      <x:c r="E18" t="str">
        <x:v>main b74af8e</x:v>
      </x:c>
      <x:c r="F18" t="str">
        <x:v>https://github.com/SebastianCM020/Sistema_Gestion_Integral_Constructora/blob/main/backend/tests/load_test.js</x:v>
      </x:c>
      <x:c r="G18" t="str">
        <x:v>Script no demuestra ejecución.</x:v>
      </x:c>
    </x:row>
    <x:row r="19" ht="22" customHeight="1">
      <x:c r="A19" t="str">
        <x:v>GH-02</x:v>
      </x:c>
      <x:c r="B19" t="str">
        <x:v>Código</x:v>
      </x:c>
      <x:c r="C19" t="str">
        <x:v>backend/tests/security.test.js</x:v>
      </x:c>
      <x:c r="D19" t="str">
        <x:v>Casos de seguridad, HTTP esperados 401/403</x:v>
      </x:c>
      <x:c r="E19" t="str">
        <x:v>main b74af8e</x:v>
      </x:c>
      <x:c r="F19" t="str">
        <x:v>https://github.com/SebastianCM020/Sistema_Gestion_Integral_Constructora/blob/main/backend/tests/security.test.js</x:v>
      </x:c>
      <x:c r="G19" t="str">
        <x:v>Aceptación de 500 en algunos casos no acredita funcionalidad.</x:v>
      </x:c>
    </x:row>
    <x:row r="20" ht="22" customHeight="1">
      <x:c r="A20" t="str">
        <x:v>GH-03</x:v>
      </x:c>
      <x:c r="B20" t="str">
        <x:v>Código</x:v>
      </x:c>
      <x:c r="C20" t="str">
        <x:v>backend/tests/sprint11_seguridad_calidad.test.js</x:v>
      </x:c>
      <x:c r="D20" t="str">
        <x:v>Seguridad JWT, RBAC, validación y auditoría</x:v>
      </x:c>
      <x:c r="E20" t="str">
        <x:v>main b74af8e</x:v>
      </x:c>
      <x:c r="F20" t="str">
        <x:v>https://github.com/SebastianCM020/Sistema_Gestion_Integral_Constructora/blob/main/backend/tests/sprint11_seguridad_calidad.test.js</x:v>
      </x:c>
      <x:c r="G20" t="str">
        <x:v>Sin logs verificados.</x:v>
      </x:c>
    </x:row>
    <x:row r="21" ht="22" customHeight="1">
      <x:c r="A21" t="str">
        <x:v>GH-04</x:v>
      </x:c>
      <x:c r="B21" t="str">
        <x:v>Código</x:v>
      </x:c>
      <x:c r="C21" t="str">
        <x:v>backend/tests/sprint10_cierre_contable.test.js</x:v>
      </x:c>
      <x:c r="D21" t="str">
        <x:v>Cierre y consolidación; casos simulados</x:v>
      </x:c>
      <x:c r="E21" t="str">
        <x:v>main b74af8e</x:v>
      </x:c>
      <x:c r="F21" t="str">
        <x:v>https://github.com/SebastianCM020/Sistema_Gestion_Integral_Constructora/blob/main/backend/tests/sprint10_cierre_contable.test.js</x:v>
      </x:c>
      <x:c r="G21" t="str">
        <x:v>Sin logs verificados.</x:v>
      </x:c>
    </x:row>
    <x:row r="22" ht="22" customHeight="1">
      <x:c r="A22" t="str">
        <x:v>GH-05</x:v>
      </x:c>
      <x:c r="B22" t="str">
        <x:v>Código</x:v>
      </x:c>
      <x:c r="C22" t="str">
        <x:v>backend/tests/sprint9_consumo_inventario.test.js</x:v>
      </x:c>
      <x:c r="D22" t="str">
        <x:v>Consumo, stock y sincronización offline</x:v>
      </x:c>
      <x:c r="E22" t="str">
        <x:v>main b74af8e</x:v>
      </x:c>
      <x:c r="F22" t="str">
        <x:v>https://github.com/SebastianCM020/Sistema_Gestion_Integral_Constructora/blob/main/backend/tests/sprint9_consumo_inventario.test.js</x:v>
      </x:c>
      <x:c r="G22" t="str">
        <x:v>Casos simulados no prueban persistencia.</x:v>
      </x:c>
    </x:row>
    <x:row r="23" ht="22" customHeight="1">
      <x:c r="A23" t="str">
        <x:v>GH-06</x:v>
      </x:c>
      <x:c r="B23" t="str">
        <x:v>Código</x:v>
      </x:c>
      <x:c r="C23" t="str">
        <x:v>backend/prisma/schema.prisma</x:v>
      </x:c>
      <x:c r="D23" t="str">
        <x:v>Tablas y modelos; unicidad técnica</x:v>
      </x:c>
      <x:c r="E23" t="str">
        <x:v>main b74af8e</x:v>
      </x:c>
      <x:c r="F23" t="str">
        <x:v>https://github.com/SebastianCM020/Sistema_Gestion_Integral_Constructora/blob/main/backend/prisma/schema.prisma</x:v>
      </x:c>
      <x:c r="G23" t="str">
        <x:v>Clave primaria no equivale a clave de negocio.</x:v>
      </x:c>
    </x:row>
    <x:row r="24" ht="22" customHeight="1">
      <x:c r="A24" t="str">
        <x:v>GH-07</x:v>
      </x:c>
      <x:c r="B24" t="str">
        <x:v>Código</x:v>
      </x:c>
      <x:c r="C24" t="str">
        <x:v>backend/src/server.js</x:v>
      </x:c>
      <x:c r="D24" t="str">
        <x:v>Rutas montadas y API /health</x:v>
      </x:c>
      <x:c r="E24" t="str">
        <x:v>main b74af8e</x:v>
      </x:c>
      <x:c r="F24" t="str">
        <x:v>https://github.com/SebastianCM020/Sistema_Gestion_Integral_Constructora/blob/main/backend/src/server.js</x:v>
      </x:c>
      <x:c r="G24" t="str">
        <x:v>Ruta en código no acredita disponibilidad observada.</x:v>
      </x:c>
    </x:row>
    <x:row r="25" ht="22" customHeight="1">
      <x:c r="A25" t="str">
        <x:v>GH-08</x:v>
      </x:c>
      <x:c r="B25" t="str">
        <x:v>Código</x:v>
      </x:c>
      <x:c r="C25" t="str">
        <x:v>backend/package.json</x:v>
      </x:c>
      <x:c r="D25" t="str">
        <x:v>Jest/Supertest/Prisma; scripts npm</x:v>
      </x:c>
      <x:c r="E25" t="str">
        <x:v>main b74af8e</x:v>
      </x:c>
      <x:c r="F25" t="str">
        <x:v>https://github.com/SebastianCM020/Sistema_Gestion_Integral_Constructora/blob/main/backend/package.json</x:v>
      </x:c>
      <x:c r="G25" t="str">
        <x:v>Dependencias declaradas, no ensayos.</x:v>
      </x:c>
    </x:row>
    <x:row r="26" ht="22" customHeight="1">
      <x:c r="A26" t="str">
        <x:v>GH-09</x:v>
      </x:c>
      <x:c r="B26" t="str">
        <x:v>Guía</x:v>
      </x:c>
      <x:c r="C26" t="str">
        <x:v>docs/sprint11_calidad_seguridad.md</x:v>
      </x:c>
      <x:c r="D26" t="str">
        <x:v>Checklist de SUS y carga</x:v>
      </x:c>
      <x:c r="E26" t="str">
        <x:v>main b74af8e</x:v>
      </x:c>
      <x:c r="F26" t="str">
        <x:v>https://github.com/SebastianCM020/Sistema_Gestion_Integral_Constructora/blob/main/docs/sprint11_calidad_seguridad.md</x:v>
      </x:c>
      <x:c r="G26" t="str">
        <x:v>SUS ≥75 consignado, aplicación pendiente.</x:v>
      </x:c>
    </x:row>
    <x:row r="27" ht="22" customHeight="1">
      <x:c r="A27" t="str">
        <x:v>S-13</x:v>
      </x:c>
      <x:c r="B27" t="str">
        <x:v>Pendiente</x:v>
      </x:c>
      <x:c r="C27" t="str">
        <x:v>D-37-01_Plan_Analisis_Estadistico_ICARO</x:v>
      </x:c>
      <x:c r="D27" t="str">
        <x:v>Plan de análisis por localizar/confirmar</x:v>
      </x:c>
      <x:c r="E27" t="str"/>
      <x:c r="F27" t="str"/>
      <x:c r="G27" t="str">
        <x:v>No localizado entre los adjuntos o árbol main (2026-10-15).</x:v>
      </x:c>
    </x:row>
    <x:row r="28" ht="22" customHeight="1"/>
    <x:row r="29" ht="22" customHeight="1"/>
    <x:row r="30" ht="22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2c8f02165334518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3" hidden="0" customWidth="1"/>
    <x:col min="3" max="3" width="91" hidden="0" customWidth="1"/>
    <x:col min="4" max="4" width="87" hidden="0" customWidth="1"/>
  </x:cols>
  <x:sheetData>
    <x:row r="1" ht="35" customHeight="1">
      <x:c r="A1" s="3" t="str">
        <x:v>GUÍA RÁPIDA DE LLENADO</x:v>
      </x:c>
      <x:c r="B1" s="3"/>
      <x:c r="C1" s="3"/>
      <x:c r="D1" s="3"/>
    </x:row>
    <x:row r="2" ht="29" customHeight="1">
      <x:c r="A2" s="7" t="str">
        <x:v>La matriz procesa mediciones futuras; no sustituye la toma de datos ni su validación.</x:v>
      </x:c>
      <x:c r="B2" s="7"/>
      <x:c r="C2" s="7"/>
      <x:c r="D2" s="7"/>
    </x:row>
    <x:row r="4" ht="31" customHeight="1">
      <x:c r="A4" s="13" t="str">
        <x:v>Paso</x:v>
      </x:c>
      <x:c r="B4" s="13" t="str">
        <x:v>Hoja(s)</x:v>
      </x:c>
      <x:c r="C4" s="13" t="str">
        <x:v>Acción del usuario</x:v>
      </x:c>
      <x:c r="D4" s="13" t="str">
        <x:v>Comprobación / precaución</x:v>
      </x:c>
    </x:row>
    <x:row r="5" ht="22" customHeight="1">
      <x:c r="A5" t="str">
        <x:v>01</x:v>
      </x:c>
      <x:c r="B5" t="str">
        <x:v>01_CONTROL; 19_FUENTES</x:v>
      </x:c>
      <x:c r="C5" t="str">
        <x:v>Verificar fecha, última versión, commit main, fuentes y sus limitaciones.</x:v>
      </x:c>
      <x:c r="D5" t="str">
        <x:v>No inferir que un script existente fue ejecutado.</x:v>
      </x:c>
    </x:row>
    <x:row r="6" ht="22" customHeight="1">
      <x:c r="A6" t="str">
        <x:v>02</x:v>
      </x:c>
      <x:c r="B6" t="str">
        <x:v>02_PARAMETROS</x:v>
      </x:c>
      <x:c r="C6" t="str">
        <x:v>Revisar cada OP, sus unidades, denominadores, umbrales y comparador.</x:v>
      </x:c>
      <x:c r="D6" t="str">
        <x:v>Resolver OP-03, OP-06, OP-07 antes de emitir dictámenes.</x:v>
      </x:c>
    </x:row>
    <x:row r="7" ht="22" customHeight="1">
      <x:c r="A7" t="str">
        <x:v>03</x:v>
      </x:c>
      <x:c r="B7" t="str">
        <x:v>12_PENDIENTES_PARA_COMPLETAR</x:v>
      </x:c>
      <x:c r="C7" t="str">
        <x:v>Registrar decisiones documentadas, responsable, fecha y evidencia de cierre.</x:v>
      </x:c>
      <x:c r="D7" t="str">
        <x:v>No cambiar a Resuelto sin acta o referencia comprobable.</x:v>
      </x:c>
    </x:row>
    <x:row r="8" ht="22" customHeight="1">
      <x:c r="A8" t="str">
        <x:v>04</x:v>
      </x:c>
      <x:c r="B8" t="str">
        <x:v>13_SUS_CAPTURA</x:v>
      </x:c>
      <x:c r="C8" t="str">
        <x:v>Una fila por cuestionario real; código anónimo, rol, elegibilidad, sesión y consentimiento.</x:v>
      </x:c>
      <x:c r="D8" t="str">
        <x:v>Q1-Q10 enteros del 1 al 5; guardar evidencia anonimizada.</x:v>
      </x:c>
    </x:row>
    <x:row r="9" ht="22" customHeight="1">
      <x:c r="A9" t="str">
        <x:v>05</x:v>
      </x:c>
      <x:c r="B9" t="str">
        <x:v>03_SUS_RESUMEN</x:v>
      </x:c>
      <x:c r="C9" t="str">
        <x:v>Leer puntuaciones, media, mediana, s muestral, rango y dictamen condicionado.</x:v>
      </x:c>
      <x:c r="D9" t="str">
        <x:v>Sin cuestionarios válidos muestra SIN DATOS; SUS usa puntos, no %.</x:v>
      </x:c>
    </x:row>
    <x:row r="10" ht="22" customHeight="1">
      <x:c r="A10" t="str">
        <x:v>06</x:v>
      </x:c>
      <x:c r="B10" t="str">
        <x:v>15_INTENTOS_TAREAS</x:v>
      </x:c>
      <x:c r="C10" t="str">
        <x:v>Una fila por intento; verificar rol, autorización, resultado y evidencia.</x:v>
      </x:c>
      <x:c r="D10" t="str">
        <x:v>Excluidos requieren causa; correctos / válidos multiplicado por 100.</x:v>
      </x:c>
    </x:row>
    <x:row r="11" ht="22" customHeight="1">
      <x:c r="A11" t="str">
        <x:v>07</x:v>
      </x:c>
      <x:c r="B11" t="str">
        <x:v>04_TAREAS</x:v>
      </x:c>
      <x:c r="C11" t="str">
        <x:v>Revisar efectividad de cada tarea y posible aceptación.</x:v>
      </x:c>
      <x:c r="D11" t="str">
        <x:v>Umbral OP-05 ausente; no aprobar éxito sin regla.</x:v>
      </x:c>
    </x:row>
    <x:row r="12" ht="22" customHeight="1">
      <x:c r="A12" t="str">
        <x:v>08</x:v>
      </x:c>
      <x:c r="B12" t="str">
        <x:v>16_OPERACIONES_CRUDAS</x:v>
      </x:c>
      <x:c r="C12" t="str">
        <x:v>Una fila por operación; incluir HTTP esperado/observado, clasificación y log.</x:v>
      </x:c>
      <x:c r="D12" t="str">
        <x:v>401, 403, 422 esperados no son por sí solos fallos.</x:v>
      </x:c>
    </x:row>
    <x:row r="13" ht="22" customHeight="1">
      <x:c r="A13" t="str">
        <x:v>09</x:v>
      </x:c>
      <x:c r="B13" t="str">
        <x:v>05_FALLOS</x:v>
      </x:c>
      <x:c r="C13" t="str">
        <x:v>Verificar operaciones válidas y fallos confirmados por 1.000.</x:v>
      </x:c>
      <x:c r="D13" t="str">
        <x:v>No convertir ausencia de operaciones en cero fallos.</x:v>
      </x:c>
    </x:row>
    <x:row r="14" ht="22" customHeight="1">
      <x:c r="A14" t="str">
        <x:v>10</x:v>
      </x:c>
      <x:c r="B14" t="str">
        <x:v>06_DISPONIBILIDAD</x:v>
      </x:c>
      <x:c r="C14" t="str">
        <x:v>Registrar servicio, ventana real, fechas, minutos programados/operativos y log.</x:v>
      </x:c>
      <x:c r="D14" t="str">
        <x:v>Mensual en discrepancia; nunca To &gt; Tp.</x:v>
      </x:c>
    </x:row>
    <x:row r="15" ht="22" customHeight="1">
      <x:c r="A15" t="str">
        <x:v>11</x:v>
      </x:c>
      <x:c r="B15" t="str">
        <x:v>14_TIEMPOS_CRUDOS</x:v>
      </x:c>
      <x:c r="C15" t="str">
        <x:v>Registrar 1 duración ms por solicitud; escenario, ejecución y archivo fuente.</x:v>
      </x:c>
      <x:c r="D15" t="str">
        <x:v>Nunca escribir P95/P99 manualmente en 07_RENDIMIENTO.</x:v>
      </x:c>
    </x:row>
    <x:row r="16" ht="22" customHeight="1">
      <x:c r="A16" t="str">
        <x:v>12</x:v>
      </x:c>
      <x:c r="B16" t="str">
        <x:v>07_RENDIMIENTO</x:v>
      </x:c>
      <x:c r="C16" t="str">
        <x:v>Especificar carga, fuente y n por ejecución; leer P95/P99 de observaciones válidas.</x:v>
      </x:c>
      <x:c r="D16" t="str">
        <x:v>FILTER y PERCENTILE.INC requieren Excel 365/2021+.</x:v>
      </x:c>
    </x:row>
    <x:row r="17" ht="22" customHeight="1">
      <x:c r="A17" t="str">
        <x:v>13</x:v>
      </x:c>
      <x:c r="B17" t="str">
        <x:v>17_FORMULARIOS_REGISTRO</x:v>
      </x:c>
      <x:c r="C17" t="str">
        <x:v>Una fila por rúbrica/criterio aprobado, prueba real y evidencia.</x:v>
      </x:c>
      <x:c r="D17" t="str">
        <x:v>No marcar rúbrica completa sin comprobar todas las reglas.</x:v>
      </x:c>
    </x:row>
    <x:row r="18" ht="22" customHeight="1">
      <x:c r="A18" t="str">
        <x:v>14</x:v>
      </x:c>
      <x:c r="B18" t="str">
        <x:v>08_CONFORMIDAD</x:v>
      </x:c>
      <x:c r="C18" t="str">
        <x:v>Confirmar elegibilidad, regla aprobada, conformidad y cobertura del inventario.</x:v>
      </x:c>
      <x:c r="D18" t="str">
        <x:v>Conformidad exige evaluación y cobertura definida.</x:v>
      </x:c>
    </x:row>
    <x:row r="19" ht="22" customHeight="1">
      <x:c r="A19" t="str">
        <x:v>15</x:v>
      </x:c>
      <x:c r="B19" t="str">
        <x:v>18_DUPLICADOS_REGISTRO</x:v>
      </x:c>
      <x:c r="C19" t="str">
        <x:v>Registrar entidad, regla/clave aprobada, n, duplicados, SQL, dataset y log.</x:v>
      </x:c>
      <x:c r="D19" t="str">
        <x:v>Cero solo con consulta efectivamente ejecutada.</x:v>
      </x:c>
    </x:row>
    <x:row r="20" ht="22" customHeight="1">
      <x:c r="A20" t="str">
        <x:v>16</x:v>
      </x:c>
      <x:c r="B20" t="str">
        <x:v>09_DUPLICADOS</x:v>
      </x:c>
      <x:c r="C20" t="str">
        <x:v>Revisar sumarios por entidad, SQL y dictamen solo con cobertura suficiente.</x:v>
      </x:c>
      <x:c r="D20" t="str">
        <x:v>No generalizar a toda base sin universo y selección definidos.</x:v>
      </x:c>
    </x:row>
    <x:row r="21" ht="22" customHeight="1">
      <x:c r="A21" t="str">
        <x:v>17</x:v>
      </x:c>
      <x:c r="B21" t="str">
        <x:v>10_CONTRASTES</x:v>
      </x:c>
      <x:c r="C21" t="str">
        <x:v>Completar solo si hipótesis y estrategia inferencial fueron formalmente aprobadas.</x:v>
      </x:c>
      <x:c r="D21" t="str">
        <x:v>No asignar p-value ni normalidad sin medición/prueba estadística.</x:v>
      </x:c>
    </x:row>
    <x:row r="22" ht="22" customHeight="1">
      <x:c r="A22" t="str">
        <x:v>18</x:v>
      </x:c>
      <x:c r="B22" t="str">
        <x:v>11_CONTROL_CALIDAD</x:v>
      </x:c>
      <x:c r="C22" t="str">
        <x:v>Auditar errores, falta de evidencia, coherencia n y pendientes metodológicos.</x:v>
      </x:c>
      <x:c r="D22" t="str">
        <x:v>Una cifra 0 en control técnico no implica ensayo completado.</x:v>
      </x:c>
    </x:row>
    <x:row r="23" ht="22" customHeight="1">
      <x:c r="A23" t="str">
        <x:v>19</x:v>
      </x:c>
      <x:c r="B23" t="str">
        <x:v>TODAS</x:v>
      </x:c>
      <x:c r="C23" t="str">
        <x:v>Entradas color crema; celdas verdes claras = fórmulas. No sobrescribir fórmulas.</x:v>
      </x:c>
      <x:c r="D23" t="str">
        <x:v>Si hacen falta más de las filas previstas, ampliar rangos y referencias.</x:v>
      </x:c>
    </x:row>
    <x:row r="24" ht="22" customHeight="1">
      <x:c r="A24" t="str">
        <x:v>20</x:v>
      </x:c>
      <x:c r="B24" t="str">
        <x:v>COMPATIBILIDAD</x:v>
      </x:c>
      <x:c r="C24" t="str">
        <x:v>Abrir en Excel 365 o Excel 2021+ para percentiles; recalcular al cargar observaciones.</x:v>
      </x:c>
      <x:c r="D24" t="str">
        <x:v>No hay macros ni vínculos entre otros libros; fórmula nueva requiere Excel moderno.</x:v>
      </x:c>
    </x:row>
    <x:row r="25" ht="22" customHeight="1"/>
    <x:row r="26" ht="22" customHeight="1"/>
    <x:row r="27" ht="22" customHeight="1"/>
    <x:row r="28" ht="22" customHeight="1"/>
    <x:row r="29" ht="22" customHeight="1"/>
    <x:row r="30" ht="22" customHeight="1"/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7b6c942378c4e13"/>
  </x:tableParts>
</x:worksheet>
</file>