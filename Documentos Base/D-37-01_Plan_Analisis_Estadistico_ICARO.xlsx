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CD7522A903302D2F76CC9D05C1CF1A5E5D639C26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01_FICHA_GENERAL" sheetId="1" r:id="rId1"/>
    <sheet name="02_PLAN_POR_INDICADOR" sheetId="2" r:id="rId2"/>
    <sheet name="03_SUPUESTOS_ESTADISTICOS" sheetId="3" r:id="rId3"/>
    <sheet name="04_MATRIZ_CONTRASTES" sheetId="4" r:id="rId4"/>
    <sheet name="05_TAMANOS_EFECTO" sheetId="5" r:id="rId5"/>
    <sheet name="06_HERRAMIENTAS_VERSIONES" sheetId="6" r:id="rId6"/>
    <sheet name="07_DECISIONES_PENDIENTES" sheetId="7" r:id="rId7"/>
    <sheet name="08_FUENTES_TRAZABILIDAD" sheetId="8" r:id="rId8"/>
    <sheet name="09_CONTROL_REVIS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E23" i="1"/>
  <c r="C23" i="1"/>
  <c r="A23" i="1"/>
</calcChain>
</file>

<file path=xl/sharedStrings.xml><?xml version="1.0" encoding="utf-8"?>
<sst xmlns="http://schemas.openxmlformats.org/spreadsheetml/2006/main" count="924" uniqueCount="758">
  <si>
    <t>D-37-01  |  PLAN DE ANÁLISIS ESTADÍSTICO</t>
  </si>
  <si>
    <t>Ficha de control metodológico · Trabajo de titulación ICARO · Sin resultados empíricos</t>
  </si>
  <si>
    <t>Proyecto</t>
  </si>
  <si>
    <t>Desarrollo de un sistema web y móvil para la gestión integral en la empresa ICARO CONSTRUCTORES BMGM S.A.S.</t>
  </si>
  <si>
    <t>Instrumento</t>
  </si>
  <si>
    <t>D-37-01 — Plan de análisis estadístico</t>
  </si>
  <si>
    <t>Apartado</t>
  </si>
  <si>
    <t>3.7 Técnicas de análisis de datos (Capítulo III)</t>
  </si>
  <si>
    <t>Alcance</t>
  </si>
  <si>
    <t>Planificación de estadísticas descriptivas y condiciones para eventuales contrastes inferenciales</t>
  </si>
  <si>
    <t>Versión</t>
  </si>
  <si>
    <t>1.0 — para revisión técnica y académica</t>
  </si>
  <si>
    <t>Fecha de elaboración</t>
  </si>
  <si>
    <t>2026-10-15</t>
  </si>
  <si>
    <t>Responsables</t>
  </si>
  <si>
    <t>Equipo de titulación ICARO — confirmación documental pendiente</t>
  </si>
  <si>
    <t>Estado</t>
  </si>
  <si>
    <t>Plan metodológico preparado; aplicación, datos y aprobaciones pendientes</t>
  </si>
  <si>
    <t>Rama / commit</t>
  </si>
  <si>
    <t>main — b74af8e9f656b59bf68924daa02f5e22ca2c49ff</t>
  </si>
  <si>
    <t>Documentos relacionados</t>
  </si>
  <si>
    <t>02 Operacionalización; 03 Plan de Verificación; D-34-01 a D-34-04; D-36-01/D-36-02 (pendientes de acceso/comprobación)</t>
  </si>
  <si>
    <t>Base estadística</t>
  </si>
  <si>
    <t>Descriptiva principal; inferencia únicamente ante hipótesis y diseño válidos</t>
  </si>
  <si>
    <t>Criterio ético</t>
  </si>
  <si>
    <t>No registrar datos inventados, resultados ficticios ni aprobaciones no documentadas</t>
  </si>
  <si>
    <t>PRECAUCIÓN: el contenido interno de los libros XLSX vigentes de GitHub aún requiere contraste binario directo; su existencia y SHA sí se verificaron. Ningún campo pendiente implica conformidad.</t>
  </si>
  <si>
    <t>Estado de la planificación</t>
  </si>
  <si>
    <t>Indicadores catalogados</t>
  </si>
  <si>
    <t>Principales</t>
  </si>
  <si>
    <t>Complementarios</t>
  </si>
  <si>
    <t>Con resultados</t>
  </si>
  <si>
    <t>Principios operativos que gobiernan este instrumento</t>
  </si>
  <si>
    <t>1. Cada indicador conserva su unidad de análisis y fuente; un participante no equivale a una solicitud HTTP.</t>
  </si>
  <si>
    <t>2. El cálculo descriptivo usa exclusivamente observaciones válidas y respaldadas; las exclusiones se justifican.</t>
  </si>
  <si>
    <t>3. No se infiere cumplimiento si falta un umbral aprobado o evidencia de ejecución.</t>
  </si>
  <si>
    <t>4. Las alternativas inferenciales se documentan como referencia; no se declaran aplicadas ni aprobadas.</t>
  </si>
  <si>
    <t>5. OP-10 y OP-11 se registran como complementarios sujetos a ratificación de vigencia.</t>
  </si>
  <si>
    <t>CÓDIGO DE COLORES   Azul claro: registro pendiente / editable  ·  Ámbar: bloqueo por contradicción  ·  Celeste: indicador complementario  ·  Blanco: fuente descriptiva</t>
  </si>
  <si>
    <t>NOTA DE CONTROL: este plan sirve para revisión y aplicación futura. Para declararlo definitivo frente a la tesis deben contrastarse las celdas de fuentes XLSX actuales (FU-01 a FU-06), las decisiones DP y la aprobación académica pertinente.</t>
  </si>
  <si>
    <t>MATRIZ MAESTRA  |  INDICADORES Y TÉCNICAS</t>
  </si>
  <si>
    <t>9 indicadores principales · 2 complementarios · Los umbrales sin confirmación quedan en blanco.</t>
  </si>
  <si>
    <t>Campos editables en azul: hipótesis, selección, decisión, evidencia y notas. El valor P95 documentado en k6 es referencia técnica, NO un dictamen aprobado.</t>
  </si>
  <si>
    <t>Código</t>
  </si>
  <si>
    <t>Clasificación</t>
  </si>
  <si>
    <t>Indicador</t>
  </si>
  <si>
    <t>Unidad de análisis</t>
  </si>
  <si>
    <t>Naturaleza del dato</t>
  </si>
  <si>
    <t>Datos requeridos</t>
  </si>
  <si>
    <t>Resumen descriptivo</t>
  </si>
  <si>
    <t>Unidad del resultado</t>
  </si>
  <si>
    <t>Fuente / instrumento</t>
  </si>
  <si>
    <t>Regla de validez y exclusión</t>
  </si>
  <si>
    <t>Umbral valor</t>
  </si>
  <si>
    <t>Operador</t>
  </si>
  <si>
    <t>Estado de criterio</t>
  </si>
  <si>
    <t>¿Contraste?</t>
  </si>
  <si>
    <t>Hipótesis predefinida</t>
  </si>
  <si>
    <t>Prueba seleccionada</t>
  </si>
  <si>
    <t>Supuestos que verificar</t>
  </si>
  <si>
    <t>Tamaño del efecto</t>
  </si>
  <si>
    <t>Forma de interpretación</t>
  </si>
  <si>
    <t>Referencia trazable</t>
  </si>
  <si>
    <t>Estado de medición</t>
  </si>
  <si>
    <t>Evidencia real</t>
  </si>
  <si>
    <t>Decisión / observación</t>
  </si>
  <si>
    <t>OP-01</t>
  </si>
  <si>
    <t>Principal</t>
  </si>
  <si>
    <t>Fallos por 1.000 operaciones</t>
  </si>
  <si>
    <t>UA-04 · Operaciones funcionales</t>
  </si>
  <si>
    <t>Tasa (conteos enteros)</t>
  </si>
  <si>
    <t>Operaciones válidas; fallos confirmados; exclusiones</t>
  </si>
  <si>
    <t>Recuento, tasa=(fallos/operaciones válidas)×1000</t>
  </si>
  <si>
    <t>fallos / 1.000 operaciones</t>
  </si>
  <si>
    <t>D-34-03 + registros API/tests</t>
  </si>
  <si>
    <t>Un fallo es desvío confirmado; 401/403/422 esperados no cuentan; separar error de configuración</t>
  </si>
  <si>
    <t>Sin confirmar</t>
  </si>
  <si>
    <t>Condicionado</t>
  </si>
  <si>
    <t>Independencia y definición reproducible de unidad operativa</t>
  </si>
  <si>
    <t>Describir tasa por escenario; sin criterio aprobado, sin dictamen</t>
  </si>
  <si>
    <t>backend/tests/security.test.js; D-34-03</t>
  </si>
  <si>
    <t>Sin resultados</t>
  </si>
  <si>
    <t>Confirmar umbral OP-01 y criterio de fallo.</t>
  </si>
  <si>
    <t>OP-02</t>
  </si>
  <si>
    <t>Disponibilidad semanal</t>
  </si>
  <si>
    <t>UA-06 · Períodos de disponibilidad</t>
  </si>
  <si>
    <t>Proporción temporal</t>
  </si>
  <si>
    <t>Ventana semanal delimitada; tiempo programado; tiempo operativo</t>
  </si>
  <si>
    <t>100×(tiempo operativo/tiempo programado), por servicio y semana</t>
  </si>
  <si>
    <t>%</t>
  </si>
  <si>
    <t>D-34-03 + monitoreo /health</t>
  </si>
  <si>
    <t>Registro continuo; mismos servicio, zona horaria y ventana; excluir ventanas incompletas</t>
  </si>
  <si>
    <t>Por aprobar</t>
  </si>
  <si>
    <t>No prevista</t>
  </si>
  <si>
    <t>Definir ventanas comparables; no tratar porcentajes agregados como observaciones</t>
  </si>
  <si>
    <t>Comparación solo con umbral semanal documentalmente validado</t>
  </si>
  <si>
    <t>Requisitos; D-34-03; /health</t>
  </si>
  <si>
    <t>Verificar criterio semanal en la versión vigente.</t>
  </si>
  <si>
    <t>OP-03</t>
  </si>
  <si>
    <t>Disponibilidad mensual</t>
  </si>
  <si>
    <t>Ventana mensual delimitada; tiempo programado; tiempo operativo</t>
  </si>
  <si>
    <t>100×(tiempo operativo/tiempo programado), por servicio y mes</t>
  </si>
  <si>
    <t>Ventanas mensuales completas; mismo servicio y tratamiento de mantenimiento</t>
  </si>
  <si>
    <t>En conflicto</t>
  </si>
  <si>
    <t>No fusionar semanas y meses sin ponderar duraciones</t>
  </si>
  <si>
    <t>Sin dictamen hasta aclarar discrepancia 99 % / 99,5 %</t>
  </si>
  <si>
    <t>Especificación RNF; matriz escenarios</t>
  </si>
  <si>
    <t>Diferencia documental entre 99 % y 99,5 %.</t>
  </si>
  <si>
    <t>OP-04</t>
  </si>
  <si>
    <t>Puntuación media SUS</t>
  </si>
  <si>
    <t>UA-01 · Usuarios participantes</t>
  </si>
  <si>
    <t>Puntuación compuesta cuantitativa</t>
  </si>
  <si>
    <t>10 ítems de 1–5 por cuestionario completo; código de participante</t>
  </si>
  <si>
    <t>N válido, SUS individual, media, mediana, DE muestral, mínimo, máximo</t>
  </si>
  <si>
    <t>puntos SUS (0–100)</t>
  </si>
  <si>
    <t>D-34-02 + SUS_CAPTURA</t>
  </si>
  <si>
    <t>Solo cuestionarios con diez ítems válidos; P01…P10 son códigos reservados</t>
  </si>
  <si>
    <t>≥</t>
  </si>
  <si>
    <t>Documentado</t>
  </si>
  <si>
    <t>Población/censo; si contraste: independencia de puntuaciones y diseño justificado</t>
  </si>
  <si>
    <t>Describir y comparar media con 75; censo ≠ muestra aleatoria</t>
  </si>
  <si>
    <t>docs/sprint11_calidad_seguridad.md</t>
  </si>
  <si>
    <t>No aplicar t automáticamente al censo delimitado.</t>
  </si>
  <si>
    <t>OP-05</t>
  </si>
  <si>
    <t>Tasa de éxito de tareas</t>
  </si>
  <si>
    <t>UA-02 · Intentos de interacción</t>
  </si>
  <si>
    <t>Proporción de respuestas binarias</t>
  </si>
  <si>
    <t>Intentos válidos y completados correctamente, por tarea/perfil</t>
  </si>
  <si>
    <t>N de intentos, éxitos, fracasos, proporciones por tarea</t>
  </si>
  <si>
    <t>D-34-03 + observación de tareas</t>
  </si>
  <si>
    <t>Excluir intentos no realizados o interrumpidos con justificación; preservar dependencia por usuario</t>
  </si>
  <si>
    <t>No definido</t>
  </si>
  <si>
    <t>Dependencia intrausuario e idoneidad de modelo de proporciones</t>
  </si>
  <si>
    <t>Resultado descriptivo, SIN aprobar/reprobar por falta de umbral</t>
  </si>
  <si>
    <t>D-34-03; docs/sprint11_calidad_seguridad.md</t>
  </si>
  <si>
    <t>Definir si hay criterio de aceptación antes de dictamen.</t>
  </si>
  <si>
    <t>OP-06</t>
  </si>
  <si>
    <t>Percentil 95 del tiempo de respuesta</t>
  </si>
  <si>
    <t>UA-05 · Solicitudes temporizadas</t>
  </si>
  <si>
    <t>Cuantitativa continua (duraciones)</t>
  </si>
  <si>
    <t>Tiempos originales HTTP en ms; escenario; lote; condiciones de carga</t>
  </si>
  <si>
    <t>N válido, P95 por escenario, mínimo, mediana y rango</t>
  </si>
  <si>
    <t>ms</t>
  </si>
  <si>
    <t>k6 load_test.js + exportación cruda</t>
  </si>
  <si>
    <t>Una solicitud temporizada válida ≠ un usuario virtual; no mezclar endpoints sin justificar</t>
  </si>
  <si>
    <t>Comparador pendiente</t>
  </si>
  <si>
    <t>Condiciones de carga; dependencia de solicitudes; percentiles desde datos originales</t>
  </si>
  <si>
    <t>P95 se confronta únicamente cuando se armonice &lt; frente a ≤</t>
  </si>
  <si>
    <t>backend/tests/load_test.js; docs/sprint11_calidad_seguridad.md</t>
  </si>
  <si>
    <t>k6 declara p(95)&lt;2000; no adjudicar aprobación.</t>
  </si>
  <si>
    <t>OP-07</t>
  </si>
  <si>
    <t>Percentil 99 del tiempo de respuesta</t>
  </si>
  <si>
    <t>Misma serie original, escenario y condiciones; suficientes solicitudes</t>
  </si>
  <si>
    <t>N válido y P99 por escenario; contraste con P95 del mismo conjunto</t>
  </si>
  <si>
    <t>k6 + exportación cruda (P99 por configurar)</t>
  </si>
  <si>
    <t>No derivar P99 de P95; no extrapolar desde un solo resumen</t>
  </si>
  <si>
    <t>Tamaño y representatividad de muestra temporal; dependencia</t>
  </si>
  <si>
    <t>Interpretación descriptiva sin umbral específico confirmado</t>
  </si>
  <si>
    <t>backend/tests/load_test.js; D-34-03</t>
  </si>
  <si>
    <t>Falta regla P99 y política mínima de observaciones.</t>
  </si>
  <si>
    <t>OP-08</t>
  </si>
  <si>
    <t>Proporción de formularios conformes</t>
  </si>
  <si>
    <t>UA-07 · Formularios evaluables</t>
  </si>
  <si>
    <t>Proporción por veredicto binario</t>
  </si>
  <si>
    <t>Inventario elegible; evaluados; conformes; no conformes</t>
  </si>
  <si>
    <t>Número evaluados, conformes, proporción y cobertura del universo</t>
  </si>
  <si>
    <t>D-34-04 + lista de chequeo</t>
  </si>
  <si>
    <t>No confundir identificado con evaluado; exigir veredicto registrado</t>
  </si>
  <si>
    <t>No confirmado</t>
  </si>
  <si>
    <t>Denominador de formularios realmente evaluados</t>
  </si>
  <si>
    <t>Sin resultado si faltan veredictos; no asumir 100 % por existencia</t>
  </si>
  <si>
    <t>D-34-04; plan de pruebas</t>
  </si>
  <si>
    <t>Confirmar regla por formulario y umbral formal.</t>
  </si>
  <si>
    <t>OP-09</t>
  </si>
  <si>
    <t>Duplicados indebidos detectados</t>
  </si>
  <si>
    <t>UA-08 · Registros / entidades de datos</t>
  </si>
  <si>
    <t>Conteo discreto</t>
  </si>
  <si>
    <t>Entidad, clave de negocio, consulta SQL, conjunto examinado</t>
  </si>
  <si>
    <t>Conteo absoluto y universo revisado por entidad</t>
  </si>
  <si>
    <t>registros duplicados</t>
  </si>
  <si>
    <t>PostgreSQL/Prisma + D-34-04</t>
  </si>
  <si>
    <t>Claves UUID no sustituyen reglas de negocio; especificar alcance exacto de consulta</t>
  </si>
  <si>
    <t>Reglas de negocio y consultas repetibles; sin inferir universo total</t>
  </si>
  <si>
    <t>Cero observado solo aplica a registros examinados</t>
  </si>
  <si>
    <t>backend/prisma/schema.prisma; D-34-04</t>
  </si>
  <si>
    <t>Definir claves de negocio, reglas y posibles excepciones.</t>
  </si>
  <si>
    <t>OP-10</t>
  </si>
  <si>
    <t>Complementario</t>
  </si>
  <si>
    <t>Recuperaciones satisfactorias</t>
  </si>
  <si>
    <t>Pendiente de ratificar en la matriz vigente</t>
  </si>
  <si>
    <t>Recuento o proporción (a confirmar)</t>
  </si>
  <si>
    <t>Ejecuciones de recuperación; resultado esperado; éxito verificable</t>
  </si>
  <si>
    <t>Conteo de recuperaciones exitosas; tasa solo si la definición lo avala</t>
  </si>
  <si>
    <t>recuento (unidad a confirmar)</t>
  </si>
  <si>
    <t>Matriz de operacionalización (versión por validar)</t>
  </si>
  <si>
    <t>No extrapolar a fiabilidad general sin definir escenario y criterio</t>
  </si>
  <si>
    <t>Vigencia pendiente</t>
  </si>
  <si>
    <t>Definir condición de fallo/recuperación y duración del seguimiento</t>
  </si>
  <si>
    <t>Solo como complementario si se ratifica su vigencia</t>
  </si>
  <si>
    <t>02_Matriz_Operacionalizacion (revisar)</t>
  </si>
  <si>
    <t>Confirmar definición exacta y continuidad de OP-10.</t>
  </si>
  <si>
    <t>OP-11</t>
  </si>
  <si>
    <t>Tiempo medio entre fallos (MTBF)</t>
  </si>
  <si>
    <t>Tiempo continuo entre eventos</t>
  </si>
  <si>
    <t>Tiempos de fallos confirmados y exposición operativa</t>
  </si>
  <si>
    <t>Media de intervalos completos entre fallos; reportar n de intervalos</t>
  </si>
  <si>
    <t>tiempo (unidad a confirmar)</t>
  </si>
  <si>
    <t>Registros de incidentes / historial de ejecución</t>
  </si>
  <si>
    <t>No calcular MTBF con cero fallos; requiere intervalos observados y definidos</t>
  </si>
  <si>
    <t>Definición de evento de fallo, censura y continuidad del monitoreo</t>
  </si>
  <si>
    <t>Describir solamente con intervalos válidos; no inferir si son escasos</t>
  </si>
  <si>
    <t>Definir régimen de medición y unidad del MTBF.</t>
  </si>
  <si>
    <t>SUPUESTOS  |  ANÁLISIS CONDICIONAL</t>
  </si>
  <si>
    <t>Esta hoja no implica ejecución de Shapiro–Wilk ni aprobación de hipótesis.</t>
  </si>
  <si>
    <t>Shapiro–Wilk no se aplica automáticamente a recuentos, proporciones únicas, percentiles calculados o respuestas ordinales aisladas.</t>
  </si>
  <si>
    <t>ID</t>
  </si>
  <si>
    <t>Datos / variable</t>
  </si>
  <si>
    <t>Diseño posible</t>
  </si>
  <si>
    <t>Unidad independiente</t>
  </si>
  <si>
    <t>¿Evaluar normalidad?</t>
  </si>
  <si>
    <t>Cuándo aplicar Shapiro–Wilk</t>
  </si>
  <si>
    <t>Homogeneidad de varianzas</t>
  </si>
  <si>
    <t>Atípicos y calidad</t>
  </si>
  <si>
    <t>Condición de independencia</t>
  </si>
  <si>
    <t>Número de unidades</t>
  </si>
  <si>
    <t>Resultado Shapiro (W)</t>
  </si>
  <si>
    <t>Valor p</t>
  </si>
  <si>
    <t>Decisión estadística</t>
  </si>
  <si>
    <t>Justificación registrada</t>
  </si>
  <si>
    <t>Evidencia</t>
  </si>
  <si>
    <t>AS-01</t>
  </si>
  <si>
    <t>SUS: puntuación por cuestionario válido</t>
  </si>
  <si>
    <t>Descriptivo / censo</t>
  </si>
  <si>
    <t>Persona</t>
  </si>
  <si>
    <t>Solo si hay contraste justificado</t>
  </si>
  <si>
    <t>Si existe inferencia sobre puntuaciones independientes; revisar distribuciones</t>
  </si>
  <si>
    <t>No aplica a una sola serie</t>
  </si>
  <si>
    <t>Examinar respuestas y valores extremos</t>
  </si>
  <si>
    <t>Una puntuación por persona; no repetir respuestas como sujetos</t>
  </si>
  <si>
    <t>Descriptivo por defecto</t>
  </si>
  <si>
    <t>No suponer muestreo aleatorio de población externa.</t>
  </si>
  <si>
    <t>AS-02</t>
  </si>
  <si>
    <t>Diferencia antes-después por persona</t>
  </si>
  <si>
    <t>Pareado hipotético</t>
  </si>
  <si>
    <t>Sí, diferencias</t>
  </si>
  <si>
    <t>Normalidad de las diferencias pareadas, no de cada grupo bruto</t>
  </si>
  <si>
    <t>No, si es t pareada</t>
  </si>
  <si>
    <t>Inspeccionar diferencias atípicas</t>
  </si>
  <si>
    <t>Pares definidos, independencia entre personas</t>
  </si>
  <si>
    <t>No previsto actualmente</t>
  </si>
  <si>
    <t>No se ha documentado medición antes/después.</t>
  </si>
  <si>
    <t>AS-03</t>
  </si>
  <si>
    <t>Puntuación en dos grupos distintos</t>
  </si>
  <si>
    <t>Independiente hipotético</t>
  </si>
  <si>
    <t>Si t/Welch</t>
  </si>
  <si>
    <t>Distribuciones/residuos según objetivo; Shapiro como complemento</t>
  </si>
  <si>
    <t>Evaluar solo si se usará t Student; Welch ante heterocedasticidad</t>
  </si>
  <si>
    <t>Inspeccionar por grupo</t>
  </si>
  <si>
    <t>Personas distintas sin dependencia</t>
  </si>
  <si>
    <t>No se han documentado grupos de comparación.</t>
  </si>
  <si>
    <t>AS-04</t>
  </si>
  <si>
    <t>Tiempos por escenario</t>
  </si>
  <si>
    <t>Descriptivo; observaciones anidadas</t>
  </si>
  <si>
    <t>Solicitud, dentro de corrida/escenario</t>
  </si>
  <si>
    <t>No para P95/P99</t>
  </si>
  <si>
    <t>No aplicar a percentiles ya calculados</t>
  </si>
  <si>
    <t>Depende de un modelo hipotético</t>
  </si>
  <si>
    <t>Revisar errores de reloj, valores imposibles</t>
  </si>
  <si>
    <t>Repeticiones y solicitudes pueden ser dependientes</t>
  </si>
  <si>
    <t>No suponer independencia por usuarios virtuales.</t>
  </si>
  <si>
    <t>AS-05</t>
  </si>
  <si>
    <t>Éxitos de tarea</t>
  </si>
  <si>
    <t>Binario por intento</t>
  </si>
  <si>
    <t>Intento vinculado a persona</t>
  </si>
  <si>
    <t>No</t>
  </si>
  <si>
    <t>No corresponde a Bernoulli/porcentaje agregado</t>
  </si>
  <si>
    <t>No aplica</t>
  </si>
  <si>
    <t>Detectar intentos excluidos / duplicados</t>
  </si>
  <si>
    <t>Varios intentos pueden pertenecer al mismo participante</t>
  </si>
  <si>
    <t>Un porcentaje único no es una serie continua normal.</t>
  </si>
  <si>
    <t>AS-06</t>
  </si>
  <si>
    <t>Fallos por operación</t>
  </si>
  <si>
    <t>Binario por operación</t>
  </si>
  <si>
    <t>Operación dentro de campaña</t>
  </si>
  <si>
    <t>No corresponde a recuentos y tasas aisladas</t>
  </si>
  <si>
    <t>Revisar HTTP esperado y ensayos inválidos</t>
  </si>
  <si>
    <t>Operaciones pueden estar correlacionadas</t>
  </si>
  <si>
    <t>Clasificar fallos por evidencia funcional.</t>
  </si>
  <si>
    <t>AS-07</t>
  </si>
  <si>
    <t>Disponibilidad semanal/mensual</t>
  </si>
  <si>
    <t>Proporción por ventana</t>
  </si>
  <si>
    <t>Servicio × ventana</t>
  </si>
  <si>
    <t>No en ventana única</t>
  </si>
  <si>
    <t>No aplicar a porcentajes aislados</t>
  </si>
  <si>
    <t>Revisar ausencias de monitoreo</t>
  </si>
  <si>
    <t>Ventanas superpuestas no son independientes</t>
  </si>
  <si>
    <t>Necesario conservar trazas originales.</t>
  </si>
  <si>
    <t>AS-08</t>
  </si>
  <si>
    <t>Formularios y duplicados</t>
  </si>
  <si>
    <t>Binario o recuento</t>
  </si>
  <si>
    <t>Formulario / registro</t>
  </si>
  <si>
    <t>No corresponde a tasas/recuentos únicos</t>
  </si>
  <si>
    <t>Verificar elegibilidad y claves</t>
  </si>
  <si>
    <t>Evitar múltiple cómputo por entidad</t>
  </si>
  <si>
    <t>Conformidad exige un veredicto; duplicados, clave de negocio.</t>
  </si>
  <si>
    <t>GUÍA DE CONTRASTES  |  NO EQUIVALENCIA AUTOMÁTICA</t>
  </si>
  <si>
    <t>Tabla docente de selección de pruebas: solo se ejecutarán las que correspondan a hipótesis y datos documentados.</t>
  </si>
  <si>
    <t>El valor p no mide magnitud. Las pruebas no paramétricas pueden contrastar parámetros distintos respecto a las alternativas paramétricas.</t>
  </si>
  <si>
    <t>Pregunta / diseño</t>
  </si>
  <si>
    <t>Prueba paramétrica</t>
  </si>
  <si>
    <t>Alternativa no paramétrica</t>
  </si>
  <si>
    <t>Supuestos/precauciones</t>
  </si>
  <si>
    <t>Aplicabilidad ICARO</t>
  </si>
  <si>
    <t>Indicador candidato</t>
  </si>
  <si>
    <t>Hipótesis aprobada</t>
  </si>
  <si>
    <t>Prueba ejecutada</t>
  </si>
  <si>
    <t>Evidencia / versión</t>
  </si>
  <si>
    <t>Observación metodológica</t>
  </si>
  <si>
    <t>CT-01</t>
  </si>
  <si>
    <t>Una media vs referencia</t>
  </si>
  <si>
    <t>t de una muestra</t>
  </si>
  <si>
    <t>Signos (mediana); Wilcoxon de rangos con signo solo si se ajusta su hipótesis</t>
  </si>
  <si>
    <t>Puntuaciones independientes, escala compatible; diferencias simétricas para rangos con signo</t>
  </si>
  <si>
    <t>Condicionada, no preseleccionada</t>
  </si>
  <si>
    <t>El criterio SUS ≥75 puede evaluarse descriptivamente sin test de hipótesis.</t>
  </si>
  <si>
    <t>CT-02</t>
  </si>
  <si>
    <t>Dos mediciones en los mismos sujetos</t>
  </si>
  <si>
    <t>t pareada</t>
  </si>
  <si>
    <t>Wilcoxon de rangos con signo</t>
  </si>
  <si>
    <t>Normalidad de diferencias si t; estructura pareada real</t>
  </si>
  <si>
    <t>No prevista con el diseño actual</t>
  </si>
  <si>
    <t>No inventar fase antes/después ni resultados pareados.</t>
  </si>
  <si>
    <t>CT-03</t>
  </si>
  <si>
    <t>Dos grupos independientes</t>
  </si>
  <si>
    <t>t de Student / Welch</t>
  </si>
  <si>
    <t>Mann–Whitney U</t>
  </si>
  <si>
    <t>Independencia de grupos; varianzas según prueba; interpretaciones no equivalentes</t>
  </si>
  <si>
    <t>No separar grupos artificialmente para forzar una prueba.</t>
  </si>
  <si>
    <t>CT-04</t>
  </si>
  <si>
    <t>Más de dos grupos independientes</t>
  </si>
  <si>
    <t>ANOVA (o Welch según supuestos)</t>
  </si>
  <si>
    <t>Kruskal–Wallis</t>
  </si>
  <si>
    <t>Independencia de grupos y ajuste de comparaciones múltiples si corresponde</t>
  </si>
  <si>
    <t>Solo con variable, grupos y objetivo previamente definidos.</t>
  </si>
  <si>
    <t>CT-05</t>
  </si>
  <si>
    <t>Más de dos observaciones relacionadas</t>
  </si>
  <si>
    <t>ANOVA de medidas repetidas</t>
  </si>
  <si>
    <t>Friedman</t>
  </si>
  <si>
    <t>Mediciones repetidas genuinas y supuestos específicos</t>
  </si>
  <si>
    <t>Los sprints no equivalen automáticamente a medidas repetidas comparables.</t>
  </si>
  <si>
    <t>CT-06</t>
  </si>
  <si>
    <t>Asociación entre dos variables</t>
  </si>
  <si>
    <t>Correlación de Pearson</t>
  </si>
  <si>
    <t>Correlación de Spearman</t>
  </si>
  <si>
    <t>Pares de datos independientes; forma funcional, escala y valores atípicos</t>
  </si>
  <si>
    <t>No aplicar correlación sin hipótesis de asociación.</t>
  </si>
  <si>
    <t>CT-07</t>
  </si>
  <si>
    <t>Una proporción frente a referencia predefinida</t>
  </si>
  <si>
    <t>Modelo/prueba binomial según diseño</t>
  </si>
  <si>
    <t>Prueba binomial exacta cuando corresponda</t>
  </si>
  <si>
    <t>Ensayos Bernoulli independientes; umbral explícito y n válido</t>
  </si>
  <si>
    <t>Condicionada, requiere diseñar dependencia</t>
  </si>
  <si>
    <t>OP-05 / OP-08</t>
  </si>
  <si>
    <t>No usar binomial simple si varios intentos pertenecen a una persona.</t>
  </si>
  <si>
    <t>TAMAÑOS DEL EFECTO  |  CATÁLOGO CONDICIONAL</t>
  </si>
  <si>
    <t>Valores y tamaño muestral vacíos: no existe contraste ejecutado con datos documentados.</t>
  </si>
  <si>
    <t>Diseño</t>
  </si>
  <si>
    <t>Prueba relacionada</t>
  </si>
  <si>
    <t>Tamaño del efecto compatible</t>
  </si>
  <si>
    <t>Cálculo / referencia metodológica</t>
  </si>
  <si>
    <t>Magnitud y dirección</t>
  </si>
  <si>
    <t>Precaución contextual</t>
  </si>
  <si>
    <t>n real</t>
  </si>
  <si>
    <t>Estimación</t>
  </si>
  <si>
    <t>IC / incertidumbre</t>
  </si>
  <si>
    <t>Estado / evidencia</t>
  </si>
  <si>
    <t>EF-01</t>
  </si>
  <si>
    <t>Media vs valor fijo</t>
  </si>
  <si>
    <t>d de Cohen (con cautela)</t>
  </si>
  <si>
    <t>(media - valor de referencia)/DE muestral; requiere n&gt;1</t>
  </si>
  <si>
    <t>Signo respecto a referencia</t>
  </si>
  <si>
    <t>No reemplaza evaluación del umbral ni justifica inferencia con censo</t>
  </si>
  <si>
    <t>EF-02</t>
  </si>
  <si>
    <t>t / Welch</t>
  </si>
  <si>
    <t>g de Hedges</t>
  </si>
  <si>
    <t>Diferencia de medias estandarizada con corrección por tamaño muestral</t>
  </si>
  <si>
    <t>Precisar denominador adecuado si heterocedasticidad</t>
  </si>
  <si>
    <t>No previsto</t>
  </si>
  <si>
    <t>EF-03</t>
  </si>
  <si>
    <t>Pareado</t>
  </si>
  <si>
    <t>d_z u otra medida explícita</t>
  </si>
  <si>
    <t>Media de diferencias / DE de diferencias; declarar convención</t>
  </si>
  <si>
    <t>Signo de diferencia</t>
  </si>
  <si>
    <t>No mezclar tamaños del efecto pareados e independientes</t>
  </si>
  <si>
    <t>EF-04</t>
  </si>
  <si>
    <t>Contraste no paramétrico</t>
  </si>
  <si>
    <t>Wilcoxon / Mann–Whitney</t>
  </si>
  <si>
    <t>Biserial por rangos u otra medida apropiada</t>
  </si>
  <si>
    <t>Definir convención, empates y orientación de rangos</t>
  </si>
  <si>
    <t>Signo y magnitud</t>
  </si>
  <si>
    <t>Alternativa no paramétrica no necesariamente prueba misma hipótesis</t>
  </si>
  <si>
    <t>EF-05</t>
  </si>
  <si>
    <t>ANOVA/grupos</t>
  </si>
  <si>
    <t>ANOVA / Kruskal–Wallis</t>
  </si>
  <si>
    <t>η², ω² o equivalente específico</t>
  </si>
  <si>
    <t>Elegir estimador según diseño, sesgo y supuestos</t>
  </si>
  <si>
    <t>Varianza explicada</t>
  </si>
  <si>
    <t>Comparabilidad limitada entre definiciones de efecto</t>
  </si>
  <si>
    <t>EF-06</t>
  </si>
  <si>
    <t>Asociación</t>
  </si>
  <si>
    <t>Pearson / Spearman</t>
  </si>
  <si>
    <t>r / rho</t>
  </si>
  <si>
    <t>Coeficiente observado y su signo</t>
  </si>
  <si>
    <t>Relación positiva o negativa</t>
  </si>
  <si>
    <t>Asociación no implica causalidad</t>
  </si>
  <si>
    <t>EF-07</t>
  </si>
  <si>
    <t>Proporción vs referencia</t>
  </si>
  <si>
    <t>Binomial (si procede)</t>
  </si>
  <si>
    <t>Diferencia de proporciones / razón adecuada</t>
  </si>
  <si>
    <t>Estimar dirección y magnitud; reportar IC compatible</t>
  </si>
  <si>
    <t>Exceso o déficit sobre referencia</t>
  </si>
  <si>
    <t>Controlar dependencia intrausuario antes de estimar</t>
  </si>
  <si>
    <t>HERRAMIENTAS  |  PROCEDENCIA Y VERSIONES</t>
  </si>
  <si>
    <t>Las dependencias declaradas en package.json no son versiones verificadas en el entorno de ejecución.</t>
  </si>
  <si>
    <t>Herramienta</t>
  </si>
  <si>
    <t>Uso estadístico/técnico</t>
  </si>
  <si>
    <t>Situación</t>
  </si>
  <si>
    <t>Versión declarada</t>
  </si>
  <si>
    <t>Versión ejecutada</t>
  </si>
  <si>
    <t>Comando para verificar</t>
  </si>
  <si>
    <t>Archivo / procedencia</t>
  </si>
  <si>
    <t>Fecha de comprobación</t>
  </si>
  <si>
    <t>Registro de evidencia</t>
  </si>
  <si>
    <t>Advertencia</t>
  </si>
  <si>
    <t>HE-01</t>
  </si>
  <si>
    <t>Hoja de cálculo compatible XLSX</t>
  </si>
  <si>
    <t>Organizar plan, matrices y descriptivos</t>
  </si>
  <si>
    <t>Instrumento creado</t>
  </si>
  <si>
    <t>Registrar aplicación y versión efectiva</t>
  </si>
  <si>
    <t>D-37-01 / D-37-02</t>
  </si>
  <si>
    <t>No atribuir versión de Excel al equipo sin comprobar.</t>
  </si>
  <si>
    <t>HE-02</t>
  </si>
  <si>
    <t>k6</t>
  </si>
  <si>
    <t>Generar cargas y métricas HTTP</t>
  </si>
  <si>
    <t>Script identificado</t>
  </si>
  <si>
    <t>k6 version; conservar salida y CSV/JSON original</t>
  </si>
  <si>
    <t>backend/tests/load_test.js</t>
  </si>
  <si>
    <t>Token marcador de posición en script; sin ejecución constatada.</t>
  </si>
  <si>
    <t>HE-03</t>
  </si>
  <si>
    <t>Node.js / Jest</t>
  </si>
  <si>
    <t>Pruebas de seguridad e integración</t>
  </si>
  <si>
    <t>Dependencia declarada</t>
  </si>
  <si>
    <t>jest ^30.3.0</t>
  </si>
  <si>
    <t>node -v; npm ls jest; npm test</t>
  </si>
  <si>
    <t>backend/package.json; tests/</t>
  </si>
  <si>
    <t>La dependencia declarada no valida ejecución.</t>
  </si>
  <si>
    <t>HE-04</t>
  </si>
  <si>
    <t>PostgreSQL / SQL</t>
  </si>
  <si>
    <t>Inspección duplicados y consistencia</t>
  </si>
  <si>
    <t>Código y esquema identificados</t>
  </si>
  <si>
    <t>SELECT version(); registrar consulta/resultado</t>
  </si>
  <si>
    <t>backend/prisma/schema.prisma</t>
  </si>
  <si>
    <t>No concluir cero duplicados a partir del esquema.</t>
  </si>
  <si>
    <t>HE-05</t>
  </si>
  <si>
    <t>Python + SciPy</t>
  </si>
  <si>
    <t>Alternativa para descriptivos / Shapiro</t>
  </si>
  <si>
    <t>Alternativa sin selección</t>
  </si>
  <si>
    <t>python --version; pip show scipy</t>
  </si>
  <si>
    <t>Plan metodológico (opción)</t>
  </si>
  <si>
    <t>No atribuir uso de SciPy si solo es opción.</t>
  </si>
  <si>
    <t>HE-06</t>
  </si>
  <si>
    <t>R</t>
  </si>
  <si>
    <t>Alternativa estadística reproducible</t>
  </si>
  <si>
    <t>R --version; sessionInfo()</t>
  </si>
  <si>
    <t>Se elegirá solo si aporta al diseño aprobado.</t>
  </si>
  <si>
    <t>HE-07</t>
  </si>
  <si>
    <t>Jamovi</t>
  </si>
  <si>
    <t>Alternativa para inferencia</t>
  </si>
  <si>
    <t>Ayuda &gt; Acerca de / captura</t>
  </si>
  <si>
    <t>No requiere instalación solo por existir en el catálogo.</t>
  </si>
  <si>
    <t>REGISTRO DE DECISIONES  |  BRECHAS</t>
  </si>
  <si>
    <t>Los responsables o aprobaciones se consignarán solo con evidencia; prioridades son de revisión técnica, no aprobación del director.</t>
  </si>
  <si>
    <t>PENDIENTE ≠ INCUMPLIMIENTO: no se emite aprobación/rechazo de métricas sin mediciones completas y criterios validados.</t>
  </si>
  <si>
    <t>Prioridad</t>
  </si>
  <si>
    <t>Tema / indicador</t>
  </si>
  <si>
    <t>Duda / brecha</t>
  </si>
  <si>
    <t>Resolución necesaria</t>
  </si>
  <si>
    <t>Fuente que contrastar</t>
  </si>
  <si>
    <t>Responsable por asignar</t>
  </si>
  <si>
    <t>Fecha decisión</t>
  </si>
  <si>
    <t>Evidencia o acta</t>
  </si>
  <si>
    <t>Riesgo metodológico</t>
  </si>
  <si>
    <t>DP-01</t>
  </si>
  <si>
    <t>Alta</t>
  </si>
  <si>
    <t>OP-03 disponibilidad mensual</t>
  </si>
  <si>
    <t>Requisito 99 % frente a matriz histórica 99,5 %.</t>
  </si>
  <si>
    <t>Establecer umbral y operador vigente mediante director y control documental.</t>
  </si>
  <si>
    <t>SRS y matrices 02/03/D-34-03</t>
  </si>
  <si>
    <t>Pendiente</t>
  </si>
  <si>
    <t>Dictamen contradictorio.</t>
  </si>
  <si>
    <t>DP-02</t>
  </si>
  <si>
    <t>OP-06 P95</t>
  </si>
  <si>
    <t>Script establece p(95)&lt;2000; comparar con redacción de otros instrumentos.</t>
  </si>
  <si>
    <t>Aprobar si &lt;2000 o ≤2000 y ámbito de medición.</t>
  </si>
  <si>
    <t>load_test.js; D-34-03; SRS</t>
  </si>
  <si>
    <t>Decisión en valor de frontera.</t>
  </si>
  <si>
    <t>DP-03</t>
  </si>
  <si>
    <t>OP-07 P99</t>
  </si>
  <si>
    <t>No se verificó umbral P99 en script.</t>
  </si>
  <si>
    <t>Ratificar solo uso descriptivo o criterio documentado.</t>
  </si>
  <si>
    <t>load_test.js; matriz 02/03</t>
  </si>
  <si>
    <t>Criterio inventado.</t>
  </si>
  <si>
    <t>DP-04</t>
  </si>
  <si>
    <t>OP-10 y OP-11</t>
  </si>
  <si>
    <t>Indicadores complementarios en versión histórica; sin comparación íntegra de XLSX vigente.</t>
  </si>
  <si>
    <t>Confirmar denominación, fórmulas, vigencia y unidad de análisis en hojas actuales.</t>
  </si>
  <si>
    <t>02_Matriz_Operacionalizacion_Variables_ICARO.xlsx</t>
  </si>
  <si>
    <t>Indicadores agregados o suprimidos por error.</t>
  </si>
  <si>
    <t>DP-05</t>
  </si>
  <si>
    <t>Acceso a anexos D-36</t>
  </si>
  <si>
    <t>No se ubicaron D-36-01, D-36-02 o borrador 3.6 en árbol actual.</t>
  </si>
  <si>
    <t>Solicitar versión vigente y cotejar ambiente, norma y unidades.</t>
  </si>
  <si>
    <t>D-36-01; D-36-02; 3.6</t>
  </si>
  <si>
    <t>Datos de entorno no trazables.</t>
  </si>
  <si>
    <t>DP-06</t>
  </si>
  <si>
    <t>Revisión binaria de instrumentos fuente</t>
  </si>
  <si>
    <t>Se comprobaron nombres/SHA, pero no se extrajo el contenido interno XLSX vigente.</t>
  </si>
  <si>
    <t>Obtener copia local o exportación legible de matrices 02, 03 y D-34 vigentes; ratificar celdas.</t>
  </si>
  <si>
    <t>Documentos Base / GitHub main</t>
  </si>
  <si>
    <t>Desalineación con una revisión más reciente.</t>
  </si>
  <si>
    <t>DP-07</t>
  </si>
  <si>
    <t>OP-01 fallos por 1000</t>
  </si>
  <si>
    <t>Límites de fallos, exclusiones y criterio de aceptación no ratificados.</t>
  </si>
  <si>
    <t>Ratificar operación válida, fallo funcional y criterio formal.</t>
  </si>
  <si>
    <t>D-34-03; plan pruebas; API logs</t>
  </si>
  <si>
    <t>Clasificar 401/403 esperados como fallos.</t>
  </si>
  <si>
    <t>DP-08</t>
  </si>
  <si>
    <t>Media</t>
  </si>
  <si>
    <t>OP-02 disponibilidad semanal</t>
  </si>
  <si>
    <t>Criterio semanal y tipo de tiempo programado sin confirmación.</t>
  </si>
  <si>
    <t>Definir ventana completa, mantenimiento, servicios y umbral.</t>
  </si>
  <si>
    <t>D-34-03 y SRS</t>
  </si>
  <si>
    <t>Disponibilidad parcial no comparable.</t>
  </si>
  <si>
    <t>DP-09</t>
  </si>
  <si>
    <t>OP-04 aplicación SUS</t>
  </si>
  <si>
    <t>Participantes P01–P10 reservados, no evidencia de respuesta.</t>
  </si>
  <si>
    <t>Validar consentimientos, cuestionario español, n efectivamente válido y alcance del censo.</t>
  </si>
  <si>
    <t>D-34-02; cuestionarios</t>
  </si>
  <si>
    <t>Presentar censo supuesto como evaluado.</t>
  </si>
  <si>
    <t>DP-10</t>
  </si>
  <si>
    <t>OP-05 éxito de tarea</t>
  </si>
  <si>
    <t>No hay umbral de aceptación aprobado.</t>
  </si>
  <si>
    <t>Definir umbral solo si se justifica antes de evaluar; si no, descriptivo.</t>
  </si>
  <si>
    <t>D-34-03; plan verificación</t>
  </si>
  <si>
    <t>Dictamen sin criterio.</t>
  </si>
  <si>
    <t>DP-11</t>
  </si>
  <si>
    <t>OP-06/07 datos crudos</t>
  </si>
  <si>
    <t>Script k6 sin token real, etiquetado de escenarios ni evidencia temporal validada.</t>
  </si>
  <si>
    <t>Configurar ensayo; conservar exportación original y documentar p95/p99 por endpoint.</t>
  </si>
  <si>
    <t>load_test.js; resultados k6</t>
  </si>
  <si>
    <t>Percentiles globales impropiamente interpretados.</t>
  </si>
  <si>
    <t>DP-12</t>
  </si>
  <si>
    <t>OP-08 formularios</t>
  </si>
  <si>
    <t>Inventario no equivale a veredictos; umbral sin confirmar.</t>
  </si>
  <si>
    <t>Obtener lista de chequeo con veredictos y definir elegibilidad.</t>
  </si>
  <si>
    <t>D-34-04</t>
  </si>
  <si>
    <t>Porcentaje ficticio de conformidad.</t>
  </si>
  <si>
    <t>DP-13</t>
  </si>
  <si>
    <t>OP-09 duplicados</t>
  </si>
  <si>
    <t>Faltan claves de negocio y consultas SQL reproducibles.</t>
  </si>
  <si>
    <t>Definir unicidad por entidad y conjunto; ejecutar consultas con evidencia.</t>
  </si>
  <si>
    <t>schema.prisma; D-34-04</t>
  </si>
  <si>
    <t>Cero duplicados no comprobado.</t>
  </si>
  <si>
    <t>DP-14</t>
  </si>
  <si>
    <t>Inferencia y Shapiro-Wilk</t>
  </si>
  <si>
    <t>No consta una hipótesis inferencial explícita ni estructura de comparación.</t>
  </si>
  <si>
    <t>Mantener inferencia no seleccionada salvo diseño y pre-registro aprobado.</t>
  </si>
  <si>
    <t>3.3, 3.4, anteproyecto</t>
  </si>
  <si>
    <t>Prueba estadística innecesaria.</t>
  </si>
  <si>
    <t>DP-15</t>
  </si>
  <si>
    <t>Versiones reales herramientas</t>
  </si>
  <si>
    <t>No hay registro de k6, software estadístico y runtime ejecutados.</t>
  </si>
  <si>
    <t>Capturar salida de comandos y evidencia en entorno real.</t>
  </si>
  <si>
    <t>D-36-01; terminal; herramientas</t>
  </si>
  <si>
    <t>Versiones ficticias.</t>
  </si>
  <si>
    <t>DP-16</t>
  </si>
  <si>
    <t>OP-10 recuperación</t>
  </si>
  <si>
    <t>Regla de recuperación e intervalo de observación sin definición vigente verificable.</t>
  </si>
  <si>
    <t>Ratificar el esquema del complemento y distinguir conteo de tasa.</t>
  </si>
  <si>
    <t>Matriz operacionalización</t>
  </si>
  <si>
    <t>Indicador no reproducible.</t>
  </si>
  <si>
    <t>DP-17</t>
  </si>
  <si>
    <t>OP-11 MTBF</t>
  </si>
  <si>
    <t>Sin protocolo de fallos confirmados, censura y unidad temporal.</t>
  </si>
  <si>
    <t>Definir tiempo operativo y mínimo de intervalos, si indicador se ratifica.</t>
  </si>
  <si>
    <t>Media espuria sin fallos observados.</t>
  </si>
  <si>
    <t>TRAZABILIDAD DE FUENTES  |  SNAPSHOT GitHub</t>
  </si>
  <si>
    <t>Las fuentes que son código/Markdown se inspeccionaron; los XLSX solo se localizaron mediante ruta y SHA.</t>
  </si>
  <si>
    <t>Referencia</t>
  </si>
  <si>
    <t>Clase</t>
  </si>
  <si>
    <t>Repositorio / ruta</t>
  </si>
  <si>
    <t>SHA archivo (Git)</t>
  </si>
  <si>
    <t>Consulta realizada</t>
  </si>
  <si>
    <t>Estado de revisión</t>
  </si>
  <si>
    <t>Uso principal</t>
  </si>
  <si>
    <t>URL permanente</t>
  </si>
  <si>
    <t>FU-01</t>
  </si>
  <si>
    <t>Matriz operacionalización 02</t>
  </si>
  <si>
    <t>Libro XLSX</t>
  </si>
  <si>
    <t>Documentos Base/02_Matriz_Operacionalizacion_Variables_ICARO.xlsx</t>
  </si>
  <si>
    <t>d6be5dd51d8c37a0f3e67d729fa4f414d3c82b81</t>
  </si>
  <si>
    <t>Ruta y SHA confirmados</t>
  </si>
  <si>
    <t>Pendiente lectura binaria</t>
  </si>
  <si>
    <t>Nombres, fórmulas, OP-10/11</t>
  </si>
  <si>
    <t>https://github.com/SebastianCM020/Sistema_Gestion_Integral_Constructora/blob/b74af8e9f656b59bf68924daa02f5e22ca2c49ff/Documentos%20Base/02_Matriz_Operacionalizacion_Variables_ICARO.xlsx</t>
  </si>
  <si>
    <t>FU-02</t>
  </si>
  <si>
    <t>Plan verificación 03</t>
  </si>
  <si>
    <t>Documentos Base/03_Plan_Verificacion_Criterios_Aceptacion_ICARO.xlsx</t>
  </si>
  <si>
    <t>af4a8ffaca696bc24c989aaa7103016944130233</t>
  </si>
  <si>
    <t>Umbrales y operadores</t>
  </si>
  <si>
    <t>https://github.com/SebastianCM020/Sistema_Gestion_Integral_Constructora/blob/b74af8e9f656b59bf68924daa02f5e22ca2c49ff/Documentos%20Base/03_Plan_Verificacion_Criterios_Aceptacion_ICARO.xlsx</t>
  </si>
  <si>
    <t>FU-03</t>
  </si>
  <si>
    <t>D-34-01 Población/muestra</t>
  </si>
  <si>
    <t>Documentos Base/D-34-01_Matriz_Poblacion_Muestra_ICARO_CORREGIDA.xlsx</t>
  </si>
  <si>
    <t>3925f790af4ce7c96a5e6514c093e549d6d5dd2f</t>
  </si>
  <si>
    <t>N, censo, elegibilidad</t>
  </si>
  <si>
    <t>https://github.com/SebastianCM020/Sistema_Gestion_Integral_Constructora/blob/b74af8e9f656b59bf68924daa02f5e22ca2c49ff/Documentos%20Base/D-34-01_Matriz_Poblacion_Muestra_ICARO_CORREGIDA.xlsx</t>
  </si>
  <si>
    <t>FU-04</t>
  </si>
  <si>
    <t>D-34-02 participantes SUS</t>
  </si>
  <si>
    <t>Documentos Base/D-34-02_Registro_Participantes_SUS_ICARO_CORREGIDA.xlsx</t>
  </si>
  <si>
    <t>a8ee9f3fc4fb86856eb9f4dd2d231b76e5f6b557</t>
  </si>
  <si>
    <t>Cuestionarios válidos</t>
  </si>
  <si>
    <t>https://github.com/SebastianCM020/Sistema_Gestion_Integral_Constructora/blob/b74af8e9f656b59bf68924daa02f5e22ca2c49ff/Documentos%20Base/D-34-02_Registro_Participantes_SUS_ICARO_CORREGIDA.xlsx</t>
  </si>
  <si>
    <t>FU-05</t>
  </si>
  <si>
    <t>D-34-03 Escenarios/repeticiones</t>
  </si>
  <si>
    <t>Documentos Base/D-34-03_Plan_Escenarios_Repeticiones_ICARO_CORREGIDA.xlsx</t>
  </si>
  <si>
    <t>b89c4c7a6f00ce937fb67a1ae992f0e660751a41</t>
  </si>
  <si>
    <t>Escenarios y n de solicitudes</t>
  </si>
  <si>
    <t>https://github.com/SebastianCM020/Sistema_Gestion_Integral_Constructora/blob/b74af8e9f656b59bf68924daa02f5e22ca2c49ff/Documentos%20Base/D-34-03_Plan_Escenarios_Repeticiones_ICARO_CORREGIDA.xlsx</t>
  </si>
  <si>
    <t>FU-06</t>
  </si>
  <si>
    <t>D-34-04 Elementos evaluables</t>
  </si>
  <si>
    <t>Documentos Base/D-34-04_Inventario_Elementos_Evaluables_ICARO_CORREGIDA.xlsx</t>
  </si>
  <si>
    <t>16b8a1d36eda91a29689630b7ed86ff3112d08d7</t>
  </si>
  <si>
    <t>Universos de formularios y entidades</t>
  </si>
  <si>
    <t>https://github.com/SebastianCM020/Sistema_Gestion_Integral_Constructora/blob/b74af8e9f656b59bf68924daa02f5e22ca2c49ff/Documentos%20Base/D-34-04_Inventario_Elementos_Evaluables_ICARO_CORREGIDA.xlsx</t>
  </si>
  <si>
    <t>FU-07</t>
  </si>
  <si>
    <t>Prueba de carga k6</t>
  </si>
  <si>
    <t>Código JavaScript</t>
  </si>
  <si>
    <t>d1bb2e40448f174ebf7f97ac7fed60eaf18b2fbb</t>
  </si>
  <si>
    <t>Lectura directa vía GitHub</t>
  </si>
  <si>
    <t>Contenido inspeccionado</t>
  </si>
  <si>
    <t>P95&lt;2000, 20 VU, 2 rutas</t>
  </si>
  <si>
    <t>https://github.com/SebastianCM020/Sistema_Gestion_Integral_Constructora/blob/b74af8e9f656b59bf68924daa02f5e22ca2c49ff/backend/tests/load_test.js</t>
  </si>
  <si>
    <t>FU-08</t>
  </si>
  <si>
    <t>Guía calidad Sprint 11</t>
  </si>
  <si>
    <t>Markdown</t>
  </si>
  <si>
    <t>98f361d14901ce79cd8f59cbe058c45427fd81a1</t>
  </si>
  <si>
    <t>SUS &gt;= 75, ejecución k6</t>
  </si>
  <si>
    <t>https://github.com/SebastianCM020/Sistema_Gestion_Integral_Constructora/blob/b74af8e9f656b59bf68924daa02f5e22ca2c49ff/docs/sprint11_calidad_seguridad.md</t>
  </si>
  <si>
    <t>FU-09</t>
  </si>
  <si>
    <t>Pruebas seguridad</t>
  </si>
  <si>
    <t>backend/tests/sprint11_seguridad_calidad.test.js</t>
  </si>
  <si>
    <t>1d877d2d61300d6c633e3ff63e1dce57f07f3ac8</t>
  </si>
  <si>
    <t>Lectura de encabezado vía GitHub</t>
  </si>
  <si>
    <t>Contenido inspeccionado parcial</t>
  </si>
  <si>
    <t>Respuestas esperadas 400/401/403</t>
  </si>
  <si>
    <t>https://github.com/SebastianCM020/Sistema_Gestion_Integral_Constructora/blob/b74af8e9f656b59bf68924daa02f5e22ca2c49ff/backend/tests/sprint11_seguridad_calidad.test.js</t>
  </si>
  <si>
    <t>FU-10</t>
  </si>
  <si>
    <t>Esquema persistencia</t>
  </si>
  <si>
    <t>Prisma</t>
  </si>
  <si>
    <t>e50c44b8154af4f04bc624b54173502597639716</t>
  </si>
  <si>
    <t>Lectura selectiva vía GitHub</t>
  </si>
  <si>
    <t>Estructura consultada</t>
  </si>
  <si>
    <t>Entidades, unicidad y claves</t>
  </si>
  <si>
    <t>https://github.com/SebastianCM020/Sistema_Gestion_Integral_Constructora/blob/b74af8e9f656b59bf68924daa02f5e22ca2c49ff/backend/prisma/schema.prisma</t>
  </si>
  <si>
    <t>FU-11</t>
  </si>
  <si>
    <t>Código servidor</t>
  </si>
  <si>
    <t>backend/src/server.js</t>
  </si>
  <si>
    <t>885708c9fee80471ba2067c4ca656dd3343d19e6</t>
  </si>
  <si>
    <t>Lectura directa vía GitHub (turno previo)</t>
  </si>
  <si>
    <t>Endpoints disponibles</t>
  </si>
  <si>
    <t>https://github.com/SebastianCM020/Sistema_Gestion_Integral_Constructora/blob/b74af8e9f656b59bf68924daa02f5e22ca2c49ff/backend/src/server.js</t>
  </si>
  <si>
    <t>FU-12</t>
  </si>
  <si>
    <t>Paquete backend</t>
  </si>
  <si>
    <t>JSON</t>
  </si>
  <si>
    <t>backend/package.json</t>
  </si>
  <si>
    <t>442b6ec08aa68c24f1708233656410e30aa539a4</t>
  </si>
  <si>
    <t>Dependencias declaradas</t>
  </si>
  <si>
    <t>https://github.com/SebastianCM020/Sistema_Gestion_Integral_Constructora/blob/b74af8e9f656b59bf68924daa02f5e22ca2c49ff/backend/package.json</t>
  </si>
  <si>
    <t>FU-13</t>
  </si>
  <si>
    <t>Entorno D-36-01</t>
  </si>
  <si>
    <t>Referencia pendiente</t>
  </si>
  <si>
    <t>D-36-01_Ficha_Ambiente_Pruebas_ICARO.xlsx</t>
  </si>
  <si>
    <t>No localizado en árbol GitHub</t>
  </si>
  <si>
    <t>No accesible para contraste</t>
  </si>
  <si>
    <t>Hardware y software de pruebas</t>
  </si>
  <si>
    <t>FU-14</t>
  </si>
  <si>
    <t>Normas D-36-02</t>
  </si>
  <si>
    <t>D-36-02_Matriz_Normas_Estandares_ICARO.xlsx</t>
  </si>
  <si>
    <t>Correspondencia normativa</t>
  </si>
  <si>
    <t>VERIFICACIÓN INTERNA  |  CALIDAD DEL PLAN</t>
  </si>
  <si>
    <t>Registro interno de autocontrol técnico. No equivale a aprobación por director ni ejecución de evaluación.</t>
  </si>
  <si>
    <t>Control</t>
  </si>
  <si>
    <t>Hallazgo / riesgo</t>
  </si>
  <si>
    <t>Acción aplicada en D-37-01</t>
  </si>
  <si>
    <t>Estado técnico</t>
  </si>
  <si>
    <t>Pendiente externo</t>
  </si>
  <si>
    <t>Responsable de confirmar</t>
  </si>
  <si>
    <t>Fecha validación</t>
  </si>
  <si>
    <t>RT-01</t>
  </si>
  <si>
    <t>Indicadores complementarios podrían omitirse</t>
  </si>
  <si>
    <t>OP-10 y OP-11 incluidos y diferenciados</t>
  </si>
  <si>
    <t>Corregido</t>
  </si>
  <si>
    <t>Ratificar vigencia en XLSX vigente</t>
  </si>
  <si>
    <t>02_PLAN_POR_INDICADOR</t>
  </si>
  <si>
    <t>RT-02</t>
  </si>
  <si>
    <t>Hipótesis/tratamientos inferenciales inventados</t>
  </si>
  <si>
    <t>Matrices CT/EF son catálogos condicionales; campos vacíos</t>
  </si>
  <si>
    <t>Si se propusiera contraste, formalizar hipótesis y diseño</t>
  </si>
  <si>
    <t>04_MATRIZ_CONTRASTES</t>
  </si>
  <si>
    <t>RT-03</t>
  </si>
  <si>
    <t>SUS con denominador de participantes previstos</t>
  </si>
  <si>
    <t>Criterio vinculado únicamente a cuestionarios completos</t>
  </si>
  <si>
    <t>Recoger cuestionarios válidos reales</t>
  </si>
  <si>
    <t>RT-04</t>
  </si>
  <si>
    <t>Tasas sin aprobación por falta de umbral</t>
  </si>
  <si>
    <t>Umbrales inciertos y operadores pendientes vacíos</t>
  </si>
  <si>
    <t>Resolver disponibilidad y P95</t>
  </si>
  <si>
    <t>DP-01, DP-02</t>
  </si>
  <si>
    <t>RT-05</t>
  </si>
  <si>
    <t>Percentil 99 extrapolado del 95</t>
  </si>
  <si>
    <t>Indicadores separados y requerimiento de datos crudos</t>
  </si>
  <si>
    <t>Exportar tiempos y definir procedimiento estadístico</t>
  </si>
  <si>
    <t>OP-06/OP-07</t>
  </si>
  <si>
    <t>RT-06</t>
  </si>
  <si>
    <t>Confundir scripts con ensayos ejecutados</t>
  </si>
  <si>
    <t>Todos los estados de medición comienzan Sin resultados</t>
  </si>
  <si>
    <t>Aportar logs firmados y datos de corrida</t>
  </si>
  <si>
    <t>06_HERRAMIENTAS_VERSIONES</t>
  </si>
  <si>
    <t>RT-07</t>
  </si>
  <si>
    <t>Ausencia de controles de método</t>
  </si>
  <si>
    <t>Catálogos de supuestos, contrastes, efecto y herramientas</t>
  </si>
  <si>
    <t>Escoger herramientas solo tras evidencia</t>
  </si>
  <si>
    <t>03-06</t>
  </si>
  <si>
    <t>RT-08</t>
  </si>
  <si>
    <t>Interpretar UUID como ausencia de duplicados</t>
  </si>
  <si>
    <t>Claves de negocio y consultas documentadas como pendientes</t>
  </si>
  <si>
    <t>Acordar clave por entidad y ejecutar SQL</t>
  </si>
  <si>
    <t>RT-09</t>
  </si>
  <si>
    <t>No poder constatar interior de XLSX desde repositorio</t>
  </si>
  <si>
    <t>Rutas y hashes auditables y pendiente de cotejo binario</t>
  </si>
  <si>
    <t>Limitación</t>
  </si>
  <si>
    <t>Obtener copias XLSX vigentes y ratificar umbrales exactos</t>
  </si>
  <si>
    <t>FU-01 a FU-06</t>
  </si>
  <si>
    <t>RT-10</t>
  </si>
  <si>
    <t>Resultados o dictámenes precargados</t>
  </si>
  <si>
    <t>No hay resultados numéricos ni pruebas declaradas ejecutadas</t>
  </si>
  <si>
    <t>Registrar mediciones reales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</si>
</sst>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7"/>
      <color rgb="FFFFFFFF"/>
      <name val="Carlito"/>
    </font>
    <font>
      <sz val="10"/>
      <color rgb="FF17324D"/>
      <name val="Carlito"/>
    </font>
    <font>
      <b/>
      <sz val="10"/>
      <color rgb="FF17324D"/>
      <name val="Carlito"/>
    </font>
    <font>
      <sz val="10"/>
      <color rgb="FF263849"/>
      <name val="Carlito"/>
    </font>
    <font>
      <b/>
      <sz val="10"/>
      <color rgb="FF955F12"/>
      <name val="Carlito"/>
    </font>
    <font>
      <b/>
      <sz val="11"/>
      <color rgb="FFFFFFFF"/>
      <name val="Carlito"/>
    </font>
    <font>
      <b/>
      <sz val="21"/>
      <color rgb="FF0D718C"/>
      <name val="Carlito"/>
    </font>
    <font>
      <b/>
      <sz val="10"/>
      <color rgb="FFFFFFFF"/>
      <name val="Carlito"/>
    </font>
    <font>
      <b/>
      <sz val="11"/>
      <color rgb="FF955F12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4F8"/>
      </patternFill>
    </fill>
    <fill>
      <patternFill patternType="solid">
        <fgColor rgb="FFFFFFFF"/>
      </patternFill>
    </fill>
    <fill>
      <patternFill patternType="solid">
        <fgColor rgb="FFF6F8FB"/>
      </patternFill>
    </fill>
    <fill>
      <patternFill patternType="solid">
        <fgColor rgb="FFFFF1D7"/>
      </patternFill>
    </fill>
    <fill>
      <patternFill patternType="solid">
        <fgColor rgb="FF28445E"/>
      </patternFill>
    </fill>
    <fill>
      <patternFill patternType="solid">
        <fgColor rgb="FF0D718C"/>
      </patternFill>
    </fill>
    <fill>
      <patternFill patternType="solid">
        <fgColor rgb="FFEB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0" xfId="0" applyFont="1" applyFill="1" applyAlignment="1">
      <alignment vertical="center" wrapText="1"/>
    </xf>
    <xf numFmtId="0" fontId="8" fillId="8" borderId="0" xfId="0" applyFont="1" applyFill="1" applyAlignment="1">
      <alignment vertical="center" wrapText="1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6" fillId="2" borderId="0" xfId="0" applyFont="1" applyFill="1"/>
    <xf numFmtId="0" fontId="3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6" fillId="7" borderId="0" xfId="0" applyFont="1" applyFill="1"/>
    <xf numFmtId="0" fontId="4" fillId="4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9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workbookViewId="0"/>
  </sheetViews>
  <sheetFormatPr baseColWidth="10" defaultColWidth="9" defaultRowHeight="14.25"/>
  <cols>
    <col min="1" max="1" width="22" customWidth="1"/>
    <col min="2" max="2" width="25" customWidth="1"/>
    <col min="3" max="3" width="22" customWidth="1"/>
    <col min="4" max="4" width="24" customWidth="1"/>
    <col min="5" max="6" width="20" customWidth="1"/>
    <col min="7" max="7" width="24" customWidth="1"/>
    <col min="8" max="8" width="27" customWidth="1"/>
  </cols>
  <sheetData>
    <row r="1" spans="1:8" ht="24" customHeight="1">
      <c r="A1" s="8" t="s">
        <v>0</v>
      </c>
      <c r="B1" s="8"/>
      <c r="C1" s="8"/>
      <c r="D1" s="8"/>
      <c r="E1" s="8"/>
      <c r="F1" s="8"/>
      <c r="G1" s="8"/>
      <c r="H1" s="8"/>
    </row>
    <row r="2" spans="1:8" ht="24" customHeight="1">
      <c r="A2" s="8"/>
      <c r="B2" s="8"/>
      <c r="C2" s="8"/>
      <c r="D2" s="8"/>
      <c r="E2" s="8"/>
      <c r="F2" s="8"/>
      <c r="G2" s="8"/>
      <c r="H2" s="8"/>
    </row>
    <row r="3" spans="1:8" ht="27" customHeight="1">
      <c r="A3" s="9" t="s">
        <v>1</v>
      </c>
      <c r="B3" s="9"/>
      <c r="C3" s="9"/>
      <c r="D3" s="9"/>
      <c r="E3" s="9"/>
      <c r="F3" s="9"/>
      <c r="G3" s="9"/>
      <c r="H3" s="9"/>
    </row>
    <row r="5" spans="1:8" ht="32.1" customHeight="1">
      <c r="A5" s="1" t="s">
        <v>2</v>
      </c>
      <c r="B5" s="10" t="s">
        <v>3</v>
      </c>
      <c r="C5" s="10"/>
      <c r="D5" s="10"/>
      <c r="E5" s="10"/>
      <c r="F5" s="10"/>
      <c r="G5" s="10"/>
      <c r="H5" s="10"/>
    </row>
    <row r="6" spans="1:8" ht="32.1" customHeight="1">
      <c r="A6" s="1" t="s">
        <v>4</v>
      </c>
      <c r="B6" s="11" t="s">
        <v>5</v>
      </c>
      <c r="C6" s="11"/>
      <c r="D6" s="11"/>
      <c r="E6" s="11"/>
      <c r="F6" s="11"/>
      <c r="G6" s="11"/>
      <c r="H6" s="11"/>
    </row>
    <row r="7" spans="1:8" ht="32.1" customHeight="1">
      <c r="A7" s="1" t="s">
        <v>6</v>
      </c>
      <c r="B7" s="10" t="s">
        <v>7</v>
      </c>
      <c r="C7" s="10"/>
      <c r="D7" s="10"/>
      <c r="E7" s="10"/>
      <c r="F7" s="10"/>
      <c r="G7" s="10"/>
      <c r="H7" s="10"/>
    </row>
    <row r="8" spans="1:8" ht="32.1" customHeight="1">
      <c r="A8" s="1" t="s">
        <v>8</v>
      </c>
      <c r="B8" s="11" t="s">
        <v>9</v>
      </c>
      <c r="C8" s="11"/>
      <c r="D8" s="11"/>
      <c r="E8" s="11"/>
      <c r="F8" s="11"/>
      <c r="G8" s="11"/>
      <c r="H8" s="11"/>
    </row>
    <row r="9" spans="1:8" ht="32.1" customHeight="1">
      <c r="A9" s="1" t="s">
        <v>10</v>
      </c>
      <c r="B9" s="10" t="s">
        <v>11</v>
      </c>
      <c r="C9" s="10"/>
      <c r="D9" s="10"/>
      <c r="E9" s="10"/>
      <c r="F9" s="10"/>
      <c r="G9" s="10"/>
      <c r="H9" s="10"/>
    </row>
    <row r="10" spans="1:8" ht="32.1" customHeight="1">
      <c r="A10" s="1" t="s">
        <v>12</v>
      </c>
      <c r="B10" s="11" t="s">
        <v>13</v>
      </c>
      <c r="C10" s="11"/>
      <c r="D10" s="11"/>
      <c r="E10" s="11"/>
      <c r="F10" s="11"/>
      <c r="G10" s="11"/>
      <c r="H10" s="11"/>
    </row>
    <row r="11" spans="1:8" ht="32.1" customHeight="1">
      <c r="A11" s="1" t="s">
        <v>14</v>
      </c>
      <c r="B11" s="10" t="s">
        <v>15</v>
      </c>
      <c r="C11" s="10"/>
      <c r="D11" s="10"/>
      <c r="E11" s="10"/>
      <c r="F11" s="10"/>
      <c r="G11" s="10"/>
      <c r="H11" s="10"/>
    </row>
    <row r="12" spans="1:8" ht="32.1" customHeight="1">
      <c r="A12" s="1" t="s">
        <v>16</v>
      </c>
      <c r="B12" s="11" t="s">
        <v>17</v>
      </c>
      <c r="C12" s="11"/>
      <c r="D12" s="11"/>
      <c r="E12" s="11"/>
      <c r="F12" s="11"/>
      <c r="G12" s="11"/>
      <c r="H12" s="11"/>
    </row>
    <row r="13" spans="1:8" ht="32.1" customHeight="1">
      <c r="A13" s="1" t="s">
        <v>18</v>
      </c>
      <c r="B13" s="10" t="s">
        <v>19</v>
      </c>
      <c r="C13" s="10"/>
      <c r="D13" s="10"/>
      <c r="E13" s="10"/>
      <c r="F13" s="10"/>
      <c r="G13" s="10"/>
      <c r="H13" s="10"/>
    </row>
    <row r="14" spans="1:8" ht="32.1" customHeight="1">
      <c r="A14" s="1" t="s">
        <v>20</v>
      </c>
      <c r="B14" s="11" t="s">
        <v>21</v>
      </c>
      <c r="C14" s="11"/>
      <c r="D14" s="11"/>
      <c r="E14" s="11"/>
      <c r="F14" s="11"/>
      <c r="G14" s="11"/>
      <c r="H14" s="11"/>
    </row>
    <row r="15" spans="1:8" ht="32.1" customHeight="1">
      <c r="A15" s="1" t="s">
        <v>22</v>
      </c>
      <c r="B15" s="10" t="s">
        <v>23</v>
      </c>
      <c r="C15" s="10"/>
      <c r="D15" s="10"/>
      <c r="E15" s="10"/>
      <c r="F15" s="10"/>
      <c r="G15" s="10"/>
      <c r="H15" s="10"/>
    </row>
    <row r="16" spans="1:8" ht="32.1" customHeight="1">
      <c r="A16" s="1" t="s">
        <v>24</v>
      </c>
      <c r="B16" s="11" t="s">
        <v>25</v>
      </c>
      <c r="C16" s="11"/>
      <c r="D16" s="11"/>
      <c r="E16" s="11"/>
      <c r="F16" s="11"/>
      <c r="G16" s="11"/>
      <c r="H16" s="11"/>
    </row>
    <row r="18" spans="1:8" ht="33.950000000000003" customHeight="1">
      <c r="A18" s="12" t="s">
        <v>26</v>
      </c>
      <c r="B18" s="12"/>
      <c r="C18" s="12"/>
      <c r="D18" s="12"/>
      <c r="E18" s="12"/>
      <c r="F18" s="12"/>
      <c r="G18" s="12"/>
      <c r="H18" s="12"/>
    </row>
    <row r="19" spans="1:8" ht="33.950000000000003" customHeight="1">
      <c r="A19" s="12"/>
      <c r="B19" s="12"/>
      <c r="C19" s="12"/>
      <c r="D19" s="12"/>
      <c r="E19" s="12"/>
      <c r="F19" s="12"/>
      <c r="G19" s="12"/>
      <c r="H19" s="12"/>
    </row>
    <row r="21" spans="1:8" ht="27" customHeight="1">
      <c r="A21" s="13" t="s">
        <v>27</v>
      </c>
      <c r="B21" s="13"/>
      <c r="C21" s="13"/>
      <c r="D21" s="13"/>
      <c r="E21" s="13"/>
      <c r="F21" s="13"/>
      <c r="G21" s="13"/>
      <c r="H21" s="13"/>
    </row>
    <row r="22" spans="1:8" ht="24" customHeight="1">
      <c r="A22" s="14" t="s">
        <v>28</v>
      </c>
      <c r="B22" s="14"/>
      <c r="C22" s="14" t="s">
        <v>29</v>
      </c>
      <c r="D22" s="14"/>
      <c r="E22" s="14" t="s">
        <v>30</v>
      </c>
      <c r="F22" s="14"/>
      <c r="G22" s="14" t="s">
        <v>31</v>
      </c>
      <c r="H22" s="14"/>
    </row>
    <row r="23" spans="1:8" ht="21.95" customHeight="1">
      <c r="A23" s="15">
        <f>COUNTA('02_PLAN_POR_INDICADOR'!A8:A18)</f>
        <v>11</v>
      </c>
      <c r="B23" s="15"/>
      <c r="C23" s="15">
        <f>COUNTIF('02_PLAN_POR_INDICADOR'!B8:B18,"Principal")</f>
        <v>9</v>
      </c>
      <c r="D23" s="15"/>
      <c r="E23" s="15">
        <f>COUNTIF('02_PLAN_POR_INDICADOR'!B8:B18,"Complementario")</f>
        <v>2</v>
      </c>
      <c r="F23" s="15"/>
      <c r="G23" s="15">
        <f>COUNTIF('02_PLAN_POR_INDICADOR'!U8:U18,"Con evidencia")</f>
        <v>0</v>
      </c>
      <c r="H23" s="15"/>
    </row>
    <row r="24" spans="1:8" ht="21.95" customHeight="1">
      <c r="A24" s="15"/>
      <c r="B24" s="15"/>
      <c r="C24" s="15"/>
      <c r="D24" s="15"/>
      <c r="E24" s="15"/>
      <c r="F24" s="15"/>
      <c r="G24" s="15"/>
      <c r="H24" s="15"/>
    </row>
    <row r="27" spans="1:8" ht="27.95" customHeight="1">
      <c r="A27" s="16" t="s">
        <v>32</v>
      </c>
      <c r="B27" s="16"/>
      <c r="C27" s="16"/>
      <c r="D27" s="16"/>
      <c r="E27" s="16"/>
      <c r="F27" s="16"/>
      <c r="G27" s="16"/>
      <c r="H27" s="16"/>
    </row>
    <row r="28" spans="1:8" ht="26.1" customHeight="1">
      <c r="A28" s="17" t="s">
        <v>33</v>
      </c>
      <c r="B28" s="17"/>
      <c r="C28" s="17"/>
      <c r="D28" s="17"/>
      <c r="E28" s="17"/>
      <c r="F28" s="17"/>
      <c r="G28" s="17"/>
      <c r="H28" s="17"/>
    </row>
    <row r="29" spans="1:8" ht="26.1" customHeight="1">
      <c r="A29" s="18" t="s">
        <v>34</v>
      </c>
      <c r="B29" s="18"/>
      <c r="C29" s="18"/>
      <c r="D29" s="18"/>
      <c r="E29" s="18"/>
      <c r="F29" s="18"/>
      <c r="G29" s="18"/>
      <c r="H29" s="18"/>
    </row>
    <row r="30" spans="1:8" ht="26.1" customHeight="1">
      <c r="A30" s="17" t="s">
        <v>35</v>
      </c>
      <c r="B30" s="17"/>
      <c r="C30" s="17"/>
      <c r="D30" s="17"/>
      <c r="E30" s="17"/>
      <c r="F30" s="17"/>
      <c r="G30" s="17"/>
      <c r="H30" s="17"/>
    </row>
    <row r="31" spans="1:8" ht="26.1" customHeight="1">
      <c r="A31" s="18" t="s">
        <v>36</v>
      </c>
      <c r="B31" s="18"/>
      <c r="C31" s="18"/>
      <c r="D31" s="18"/>
      <c r="E31" s="18"/>
      <c r="F31" s="18"/>
      <c r="G31" s="18"/>
      <c r="H31" s="18"/>
    </row>
    <row r="32" spans="1:8" ht="26.1" customHeight="1">
      <c r="A32" s="17" t="s">
        <v>37</v>
      </c>
      <c r="B32" s="17"/>
      <c r="C32" s="17"/>
      <c r="D32" s="17"/>
      <c r="E32" s="17"/>
      <c r="F32" s="17"/>
      <c r="G32" s="17"/>
      <c r="H32" s="17"/>
    </row>
    <row r="35" spans="1:8" ht="39.950000000000003" customHeight="1">
      <c r="A35" s="19" t="s">
        <v>38</v>
      </c>
      <c r="B35" s="19"/>
      <c r="C35" s="19"/>
      <c r="D35" s="19"/>
      <c r="E35" s="19"/>
      <c r="F35" s="19"/>
      <c r="G35" s="19"/>
      <c r="H35" s="19"/>
    </row>
    <row r="37" spans="1:8" ht="32.1" customHeight="1">
      <c r="A37" s="20" t="s">
        <v>39</v>
      </c>
      <c r="B37" s="20"/>
      <c r="C37" s="20"/>
      <c r="D37" s="20"/>
      <c r="E37" s="20"/>
      <c r="F37" s="20"/>
      <c r="G37" s="20"/>
      <c r="H37" s="20"/>
    </row>
    <row r="38" spans="1:8" ht="32.1" customHeight="1">
      <c r="A38" s="20"/>
      <c r="B38" s="20"/>
      <c r="C38" s="20"/>
      <c r="D38" s="20"/>
      <c r="E38" s="20"/>
      <c r="F38" s="20"/>
      <c r="G38" s="20"/>
      <c r="H38" s="20"/>
    </row>
  </sheetData>
  <mergeCells count="32">
    <mergeCell ref="A32:H32"/>
    <mergeCell ref="A35:H35"/>
    <mergeCell ref="A37:H38"/>
    <mergeCell ref="A27:H27"/>
    <mergeCell ref="A28:H28"/>
    <mergeCell ref="A29:H29"/>
    <mergeCell ref="A30:H30"/>
    <mergeCell ref="A31:H31"/>
    <mergeCell ref="A21:H21"/>
    <mergeCell ref="A22:B22"/>
    <mergeCell ref="A23:B24"/>
    <mergeCell ref="C22:D22"/>
    <mergeCell ref="C23:D24"/>
    <mergeCell ref="E22:F22"/>
    <mergeCell ref="E23:F24"/>
    <mergeCell ref="G22:H22"/>
    <mergeCell ref="G23:H24"/>
    <mergeCell ref="B13:H13"/>
    <mergeCell ref="B14:H14"/>
    <mergeCell ref="B15:H15"/>
    <mergeCell ref="B16:H16"/>
    <mergeCell ref="A18:H19"/>
    <mergeCell ref="B8:H8"/>
    <mergeCell ref="B9:H9"/>
    <mergeCell ref="B10:H10"/>
    <mergeCell ref="B11:H11"/>
    <mergeCell ref="B12:H12"/>
    <mergeCell ref="A1:H2"/>
    <mergeCell ref="A3:H3"/>
    <mergeCell ref="B5:H5"/>
    <mergeCell ref="B6:H6"/>
    <mergeCell ref="B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8"/>
  <sheetViews>
    <sheetView workbookViewId="0">
      <pane ySplit="7" topLeftCell="A8" activePane="bottomLeft" state="frozen"/>
      <selection pane="bottomLeft"/>
    </sheetView>
  </sheetViews>
  <sheetFormatPr baseColWidth="10" defaultColWidth="9" defaultRowHeight="14.25"/>
  <cols>
    <col min="1" max="1" width="12" customWidth="1"/>
    <col min="2" max="2" width="17" customWidth="1"/>
    <col min="3" max="3" width="29" customWidth="1"/>
    <col min="4" max="5" width="27" customWidth="1"/>
    <col min="6" max="6" width="38" customWidth="1"/>
    <col min="7" max="7" width="45" customWidth="1"/>
    <col min="8" max="8" width="22" customWidth="1"/>
    <col min="9" max="9" width="35" customWidth="1"/>
    <col min="10" max="10" width="45" customWidth="1"/>
    <col min="11" max="11" width="14" customWidth="1"/>
    <col min="12" max="12" width="13" customWidth="1"/>
    <col min="13" max="13" width="20" customWidth="1"/>
    <col min="14" max="14" width="17" customWidth="1"/>
    <col min="15" max="15" width="25" customWidth="1"/>
    <col min="16" max="16" width="23" customWidth="1"/>
    <col min="17" max="17" width="45" customWidth="1"/>
    <col min="18" max="18" width="25" customWidth="1"/>
    <col min="19" max="19" width="41" customWidth="1"/>
    <col min="20" max="20" width="36" customWidth="1"/>
    <col min="21" max="21" width="22" customWidth="1"/>
    <col min="22" max="22" width="30" customWidth="1"/>
    <col min="23" max="23" width="43" customWidth="1"/>
  </cols>
  <sheetData>
    <row r="1" spans="1:23" ht="24" customHeight="1">
      <c r="A1" s="8" t="s">
        <v>40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24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7" customHeight="1">
      <c r="A3" s="9" t="s">
        <v>41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33.950000000000003" customHeight="1">
      <c r="A5" s="12" t="s">
        <v>42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7" spans="1:23" ht="47.1" customHeight="1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51</v>
      </c>
      <c r="J7" s="2" t="s">
        <v>52</v>
      </c>
      <c r="K7" s="2" t="s">
        <v>53</v>
      </c>
      <c r="L7" s="2" t="s">
        <v>54</v>
      </c>
      <c r="M7" s="2" t="s">
        <v>55</v>
      </c>
      <c r="N7" s="2" t="s">
        <v>56</v>
      </c>
      <c r="O7" s="2" t="s">
        <v>57</v>
      </c>
      <c r="P7" s="2" t="s">
        <v>58</v>
      </c>
      <c r="Q7" s="2" t="s">
        <v>59</v>
      </c>
      <c r="R7" s="2" t="s">
        <v>60</v>
      </c>
      <c r="S7" s="2" t="s">
        <v>61</v>
      </c>
      <c r="T7" s="2" t="s">
        <v>62</v>
      </c>
      <c r="U7" s="2" t="s">
        <v>63</v>
      </c>
      <c r="V7" s="2" t="s">
        <v>64</v>
      </c>
      <c r="W7" s="2" t="s">
        <v>65</v>
      </c>
    </row>
    <row r="8" spans="1:23" ht="111.95" customHeight="1">
      <c r="A8" s="4" t="s">
        <v>66</v>
      </c>
      <c r="B8" s="4" t="s">
        <v>67</v>
      </c>
      <c r="C8" s="4" t="s">
        <v>68</v>
      </c>
      <c r="D8" s="4" t="s">
        <v>69</v>
      </c>
      <c r="E8" s="4" t="s">
        <v>70</v>
      </c>
      <c r="F8" s="4" t="s">
        <v>71</v>
      </c>
      <c r="G8" s="4" t="s">
        <v>72</v>
      </c>
      <c r="H8" s="4" t="s">
        <v>73</v>
      </c>
      <c r="I8" s="4" t="s">
        <v>74</v>
      </c>
      <c r="J8" s="4" t="s">
        <v>75</v>
      </c>
      <c r="K8" s="4"/>
      <c r="L8" s="4"/>
      <c r="M8" s="4" t="s">
        <v>76</v>
      </c>
      <c r="N8" s="4" t="s">
        <v>77</v>
      </c>
      <c r="O8" s="5"/>
      <c r="P8" s="5"/>
      <c r="Q8" s="4" t="s">
        <v>78</v>
      </c>
      <c r="R8" s="4"/>
      <c r="S8" s="4" t="s">
        <v>79</v>
      </c>
      <c r="T8" s="4" t="s">
        <v>80</v>
      </c>
      <c r="U8" s="4" t="s">
        <v>81</v>
      </c>
      <c r="V8" s="5"/>
      <c r="W8" s="5" t="s">
        <v>82</v>
      </c>
    </row>
    <row r="9" spans="1:23" ht="111.95" customHeight="1">
      <c r="A9" s="3" t="s">
        <v>83</v>
      </c>
      <c r="B9" s="3" t="s">
        <v>67</v>
      </c>
      <c r="C9" s="3" t="s">
        <v>84</v>
      </c>
      <c r="D9" s="3" t="s">
        <v>85</v>
      </c>
      <c r="E9" s="3" t="s">
        <v>86</v>
      </c>
      <c r="F9" s="3" t="s">
        <v>87</v>
      </c>
      <c r="G9" s="3" t="s">
        <v>88</v>
      </c>
      <c r="H9" s="3" t="s">
        <v>89</v>
      </c>
      <c r="I9" s="3" t="s">
        <v>90</v>
      </c>
      <c r="J9" s="3" t="s">
        <v>91</v>
      </c>
      <c r="K9" s="3"/>
      <c r="L9" s="3"/>
      <c r="M9" s="3" t="s">
        <v>92</v>
      </c>
      <c r="N9" s="3" t="s">
        <v>93</v>
      </c>
      <c r="O9" s="5"/>
      <c r="P9" s="5"/>
      <c r="Q9" s="3" t="s">
        <v>94</v>
      </c>
      <c r="R9" s="3"/>
      <c r="S9" s="3" t="s">
        <v>95</v>
      </c>
      <c r="T9" s="3" t="s">
        <v>96</v>
      </c>
      <c r="U9" s="3" t="s">
        <v>81</v>
      </c>
      <c r="V9" s="5"/>
      <c r="W9" s="5" t="s">
        <v>97</v>
      </c>
    </row>
    <row r="10" spans="1:23" ht="111.95" customHeight="1">
      <c r="A10" s="4" t="s">
        <v>98</v>
      </c>
      <c r="B10" s="4" t="s">
        <v>67</v>
      </c>
      <c r="C10" s="4" t="s">
        <v>99</v>
      </c>
      <c r="D10" s="4" t="s">
        <v>85</v>
      </c>
      <c r="E10" s="4" t="s">
        <v>86</v>
      </c>
      <c r="F10" s="4" t="s">
        <v>100</v>
      </c>
      <c r="G10" s="4" t="s">
        <v>101</v>
      </c>
      <c r="H10" s="4" t="s">
        <v>89</v>
      </c>
      <c r="I10" s="4" t="s">
        <v>90</v>
      </c>
      <c r="J10" s="4" t="s">
        <v>102</v>
      </c>
      <c r="K10" s="4"/>
      <c r="L10" s="4"/>
      <c r="M10" s="7" t="s">
        <v>103</v>
      </c>
      <c r="N10" s="4" t="s">
        <v>93</v>
      </c>
      <c r="O10" s="5"/>
      <c r="P10" s="5"/>
      <c r="Q10" s="4" t="s">
        <v>104</v>
      </c>
      <c r="R10" s="4"/>
      <c r="S10" s="4" t="s">
        <v>105</v>
      </c>
      <c r="T10" s="4" t="s">
        <v>106</v>
      </c>
      <c r="U10" s="4" t="s">
        <v>81</v>
      </c>
      <c r="V10" s="5"/>
      <c r="W10" s="5" t="s">
        <v>107</v>
      </c>
    </row>
    <row r="11" spans="1:23" ht="111.95" customHeight="1">
      <c r="A11" s="3" t="s">
        <v>108</v>
      </c>
      <c r="B11" s="3" t="s">
        <v>67</v>
      </c>
      <c r="C11" s="3" t="s">
        <v>109</v>
      </c>
      <c r="D11" s="3" t="s">
        <v>110</v>
      </c>
      <c r="E11" s="3" t="s">
        <v>111</v>
      </c>
      <c r="F11" s="3" t="s">
        <v>112</v>
      </c>
      <c r="G11" s="3" t="s">
        <v>113</v>
      </c>
      <c r="H11" s="3" t="s">
        <v>114</v>
      </c>
      <c r="I11" s="3" t="s">
        <v>115</v>
      </c>
      <c r="J11" s="3" t="s">
        <v>116</v>
      </c>
      <c r="K11" s="3">
        <v>75</v>
      </c>
      <c r="L11" s="3" t="s">
        <v>117</v>
      </c>
      <c r="M11" s="3" t="s">
        <v>118</v>
      </c>
      <c r="N11" s="3" t="s">
        <v>77</v>
      </c>
      <c r="O11" s="5"/>
      <c r="P11" s="5"/>
      <c r="Q11" s="3" t="s">
        <v>119</v>
      </c>
      <c r="R11" s="3"/>
      <c r="S11" s="3" t="s">
        <v>120</v>
      </c>
      <c r="T11" s="3" t="s">
        <v>121</v>
      </c>
      <c r="U11" s="3" t="s">
        <v>81</v>
      </c>
      <c r="V11" s="5"/>
      <c r="W11" s="5" t="s">
        <v>122</v>
      </c>
    </row>
    <row r="12" spans="1:23" ht="111.95" customHeight="1">
      <c r="A12" s="4" t="s">
        <v>123</v>
      </c>
      <c r="B12" s="4" t="s">
        <v>67</v>
      </c>
      <c r="C12" s="4" t="s">
        <v>124</v>
      </c>
      <c r="D12" s="4" t="s">
        <v>125</v>
      </c>
      <c r="E12" s="4" t="s">
        <v>126</v>
      </c>
      <c r="F12" s="4" t="s">
        <v>127</v>
      </c>
      <c r="G12" s="4" t="s">
        <v>128</v>
      </c>
      <c r="H12" s="4" t="s">
        <v>89</v>
      </c>
      <c r="I12" s="4" t="s">
        <v>129</v>
      </c>
      <c r="J12" s="4" t="s">
        <v>130</v>
      </c>
      <c r="K12" s="4"/>
      <c r="L12" s="4"/>
      <c r="M12" s="4" t="s">
        <v>131</v>
      </c>
      <c r="N12" s="4" t="s">
        <v>77</v>
      </c>
      <c r="O12" s="5"/>
      <c r="P12" s="5"/>
      <c r="Q12" s="4" t="s">
        <v>132</v>
      </c>
      <c r="R12" s="4"/>
      <c r="S12" s="4" t="s">
        <v>133</v>
      </c>
      <c r="T12" s="4" t="s">
        <v>134</v>
      </c>
      <c r="U12" s="4" t="s">
        <v>81</v>
      </c>
      <c r="V12" s="5"/>
      <c r="W12" s="5" t="s">
        <v>135</v>
      </c>
    </row>
    <row r="13" spans="1:23" ht="111.95" customHeight="1">
      <c r="A13" s="3" t="s">
        <v>136</v>
      </c>
      <c r="B13" s="3" t="s">
        <v>67</v>
      </c>
      <c r="C13" s="3" t="s">
        <v>137</v>
      </c>
      <c r="D13" s="3" t="s">
        <v>138</v>
      </c>
      <c r="E13" s="3" t="s">
        <v>139</v>
      </c>
      <c r="F13" s="3" t="s">
        <v>140</v>
      </c>
      <c r="G13" s="3" t="s">
        <v>141</v>
      </c>
      <c r="H13" s="3" t="s">
        <v>142</v>
      </c>
      <c r="I13" s="3" t="s">
        <v>143</v>
      </c>
      <c r="J13" s="3" t="s">
        <v>144</v>
      </c>
      <c r="K13" s="3">
        <v>2000</v>
      </c>
      <c r="L13" s="3"/>
      <c r="M13" s="7" t="s">
        <v>145</v>
      </c>
      <c r="N13" s="3" t="s">
        <v>77</v>
      </c>
      <c r="O13" s="5"/>
      <c r="P13" s="5"/>
      <c r="Q13" s="3" t="s">
        <v>146</v>
      </c>
      <c r="R13" s="3"/>
      <c r="S13" s="3" t="s">
        <v>147</v>
      </c>
      <c r="T13" s="3" t="s">
        <v>148</v>
      </c>
      <c r="U13" s="3" t="s">
        <v>81</v>
      </c>
      <c r="V13" s="5"/>
      <c r="W13" s="5" t="s">
        <v>149</v>
      </c>
    </row>
    <row r="14" spans="1:23" ht="111.95" customHeight="1">
      <c r="A14" s="4" t="s">
        <v>150</v>
      </c>
      <c r="B14" s="4" t="s">
        <v>67</v>
      </c>
      <c r="C14" s="4" t="s">
        <v>151</v>
      </c>
      <c r="D14" s="4" t="s">
        <v>138</v>
      </c>
      <c r="E14" s="4" t="s">
        <v>139</v>
      </c>
      <c r="F14" s="4" t="s">
        <v>152</v>
      </c>
      <c r="G14" s="4" t="s">
        <v>153</v>
      </c>
      <c r="H14" s="4" t="s">
        <v>142</v>
      </c>
      <c r="I14" s="4" t="s">
        <v>154</v>
      </c>
      <c r="J14" s="4" t="s">
        <v>155</v>
      </c>
      <c r="K14" s="4"/>
      <c r="L14" s="4"/>
      <c r="M14" s="4" t="s">
        <v>131</v>
      </c>
      <c r="N14" s="4" t="s">
        <v>77</v>
      </c>
      <c r="O14" s="5"/>
      <c r="P14" s="5"/>
      <c r="Q14" s="4" t="s">
        <v>156</v>
      </c>
      <c r="R14" s="4"/>
      <c r="S14" s="4" t="s">
        <v>157</v>
      </c>
      <c r="T14" s="4" t="s">
        <v>158</v>
      </c>
      <c r="U14" s="4" t="s">
        <v>81</v>
      </c>
      <c r="V14" s="5"/>
      <c r="W14" s="5" t="s">
        <v>159</v>
      </c>
    </row>
    <row r="15" spans="1:23" ht="111.95" customHeight="1">
      <c r="A15" s="3" t="s">
        <v>160</v>
      </c>
      <c r="B15" s="3" t="s">
        <v>67</v>
      </c>
      <c r="C15" s="3" t="s">
        <v>161</v>
      </c>
      <c r="D15" s="3" t="s">
        <v>162</v>
      </c>
      <c r="E15" s="3" t="s">
        <v>163</v>
      </c>
      <c r="F15" s="3" t="s">
        <v>164</v>
      </c>
      <c r="G15" s="3" t="s">
        <v>165</v>
      </c>
      <c r="H15" s="3" t="s">
        <v>89</v>
      </c>
      <c r="I15" s="3" t="s">
        <v>166</v>
      </c>
      <c r="J15" s="3" t="s">
        <v>167</v>
      </c>
      <c r="K15" s="3"/>
      <c r="L15" s="3"/>
      <c r="M15" s="3" t="s">
        <v>168</v>
      </c>
      <c r="N15" s="3" t="s">
        <v>93</v>
      </c>
      <c r="O15" s="5"/>
      <c r="P15" s="5"/>
      <c r="Q15" s="3" t="s">
        <v>169</v>
      </c>
      <c r="R15" s="3"/>
      <c r="S15" s="3" t="s">
        <v>170</v>
      </c>
      <c r="T15" s="3" t="s">
        <v>171</v>
      </c>
      <c r="U15" s="3" t="s">
        <v>81</v>
      </c>
      <c r="V15" s="5"/>
      <c r="W15" s="5" t="s">
        <v>172</v>
      </c>
    </row>
    <row r="16" spans="1:23" ht="111.95" customHeight="1">
      <c r="A16" s="4" t="s">
        <v>173</v>
      </c>
      <c r="B16" s="4" t="s">
        <v>67</v>
      </c>
      <c r="C16" s="4" t="s">
        <v>174</v>
      </c>
      <c r="D16" s="4" t="s">
        <v>175</v>
      </c>
      <c r="E16" s="4" t="s">
        <v>176</v>
      </c>
      <c r="F16" s="4" t="s">
        <v>177</v>
      </c>
      <c r="G16" s="4" t="s">
        <v>178</v>
      </c>
      <c r="H16" s="4" t="s">
        <v>179</v>
      </c>
      <c r="I16" s="4" t="s">
        <v>180</v>
      </c>
      <c r="J16" s="4" t="s">
        <v>181</v>
      </c>
      <c r="K16" s="4"/>
      <c r="L16" s="4"/>
      <c r="M16" s="4" t="s">
        <v>168</v>
      </c>
      <c r="N16" s="4" t="s">
        <v>93</v>
      </c>
      <c r="O16" s="5"/>
      <c r="P16" s="5"/>
      <c r="Q16" s="4" t="s">
        <v>182</v>
      </c>
      <c r="R16" s="4"/>
      <c r="S16" s="4" t="s">
        <v>183</v>
      </c>
      <c r="T16" s="4" t="s">
        <v>184</v>
      </c>
      <c r="U16" s="4" t="s">
        <v>81</v>
      </c>
      <c r="V16" s="5"/>
      <c r="W16" s="5" t="s">
        <v>185</v>
      </c>
    </row>
    <row r="17" spans="1:23" ht="111.95" customHeight="1">
      <c r="A17" s="6" t="s">
        <v>186</v>
      </c>
      <c r="B17" s="6" t="s">
        <v>187</v>
      </c>
      <c r="C17" s="6" t="s">
        <v>188</v>
      </c>
      <c r="D17" s="6" t="s">
        <v>189</v>
      </c>
      <c r="E17" s="6" t="s">
        <v>190</v>
      </c>
      <c r="F17" s="6" t="s">
        <v>191</v>
      </c>
      <c r="G17" s="6" t="s">
        <v>192</v>
      </c>
      <c r="H17" s="6" t="s">
        <v>193</v>
      </c>
      <c r="I17" s="6" t="s">
        <v>194</v>
      </c>
      <c r="J17" s="6" t="s">
        <v>195</v>
      </c>
      <c r="K17" s="6"/>
      <c r="L17" s="6"/>
      <c r="M17" s="6" t="s">
        <v>196</v>
      </c>
      <c r="N17" s="6" t="s">
        <v>93</v>
      </c>
      <c r="O17" s="6"/>
      <c r="P17" s="6"/>
      <c r="Q17" s="6" t="s">
        <v>197</v>
      </c>
      <c r="R17" s="6"/>
      <c r="S17" s="6" t="s">
        <v>198</v>
      </c>
      <c r="T17" s="6" t="s">
        <v>199</v>
      </c>
      <c r="U17" s="6" t="s">
        <v>81</v>
      </c>
      <c r="V17" s="6"/>
      <c r="W17" s="6" t="s">
        <v>200</v>
      </c>
    </row>
    <row r="18" spans="1:23" ht="111.95" customHeight="1">
      <c r="A18" s="6" t="s">
        <v>201</v>
      </c>
      <c r="B18" s="6" t="s">
        <v>187</v>
      </c>
      <c r="C18" s="6" t="s">
        <v>202</v>
      </c>
      <c r="D18" s="6" t="s">
        <v>189</v>
      </c>
      <c r="E18" s="6" t="s">
        <v>203</v>
      </c>
      <c r="F18" s="6" t="s">
        <v>204</v>
      </c>
      <c r="G18" s="6" t="s">
        <v>205</v>
      </c>
      <c r="H18" s="6" t="s">
        <v>206</v>
      </c>
      <c r="I18" s="6" t="s">
        <v>207</v>
      </c>
      <c r="J18" s="6" t="s">
        <v>208</v>
      </c>
      <c r="K18" s="6"/>
      <c r="L18" s="6"/>
      <c r="M18" s="6" t="s">
        <v>196</v>
      </c>
      <c r="N18" s="6" t="s">
        <v>93</v>
      </c>
      <c r="O18" s="6"/>
      <c r="P18" s="6"/>
      <c r="Q18" s="6" t="s">
        <v>209</v>
      </c>
      <c r="R18" s="6"/>
      <c r="S18" s="6" t="s">
        <v>210</v>
      </c>
      <c r="T18" s="6" t="s">
        <v>199</v>
      </c>
      <c r="U18" s="6" t="s">
        <v>81</v>
      </c>
      <c r="V18" s="6"/>
      <c r="W18" s="6" t="s">
        <v>211</v>
      </c>
    </row>
  </sheetData>
  <mergeCells count="3">
    <mergeCell ref="A1:W2"/>
    <mergeCell ref="A3:W3"/>
    <mergeCell ref="A5:W5"/>
  </mergeCells>
  <dataValidations count="3">
    <dataValidation type="list" sqref="U8:U18" xr:uid="{00000000-0002-0000-0100-000000000000}">
      <formula1>"Sin resultados,En recopilación,Con evidencia,No evaluable"</formula1>
    </dataValidation>
    <dataValidation type="list" sqref="N8:N18" xr:uid="{00000000-0002-0000-0100-000001000000}">
      <formula1>"No prevista,Condicionado,Seleccionada,Aplicada"</formula1>
    </dataValidation>
    <dataValidation type="list" sqref="M8:M18" xr:uid="{00000000-0002-0000-0100-000002000000}">
      <formula1>"Documentado,En conflicto,Por aprobar,No definido,No confirmado,Comparador pendiente,Vigencia pendiente"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>
      <pane ySplit="7" topLeftCell="A8" activePane="bottomLeft" state="frozen"/>
      <selection pane="bottomLeft"/>
    </sheetView>
  </sheetViews>
  <sheetFormatPr baseColWidth="10" defaultColWidth="9" defaultRowHeight="14.25"/>
  <cols>
    <col min="1" max="1" width="11" customWidth="1"/>
    <col min="2" max="2" width="29" customWidth="1"/>
    <col min="3" max="4" width="30" customWidth="1"/>
    <col min="5" max="5" width="20" customWidth="1"/>
    <col min="6" max="6" width="43" customWidth="1"/>
    <col min="7" max="7" width="41" customWidth="1"/>
    <col min="8" max="8" width="34" customWidth="1"/>
    <col min="9" max="9" width="40" customWidth="1"/>
    <col min="10" max="10" width="17" customWidth="1"/>
    <col min="11" max="11" width="18" customWidth="1"/>
    <col min="12" max="12" width="12" customWidth="1"/>
    <col min="13" max="13" width="25" customWidth="1"/>
    <col min="14" max="14" width="42" customWidth="1"/>
    <col min="15" max="15" width="31" customWidth="1"/>
  </cols>
  <sheetData>
    <row r="1" spans="1:15" ht="24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24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27" customHeight="1">
      <c r="A3" s="9" t="s">
        <v>213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5" spans="1:15" ht="33.950000000000003" customHeight="1">
      <c r="A5" s="12" t="s">
        <v>214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7" spans="1:15" ht="47.1" customHeight="1">
      <c r="A7" s="2" t="s">
        <v>215</v>
      </c>
      <c r="B7" s="2" t="s">
        <v>216</v>
      </c>
      <c r="C7" s="2" t="s">
        <v>217</v>
      </c>
      <c r="D7" s="2" t="s">
        <v>218</v>
      </c>
      <c r="E7" s="2" t="s">
        <v>219</v>
      </c>
      <c r="F7" s="2" t="s">
        <v>220</v>
      </c>
      <c r="G7" s="2" t="s">
        <v>221</v>
      </c>
      <c r="H7" s="2" t="s">
        <v>222</v>
      </c>
      <c r="I7" s="2" t="s">
        <v>223</v>
      </c>
      <c r="J7" s="2" t="s">
        <v>224</v>
      </c>
      <c r="K7" s="2" t="s">
        <v>225</v>
      </c>
      <c r="L7" s="2" t="s">
        <v>226</v>
      </c>
      <c r="M7" s="2" t="s">
        <v>227</v>
      </c>
      <c r="N7" s="2" t="s">
        <v>228</v>
      </c>
      <c r="O7" s="2" t="s">
        <v>229</v>
      </c>
    </row>
    <row r="8" spans="1:15" ht="93.95" customHeight="1">
      <c r="A8" s="4" t="s">
        <v>230</v>
      </c>
      <c r="B8" s="4" t="s">
        <v>231</v>
      </c>
      <c r="C8" s="4" t="s">
        <v>232</v>
      </c>
      <c r="D8" s="4" t="s">
        <v>233</v>
      </c>
      <c r="E8" s="4" t="s">
        <v>234</v>
      </c>
      <c r="F8" s="4" t="s">
        <v>235</v>
      </c>
      <c r="G8" s="4" t="s">
        <v>236</v>
      </c>
      <c r="H8" s="4" t="s">
        <v>237</v>
      </c>
      <c r="I8" s="4" t="s">
        <v>238</v>
      </c>
      <c r="J8" s="5"/>
      <c r="K8" s="5"/>
      <c r="L8" s="5"/>
      <c r="M8" s="5" t="s">
        <v>239</v>
      </c>
      <c r="N8" s="5" t="s">
        <v>240</v>
      </c>
      <c r="O8" s="5"/>
    </row>
    <row r="9" spans="1:15" ht="93.95" customHeight="1">
      <c r="A9" s="3" t="s">
        <v>241</v>
      </c>
      <c r="B9" s="3" t="s">
        <v>242</v>
      </c>
      <c r="C9" s="3" t="s">
        <v>243</v>
      </c>
      <c r="D9" s="3" t="s">
        <v>233</v>
      </c>
      <c r="E9" s="3" t="s">
        <v>244</v>
      </c>
      <c r="F9" s="3" t="s">
        <v>245</v>
      </c>
      <c r="G9" s="3" t="s">
        <v>246</v>
      </c>
      <c r="H9" s="3" t="s">
        <v>247</v>
      </c>
      <c r="I9" s="3" t="s">
        <v>248</v>
      </c>
      <c r="J9" s="5"/>
      <c r="K9" s="5"/>
      <c r="L9" s="5"/>
      <c r="M9" s="5" t="s">
        <v>249</v>
      </c>
      <c r="N9" s="5" t="s">
        <v>250</v>
      </c>
      <c r="O9" s="5"/>
    </row>
    <row r="10" spans="1:15" ht="93.95" customHeight="1">
      <c r="A10" s="4" t="s">
        <v>251</v>
      </c>
      <c r="B10" s="4" t="s">
        <v>252</v>
      </c>
      <c r="C10" s="4" t="s">
        <v>253</v>
      </c>
      <c r="D10" s="4" t="s">
        <v>233</v>
      </c>
      <c r="E10" s="4" t="s">
        <v>254</v>
      </c>
      <c r="F10" s="4" t="s">
        <v>255</v>
      </c>
      <c r="G10" s="4" t="s">
        <v>256</v>
      </c>
      <c r="H10" s="4" t="s">
        <v>257</v>
      </c>
      <c r="I10" s="4" t="s">
        <v>258</v>
      </c>
      <c r="J10" s="5"/>
      <c r="K10" s="5"/>
      <c r="L10" s="5"/>
      <c r="M10" s="5" t="s">
        <v>249</v>
      </c>
      <c r="N10" s="5" t="s">
        <v>259</v>
      </c>
      <c r="O10" s="5"/>
    </row>
    <row r="11" spans="1:15" ht="93.95" customHeight="1">
      <c r="A11" s="3" t="s">
        <v>260</v>
      </c>
      <c r="B11" s="3" t="s">
        <v>261</v>
      </c>
      <c r="C11" s="3" t="s">
        <v>262</v>
      </c>
      <c r="D11" s="3" t="s">
        <v>263</v>
      </c>
      <c r="E11" s="3" t="s">
        <v>264</v>
      </c>
      <c r="F11" s="3" t="s">
        <v>265</v>
      </c>
      <c r="G11" s="3" t="s">
        <v>266</v>
      </c>
      <c r="H11" s="3" t="s">
        <v>267</v>
      </c>
      <c r="I11" s="3" t="s">
        <v>268</v>
      </c>
      <c r="J11" s="5"/>
      <c r="K11" s="5"/>
      <c r="L11" s="5"/>
      <c r="M11" s="5" t="s">
        <v>239</v>
      </c>
      <c r="N11" s="5" t="s">
        <v>269</v>
      </c>
      <c r="O11" s="5"/>
    </row>
    <row r="12" spans="1:15" ht="93.95" customHeight="1">
      <c r="A12" s="4" t="s">
        <v>270</v>
      </c>
      <c r="B12" s="4" t="s">
        <v>271</v>
      </c>
      <c r="C12" s="4" t="s">
        <v>272</v>
      </c>
      <c r="D12" s="4" t="s">
        <v>273</v>
      </c>
      <c r="E12" s="4" t="s">
        <v>274</v>
      </c>
      <c r="F12" s="4" t="s">
        <v>275</v>
      </c>
      <c r="G12" s="4" t="s">
        <v>276</v>
      </c>
      <c r="H12" s="4" t="s">
        <v>277</v>
      </c>
      <c r="I12" s="4" t="s">
        <v>278</v>
      </c>
      <c r="J12" s="5"/>
      <c r="K12" s="5"/>
      <c r="L12" s="5"/>
      <c r="M12" s="5" t="s">
        <v>239</v>
      </c>
      <c r="N12" s="5" t="s">
        <v>279</v>
      </c>
      <c r="O12" s="5"/>
    </row>
    <row r="13" spans="1:15" ht="93.95" customHeight="1">
      <c r="A13" s="3" t="s">
        <v>280</v>
      </c>
      <c r="B13" s="3" t="s">
        <v>281</v>
      </c>
      <c r="C13" s="3" t="s">
        <v>282</v>
      </c>
      <c r="D13" s="3" t="s">
        <v>283</v>
      </c>
      <c r="E13" s="3" t="s">
        <v>274</v>
      </c>
      <c r="F13" s="3" t="s">
        <v>284</v>
      </c>
      <c r="G13" s="3" t="s">
        <v>276</v>
      </c>
      <c r="H13" s="3" t="s">
        <v>285</v>
      </c>
      <c r="I13" s="3" t="s">
        <v>286</v>
      </c>
      <c r="J13" s="5"/>
      <c r="K13" s="5"/>
      <c r="L13" s="5"/>
      <c r="M13" s="5" t="s">
        <v>239</v>
      </c>
      <c r="N13" s="5" t="s">
        <v>287</v>
      </c>
      <c r="O13" s="5"/>
    </row>
    <row r="14" spans="1:15" ht="93.95" customHeight="1">
      <c r="A14" s="4" t="s">
        <v>288</v>
      </c>
      <c r="B14" s="4" t="s">
        <v>289</v>
      </c>
      <c r="C14" s="4" t="s">
        <v>290</v>
      </c>
      <c r="D14" s="4" t="s">
        <v>291</v>
      </c>
      <c r="E14" s="4" t="s">
        <v>292</v>
      </c>
      <c r="F14" s="4" t="s">
        <v>293</v>
      </c>
      <c r="G14" s="4" t="s">
        <v>276</v>
      </c>
      <c r="H14" s="4" t="s">
        <v>294</v>
      </c>
      <c r="I14" s="4" t="s">
        <v>295</v>
      </c>
      <c r="J14" s="5"/>
      <c r="K14" s="5"/>
      <c r="L14" s="5"/>
      <c r="M14" s="5" t="s">
        <v>239</v>
      </c>
      <c r="N14" s="5" t="s">
        <v>296</v>
      </c>
      <c r="O14" s="5"/>
    </row>
    <row r="15" spans="1:15" ht="93.95" customHeight="1">
      <c r="A15" s="3" t="s">
        <v>297</v>
      </c>
      <c r="B15" s="3" t="s">
        <v>298</v>
      </c>
      <c r="C15" s="3" t="s">
        <v>299</v>
      </c>
      <c r="D15" s="3" t="s">
        <v>300</v>
      </c>
      <c r="E15" s="3" t="s">
        <v>274</v>
      </c>
      <c r="F15" s="3" t="s">
        <v>301</v>
      </c>
      <c r="G15" s="3" t="s">
        <v>276</v>
      </c>
      <c r="H15" s="3" t="s">
        <v>302</v>
      </c>
      <c r="I15" s="3" t="s">
        <v>303</v>
      </c>
      <c r="J15" s="5"/>
      <c r="K15" s="5"/>
      <c r="L15" s="5"/>
      <c r="M15" s="5" t="s">
        <v>239</v>
      </c>
      <c r="N15" s="5" t="s">
        <v>304</v>
      </c>
      <c r="O15" s="5"/>
    </row>
  </sheetData>
  <mergeCells count="3">
    <mergeCell ref="A1:O2"/>
    <mergeCell ref="A3:O3"/>
    <mergeCell ref="A5:O5"/>
  </mergeCells>
  <dataValidations count="1">
    <dataValidation type="list" sqref="M8:M15" xr:uid="{00000000-0002-0000-0200-000000000000}">
      <formula1>"Descriptivo por defecto,No previsto actualmente,Pendiente,Habilitado,Descartado"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workbookViewId="0">
      <pane ySplit="7" topLeftCell="A8" activePane="bottomLeft" state="frozen"/>
      <selection pane="bottomLeft"/>
    </sheetView>
  </sheetViews>
  <sheetFormatPr baseColWidth="10" defaultColWidth="9" defaultRowHeight="14.25"/>
  <cols>
    <col min="1" max="1" width="10" customWidth="1"/>
    <col min="2" max="2" width="32" customWidth="1"/>
    <col min="3" max="3" width="28" customWidth="1"/>
    <col min="4" max="4" width="38" customWidth="1"/>
    <col min="5" max="5" width="44" customWidth="1"/>
    <col min="6" max="6" width="32" customWidth="1"/>
    <col min="7" max="7" width="22" customWidth="1"/>
    <col min="8" max="8" width="29" customWidth="1"/>
    <col min="9" max="9" width="26" customWidth="1"/>
    <col min="10" max="10" width="19" customWidth="1"/>
    <col min="11" max="11" width="30" customWidth="1"/>
    <col min="12" max="12" width="47" customWidth="1"/>
  </cols>
  <sheetData>
    <row r="1" spans="1:12" ht="24" customHeight="1">
      <c r="A1" s="8" t="s">
        <v>305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4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27" customHeight="1">
      <c r="A3" s="9" t="s">
        <v>306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5" spans="1:12" ht="33.950000000000003" customHeight="1">
      <c r="A5" s="12" t="s">
        <v>307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7" spans="1:12" ht="47.1" customHeight="1">
      <c r="A7" s="2" t="s">
        <v>215</v>
      </c>
      <c r="B7" s="2" t="s">
        <v>308</v>
      </c>
      <c r="C7" s="2" t="s">
        <v>309</v>
      </c>
      <c r="D7" s="2" t="s">
        <v>310</v>
      </c>
      <c r="E7" s="2" t="s">
        <v>311</v>
      </c>
      <c r="F7" s="2" t="s">
        <v>312</v>
      </c>
      <c r="G7" s="2" t="s">
        <v>313</v>
      </c>
      <c r="H7" s="2" t="s">
        <v>314</v>
      </c>
      <c r="I7" s="2" t="s">
        <v>58</v>
      </c>
      <c r="J7" s="2" t="s">
        <v>315</v>
      </c>
      <c r="K7" s="2" t="s">
        <v>316</v>
      </c>
      <c r="L7" s="2" t="s">
        <v>317</v>
      </c>
    </row>
    <row r="8" spans="1:12" ht="104.1" customHeight="1">
      <c r="A8" s="4" t="s">
        <v>318</v>
      </c>
      <c r="B8" s="4" t="s">
        <v>319</v>
      </c>
      <c r="C8" s="4" t="s">
        <v>320</v>
      </c>
      <c r="D8" s="4" t="s">
        <v>321</v>
      </c>
      <c r="E8" s="4" t="s">
        <v>322</v>
      </c>
      <c r="F8" s="4" t="s">
        <v>323</v>
      </c>
      <c r="G8" s="4" t="s">
        <v>108</v>
      </c>
      <c r="H8" s="5"/>
      <c r="I8" s="5"/>
      <c r="J8" s="4" t="s">
        <v>274</v>
      </c>
      <c r="K8" s="5"/>
      <c r="L8" s="4" t="s">
        <v>324</v>
      </c>
    </row>
    <row r="9" spans="1:12" ht="104.1" customHeight="1">
      <c r="A9" s="3" t="s">
        <v>325</v>
      </c>
      <c r="B9" s="3" t="s">
        <v>326</v>
      </c>
      <c r="C9" s="3" t="s">
        <v>327</v>
      </c>
      <c r="D9" s="3" t="s">
        <v>328</v>
      </c>
      <c r="E9" s="3" t="s">
        <v>329</v>
      </c>
      <c r="F9" s="3" t="s">
        <v>330</v>
      </c>
      <c r="G9" s="3" t="s">
        <v>131</v>
      </c>
      <c r="H9" s="5"/>
      <c r="I9" s="5"/>
      <c r="J9" s="3" t="s">
        <v>274</v>
      </c>
      <c r="K9" s="5"/>
      <c r="L9" s="3" t="s">
        <v>331</v>
      </c>
    </row>
    <row r="10" spans="1:12" ht="104.1" customHeight="1">
      <c r="A10" s="4" t="s">
        <v>332</v>
      </c>
      <c r="B10" s="4" t="s">
        <v>333</v>
      </c>
      <c r="C10" s="4" t="s">
        <v>334</v>
      </c>
      <c r="D10" s="4" t="s">
        <v>335</v>
      </c>
      <c r="E10" s="4" t="s">
        <v>336</v>
      </c>
      <c r="F10" s="4" t="s">
        <v>330</v>
      </c>
      <c r="G10" s="4" t="s">
        <v>131</v>
      </c>
      <c r="H10" s="5"/>
      <c r="I10" s="5"/>
      <c r="J10" s="4" t="s">
        <v>274</v>
      </c>
      <c r="K10" s="5"/>
      <c r="L10" s="4" t="s">
        <v>337</v>
      </c>
    </row>
    <row r="11" spans="1:12" ht="104.1" customHeight="1">
      <c r="A11" s="3" t="s">
        <v>338</v>
      </c>
      <c r="B11" s="3" t="s">
        <v>339</v>
      </c>
      <c r="C11" s="3" t="s">
        <v>340</v>
      </c>
      <c r="D11" s="3" t="s">
        <v>341</v>
      </c>
      <c r="E11" s="3" t="s">
        <v>342</v>
      </c>
      <c r="F11" s="3" t="s">
        <v>330</v>
      </c>
      <c r="G11" s="3" t="s">
        <v>131</v>
      </c>
      <c r="H11" s="5"/>
      <c r="I11" s="5"/>
      <c r="J11" s="3" t="s">
        <v>274</v>
      </c>
      <c r="K11" s="5"/>
      <c r="L11" s="3" t="s">
        <v>343</v>
      </c>
    </row>
    <row r="12" spans="1:12" ht="104.1" customHeight="1">
      <c r="A12" s="4" t="s">
        <v>344</v>
      </c>
      <c r="B12" s="4" t="s">
        <v>345</v>
      </c>
      <c r="C12" s="4" t="s">
        <v>346</v>
      </c>
      <c r="D12" s="4" t="s">
        <v>347</v>
      </c>
      <c r="E12" s="4" t="s">
        <v>348</v>
      </c>
      <c r="F12" s="4" t="s">
        <v>330</v>
      </c>
      <c r="G12" s="4" t="s">
        <v>131</v>
      </c>
      <c r="H12" s="5"/>
      <c r="I12" s="5"/>
      <c r="J12" s="4" t="s">
        <v>274</v>
      </c>
      <c r="K12" s="5"/>
      <c r="L12" s="4" t="s">
        <v>349</v>
      </c>
    </row>
    <row r="13" spans="1:12" ht="104.1" customHeight="1">
      <c r="A13" s="3" t="s">
        <v>350</v>
      </c>
      <c r="B13" s="3" t="s">
        <v>351</v>
      </c>
      <c r="C13" s="3" t="s">
        <v>352</v>
      </c>
      <c r="D13" s="3" t="s">
        <v>353</v>
      </c>
      <c r="E13" s="3" t="s">
        <v>354</v>
      </c>
      <c r="F13" s="3" t="s">
        <v>330</v>
      </c>
      <c r="G13" s="3" t="s">
        <v>131</v>
      </c>
      <c r="H13" s="5"/>
      <c r="I13" s="5"/>
      <c r="J13" s="3" t="s">
        <v>274</v>
      </c>
      <c r="K13" s="5"/>
      <c r="L13" s="3" t="s">
        <v>355</v>
      </c>
    </row>
    <row r="14" spans="1:12" ht="104.1" customHeight="1">
      <c r="A14" s="4" t="s">
        <v>356</v>
      </c>
      <c r="B14" s="4" t="s">
        <v>357</v>
      </c>
      <c r="C14" s="4" t="s">
        <v>358</v>
      </c>
      <c r="D14" s="4" t="s">
        <v>359</v>
      </c>
      <c r="E14" s="4" t="s">
        <v>360</v>
      </c>
      <c r="F14" s="4" t="s">
        <v>361</v>
      </c>
      <c r="G14" s="4" t="s">
        <v>362</v>
      </c>
      <c r="H14" s="5"/>
      <c r="I14" s="5"/>
      <c r="J14" s="4" t="s">
        <v>274</v>
      </c>
      <c r="K14" s="5"/>
      <c r="L14" s="4" t="s">
        <v>363</v>
      </c>
    </row>
  </sheetData>
  <mergeCells count="3">
    <mergeCell ref="A1:L2"/>
    <mergeCell ref="A3:L3"/>
    <mergeCell ref="A5:L5"/>
  </mergeCells>
  <dataValidations count="1">
    <dataValidation type="list" sqref="J8:J14" xr:uid="{00000000-0002-0000-0300-000000000000}">
      <formula1>"No,Sí"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workbookViewId="0">
      <pane ySplit="7" topLeftCell="A8" activePane="bottomLeft" state="frozen"/>
      <selection pane="bottomLeft"/>
    </sheetView>
  </sheetViews>
  <sheetFormatPr baseColWidth="10" defaultColWidth="9" defaultRowHeight="14.25"/>
  <cols>
    <col min="1" max="1" width="11" customWidth="1"/>
    <col min="2" max="3" width="28" customWidth="1"/>
    <col min="4" max="4" width="29" customWidth="1"/>
    <col min="5" max="5" width="52" customWidth="1"/>
    <col min="6" max="6" width="25" customWidth="1"/>
    <col min="7" max="7" width="50" customWidth="1"/>
    <col min="8" max="8" width="14" customWidth="1"/>
    <col min="9" max="9" width="20" customWidth="1"/>
    <col min="10" max="10" width="29" customWidth="1"/>
    <col min="11" max="11" width="26" customWidth="1"/>
  </cols>
  <sheetData>
    <row r="1" spans="1:11" ht="24" customHeight="1">
      <c r="A1" s="8" t="s">
        <v>364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4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7" customHeight="1">
      <c r="A3" s="9" t="s">
        <v>365</v>
      </c>
      <c r="B3" s="9"/>
      <c r="C3" s="9"/>
      <c r="D3" s="9"/>
      <c r="E3" s="9"/>
      <c r="F3" s="9"/>
      <c r="G3" s="9"/>
      <c r="H3" s="9"/>
      <c r="I3" s="9"/>
      <c r="J3" s="9"/>
      <c r="K3" s="9"/>
    </row>
    <row r="7" spans="1:11" ht="47.1" customHeight="1">
      <c r="A7" s="2" t="s">
        <v>215</v>
      </c>
      <c r="B7" s="2" t="s">
        <v>366</v>
      </c>
      <c r="C7" s="2" t="s">
        <v>367</v>
      </c>
      <c r="D7" s="2" t="s">
        <v>368</v>
      </c>
      <c r="E7" s="2" t="s">
        <v>369</v>
      </c>
      <c r="F7" s="2" t="s">
        <v>370</v>
      </c>
      <c r="G7" s="2" t="s">
        <v>371</v>
      </c>
      <c r="H7" s="2" t="s">
        <v>372</v>
      </c>
      <c r="I7" s="2" t="s">
        <v>373</v>
      </c>
      <c r="J7" s="2" t="s">
        <v>374</v>
      </c>
      <c r="K7" s="2" t="s">
        <v>375</v>
      </c>
    </row>
    <row r="8" spans="1:11" ht="84" customHeight="1">
      <c r="A8" s="4" t="s">
        <v>376</v>
      </c>
      <c r="B8" s="4" t="s">
        <v>377</v>
      </c>
      <c r="C8" s="4" t="s">
        <v>320</v>
      </c>
      <c r="D8" s="4" t="s">
        <v>378</v>
      </c>
      <c r="E8" s="4" t="s">
        <v>379</v>
      </c>
      <c r="F8" s="4" t="s">
        <v>380</v>
      </c>
      <c r="G8" s="4" t="s">
        <v>381</v>
      </c>
      <c r="H8" s="5"/>
      <c r="I8" s="5"/>
      <c r="J8" s="5"/>
      <c r="K8" s="5" t="s">
        <v>77</v>
      </c>
    </row>
    <row r="9" spans="1:11" ht="84" customHeight="1">
      <c r="A9" s="3" t="s">
        <v>382</v>
      </c>
      <c r="B9" s="3" t="s">
        <v>333</v>
      </c>
      <c r="C9" s="3" t="s">
        <v>383</v>
      </c>
      <c r="D9" s="3" t="s">
        <v>384</v>
      </c>
      <c r="E9" s="3" t="s">
        <v>385</v>
      </c>
      <c r="F9" s="3" t="s">
        <v>370</v>
      </c>
      <c r="G9" s="3" t="s">
        <v>386</v>
      </c>
      <c r="H9" s="5"/>
      <c r="I9" s="5"/>
      <c r="J9" s="5"/>
      <c r="K9" s="5" t="s">
        <v>387</v>
      </c>
    </row>
    <row r="10" spans="1:11" ht="84" customHeight="1">
      <c r="A10" s="4" t="s">
        <v>388</v>
      </c>
      <c r="B10" s="4" t="s">
        <v>389</v>
      </c>
      <c r="C10" s="4" t="s">
        <v>327</v>
      </c>
      <c r="D10" s="4" t="s">
        <v>390</v>
      </c>
      <c r="E10" s="4" t="s">
        <v>391</v>
      </c>
      <c r="F10" s="4" t="s">
        <v>392</v>
      </c>
      <c r="G10" s="4" t="s">
        <v>393</v>
      </c>
      <c r="H10" s="5"/>
      <c r="I10" s="5"/>
      <c r="J10" s="5"/>
      <c r="K10" s="5" t="s">
        <v>387</v>
      </c>
    </row>
    <row r="11" spans="1:11" ht="84" customHeight="1">
      <c r="A11" s="3" t="s">
        <v>394</v>
      </c>
      <c r="B11" s="3" t="s">
        <v>395</v>
      </c>
      <c r="C11" s="3" t="s">
        <v>396</v>
      </c>
      <c r="D11" s="3" t="s">
        <v>397</v>
      </c>
      <c r="E11" s="3" t="s">
        <v>398</v>
      </c>
      <c r="F11" s="3" t="s">
        <v>399</v>
      </c>
      <c r="G11" s="3" t="s">
        <v>400</v>
      </c>
      <c r="H11" s="5"/>
      <c r="I11" s="5"/>
      <c r="J11" s="5"/>
      <c r="K11" s="5" t="s">
        <v>387</v>
      </c>
    </row>
    <row r="12" spans="1:11" ht="84" customHeight="1">
      <c r="A12" s="4" t="s">
        <v>401</v>
      </c>
      <c r="B12" s="4" t="s">
        <v>402</v>
      </c>
      <c r="C12" s="4" t="s">
        <v>403</v>
      </c>
      <c r="D12" s="4" t="s">
        <v>404</v>
      </c>
      <c r="E12" s="4" t="s">
        <v>405</v>
      </c>
      <c r="F12" s="4" t="s">
        <v>406</v>
      </c>
      <c r="G12" s="4" t="s">
        <v>407</v>
      </c>
      <c r="H12" s="5"/>
      <c r="I12" s="5"/>
      <c r="J12" s="5"/>
      <c r="K12" s="5" t="s">
        <v>387</v>
      </c>
    </row>
    <row r="13" spans="1:11" ht="84" customHeight="1">
      <c r="A13" s="3" t="s">
        <v>408</v>
      </c>
      <c r="B13" s="3" t="s">
        <v>409</v>
      </c>
      <c r="C13" s="3" t="s">
        <v>410</v>
      </c>
      <c r="D13" s="3" t="s">
        <v>411</v>
      </c>
      <c r="E13" s="3" t="s">
        <v>412</v>
      </c>
      <c r="F13" s="3" t="s">
        <v>413</v>
      </c>
      <c r="G13" s="3" t="s">
        <v>414</v>
      </c>
      <c r="H13" s="5"/>
      <c r="I13" s="5"/>
      <c r="J13" s="5"/>
      <c r="K13" s="5" t="s">
        <v>387</v>
      </c>
    </row>
    <row r="14" spans="1:11" ht="84" customHeight="1">
      <c r="A14" s="4" t="s">
        <v>415</v>
      </c>
      <c r="B14" s="4" t="s">
        <v>416</v>
      </c>
      <c r="C14" s="4" t="s">
        <v>417</v>
      </c>
      <c r="D14" s="4" t="s">
        <v>418</v>
      </c>
      <c r="E14" s="4" t="s">
        <v>419</v>
      </c>
      <c r="F14" s="4" t="s">
        <v>420</v>
      </c>
      <c r="G14" s="4" t="s">
        <v>421</v>
      </c>
      <c r="H14" s="5"/>
      <c r="I14" s="5"/>
      <c r="J14" s="5"/>
      <c r="K14" s="5" t="s">
        <v>77</v>
      </c>
    </row>
  </sheetData>
  <mergeCells count="2">
    <mergeCell ref="A1:K2"/>
    <mergeCell ref="A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workbookViewId="0">
      <pane ySplit="7" topLeftCell="A8" activePane="bottomLeft" state="frozen"/>
      <selection pane="bottomLeft"/>
    </sheetView>
  </sheetViews>
  <sheetFormatPr baseColWidth="10" defaultColWidth="9" defaultRowHeight="14.25"/>
  <cols>
    <col min="1" max="1" width="12" customWidth="1"/>
    <col min="2" max="2" width="25" customWidth="1"/>
    <col min="3" max="3" width="29" customWidth="1"/>
    <col min="4" max="4" width="25" customWidth="1"/>
    <col min="5" max="5" width="21" customWidth="1"/>
    <col min="6" max="6" width="24" customWidth="1"/>
    <col min="7" max="7" width="39" customWidth="1"/>
    <col min="8" max="8" width="35" customWidth="1"/>
    <col min="9" max="9" width="24" customWidth="1"/>
    <col min="10" max="10" width="26" customWidth="1"/>
    <col min="11" max="11" width="50" customWidth="1"/>
  </cols>
  <sheetData>
    <row r="1" spans="1:11" ht="24" customHeight="1">
      <c r="A1" s="8" t="s">
        <v>422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4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7" customHeight="1">
      <c r="A3" s="9" t="s">
        <v>423</v>
      </c>
      <c r="B3" s="9"/>
      <c r="C3" s="9"/>
      <c r="D3" s="9"/>
      <c r="E3" s="9"/>
      <c r="F3" s="9"/>
      <c r="G3" s="9"/>
      <c r="H3" s="9"/>
      <c r="I3" s="9"/>
      <c r="J3" s="9"/>
      <c r="K3" s="9"/>
    </row>
    <row r="7" spans="1:11" ht="47.1" customHeight="1">
      <c r="A7" s="2" t="s">
        <v>215</v>
      </c>
      <c r="B7" s="2" t="s">
        <v>424</v>
      </c>
      <c r="C7" s="2" t="s">
        <v>425</v>
      </c>
      <c r="D7" s="2" t="s">
        <v>426</v>
      </c>
      <c r="E7" s="2" t="s">
        <v>427</v>
      </c>
      <c r="F7" s="2" t="s">
        <v>428</v>
      </c>
      <c r="G7" s="2" t="s">
        <v>429</v>
      </c>
      <c r="H7" s="2" t="s">
        <v>430</v>
      </c>
      <c r="I7" s="2" t="s">
        <v>431</v>
      </c>
      <c r="J7" s="2" t="s">
        <v>432</v>
      </c>
      <c r="K7" s="2" t="s">
        <v>433</v>
      </c>
    </row>
    <row r="8" spans="1:11" ht="83.1" customHeight="1">
      <c r="A8" s="4" t="s">
        <v>434</v>
      </c>
      <c r="B8" s="4" t="s">
        <v>435</v>
      </c>
      <c r="C8" s="4" t="s">
        <v>436</v>
      </c>
      <c r="D8" s="4" t="s">
        <v>437</v>
      </c>
      <c r="E8" s="4"/>
      <c r="F8" s="5"/>
      <c r="G8" s="4" t="s">
        <v>438</v>
      </c>
      <c r="H8" s="4" t="s">
        <v>439</v>
      </c>
      <c r="I8" s="5" t="s">
        <v>13</v>
      </c>
      <c r="J8" s="5"/>
      <c r="K8" s="4" t="s">
        <v>440</v>
      </c>
    </row>
    <row r="9" spans="1:11" ht="83.1" customHeight="1">
      <c r="A9" s="3" t="s">
        <v>441</v>
      </c>
      <c r="B9" s="3" t="s">
        <v>442</v>
      </c>
      <c r="C9" s="3" t="s">
        <v>443</v>
      </c>
      <c r="D9" s="3" t="s">
        <v>444</v>
      </c>
      <c r="E9" s="3"/>
      <c r="F9" s="5"/>
      <c r="G9" s="3" t="s">
        <v>445</v>
      </c>
      <c r="H9" s="3" t="s">
        <v>446</v>
      </c>
      <c r="I9" s="5"/>
      <c r="J9" s="5"/>
      <c r="K9" s="3" t="s">
        <v>447</v>
      </c>
    </row>
    <row r="10" spans="1:11" ht="83.1" customHeight="1">
      <c r="A10" s="4" t="s">
        <v>448</v>
      </c>
      <c r="B10" s="4" t="s">
        <v>449</v>
      </c>
      <c r="C10" s="4" t="s">
        <v>450</v>
      </c>
      <c r="D10" s="4" t="s">
        <v>451</v>
      </c>
      <c r="E10" s="4" t="s">
        <v>452</v>
      </c>
      <c r="F10" s="5"/>
      <c r="G10" s="4" t="s">
        <v>453</v>
      </c>
      <c r="H10" s="4" t="s">
        <v>454</v>
      </c>
      <c r="I10" s="5"/>
      <c r="J10" s="5"/>
      <c r="K10" s="4" t="s">
        <v>455</v>
      </c>
    </row>
    <row r="11" spans="1:11" ht="83.1" customHeight="1">
      <c r="A11" s="3" t="s">
        <v>456</v>
      </c>
      <c r="B11" s="3" t="s">
        <v>457</v>
      </c>
      <c r="C11" s="3" t="s">
        <v>458</v>
      </c>
      <c r="D11" s="3" t="s">
        <v>459</v>
      </c>
      <c r="E11" s="3"/>
      <c r="F11" s="5"/>
      <c r="G11" s="3" t="s">
        <v>460</v>
      </c>
      <c r="H11" s="3" t="s">
        <v>461</v>
      </c>
      <c r="I11" s="5"/>
      <c r="J11" s="5"/>
      <c r="K11" s="3" t="s">
        <v>462</v>
      </c>
    </row>
    <row r="12" spans="1:11" ht="83.1" customHeight="1">
      <c r="A12" s="4" t="s">
        <v>463</v>
      </c>
      <c r="B12" s="4" t="s">
        <v>464</v>
      </c>
      <c r="C12" s="4" t="s">
        <v>465</v>
      </c>
      <c r="D12" s="4" t="s">
        <v>466</v>
      </c>
      <c r="E12" s="4"/>
      <c r="F12" s="5"/>
      <c r="G12" s="4" t="s">
        <v>467</v>
      </c>
      <c r="H12" s="4" t="s">
        <v>468</v>
      </c>
      <c r="I12" s="5"/>
      <c r="J12" s="5"/>
      <c r="K12" s="4" t="s">
        <v>469</v>
      </c>
    </row>
    <row r="13" spans="1:11" ht="83.1" customHeight="1">
      <c r="A13" s="3" t="s">
        <v>470</v>
      </c>
      <c r="B13" s="3" t="s">
        <v>471</v>
      </c>
      <c r="C13" s="3" t="s">
        <v>472</v>
      </c>
      <c r="D13" s="3" t="s">
        <v>466</v>
      </c>
      <c r="E13" s="3"/>
      <c r="F13" s="5"/>
      <c r="G13" s="3" t="s">
        <v>473</v>
      </c>
      <c r="H13" s="3" t="s">
        <v>468</v>
      </c>
      <c r="I13" s="5"/>
      <c r="J13" s="5"/>
      <c r="K13" s="3" t="s">
        <v>474</v>
      </c>
    </row>
    <row r="14" spans="1:11" ht="83.1" customHeight="1">
      <c r="A14" s="4" t="s">
        <v>475</v>
      </c>
      <c r="B14" s="4" t="s">
        <v>476</v>
      </c>
      <c r="C14" s="4" t="s">
        <v>477</v>
      </c>
      <c r="D14" s="4" t="s">
        <v>466</v>
      </c>
      <c r="E14" s="4"/>
      <c r="F14" s="5"/>
      <c r="G14" s="4" t="s">
        <v>478</v>
      </c>
      <c r="H14" s="4" t="s">
        <v>468</v>
      </c>
      <c r="I14" s="5"/>
      <c r="J14" s="5"/>
      <c r="K14" s="4" t="s">
        <v>479</v>
      </c>
    </row>
  </sheetData>
  <mergeCells count="2">
    <mergeCell ref="A1:K2"/>
    <mergeCell ref="A3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"/>
  <sheetViews>
    <sheetView workbookViewId="0">
      <pane ySplit="7" topLeftCell="A8" activePane="bottomLeft" state="frozen"/>
      <selection pane="bottomLeft"/>
    </sheetView>
  </sheetViews>
  <sheetFormatPr baseColWidth="10" defaultColWidth="9" defaultRowHeight="14.25"/>
  <cols>
    <col min="1" max="1" width="10" customWidth="1"/>
    <col min="2" max="2" width="12" customWidth="1"/>
    <col min="3" max="3" width="25" customWidth="1"/>
    <col min="4" max="4" width="44" customWidth="1"/>
    <col min="5" max="5" width="49" customWidth="1"/>
    <col min="6" max="6" width="35" customWidth="1"/>
    <col min="7" max="7" width="28" customWidth="1"/>
    <col min="8" max="8" width="22" customWidth="1"/>
    <col min="9" max="9" width="21" customWidth="1"/>
    <col min="10" max="10" width="29" customWidth="1"/>
    <col min="11" max="11" width="41" customWidth="1"/>
  </cols>
  <sheetData>
    <row r="1" spans="1:11" ht="24" customHeight="1">
      <c r="A1" s="8" t="s">
        <v>480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4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7" customHeight="1">
      <c r="A3" s="9" t="s">
        <v>481</v>
      </c>
      <c r="B3" s="9"/>
      <c r="C3" s="9"/>
      <c r="D3" s="9"/>
      <c r="E3" s="9"/>
      <c r="F3" s="9"/>
      <c r="G3" s="9"/>
      <c r="H3" s="9"/>
      <c r="I3" s="9"/>
      <c r="J3" s="9"/>
      <c r="K3" s="9"/>
    </row>
    <row r="5" spans="1:11" ht="33.950000000000003" customHeight="1">
      <c r="A5" s="12" t="s">
        <v>482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7" spans="1:11" ht="47.1" customHeight="1">
      <c r="A7" s="2" t="s">
        <v>215</v>
      </c>
      <c r="B7" s="2" t="s">
        <v>483</v>
      </c>
      <c r="C7" s="2" t="s">
        <v>484</v>
      </c>
      <c r="D7" s="2" t="s">
        <v>485</v>
      </c>
      <c r="E7" s="2" t="s">
        <v>486</v>
      </c>
      <c r="F7" s="2" t="s">
        <v>487</v>
      </c>
      <c r="G7" s="2" t="s">
        <v>488</v>
      </c>
      <c r="H7" s="2" t="s">
        <v>16</v>
      </c>
      <c r="I7" s="2" t="s">
        <v>489</v>
      </c>
      <c r="J7" s="2" t="s">
        <v>490</v>
      </c>
      <c r="K7" s="2" t="s">
        <v>491</v>
      </c>
    </row>
    <row r="8" spans="1:11" ht="81" customHeight="1">
      <c r="A8" s="4" t="s">
        <v>492</v>
      </c>
      <c r="B8" s="4" t="s">
        <v>493</v>
      </c>
      <c r="C8" s="4" t="s">
        <v>494</v>
      </c>
      <c r="D8" s="4" t="s">
        <v>495</v>
      </c>
      <c r="E8" s="4" t="s">
        <v>496</v>
      </c>
      <c r="F8" s="4" t="s">
        <v>497</v>
      </c>
      <c r="G8" s="5"/>
      <c r="H8" s="5" t="s">
        <v>498</v>
      </c>
      <c r="I8" s="5"/>
      <c r="J8" s="5"/>
      <c r="K8" s="4" t="s">
        <v>499</v>
      </c>
    </row>
    <row r="9" spans="1:11" ht="81" customHeight="1">
      <c r="A9" s="3" t="s">
        <v>500</v>
      </c>
      <c r="B9" s="3" t="s">
        <v>493</v>
      </c>
      <c r="C9" s="3" t="s">
        <v>501</v>
      </c>
      <c r="D9" s="3" t="s">
        <v>502</v>
      </c>
      <c r="E9" s="3" t="s">
        <v>503</v>
      </c>
      <c r="F9" s="3" t="s">
        <v>504</v>
      </c>
      <c r="G9" s="5"/>
      <c r="H9" s="5" t="s">
        <v>498</v>
      </c>
      <c r="I9" s="5"/>
      <c r="J9" s="5"/>
      <c r="K9" s="3" t="s">
        <v>505</v>
      </c>
    </row>
    <row r="10" spans="1:11" ht="81" customHeight="1">
      <c r="A10" s="4" t="s">
        <v>506</v>
      </c>
      <c r="B10" s="4" t="s">
        <v>493</v>
      </c>
      <c r="C10" s="4" t="s">
        <v>507</v>
      </c>
      <c r="D10" s="4" t="s">
        <v>508</v>
      </c>
      <c r="E10" s="4" t="s">
        <v>509</v>
      </c>
      <c r="F10" s="4" t="s">
        <v>510</v>
      </c>
      <c r="G10" s="5"/>
      <c r="H10" s="5" t="s">
        <v>498</v>
      </c>
      <c r="I10" s="5"/>
      <c r="J10" s="5"/>
      <c r="K10" s="4" t="s">
        <v>511</v>
      </c>
    </row>
    <row r="11" spans="1:11" ht="81" customHeight="1">
      <c r="A11" s="3" t="s">
        <v>512</v>
      </c>
      <c r="B11" s="3" t="s">
        <v>493</v>
      </c>
      <c r="C11" s="3" t="s">
        <v>513</v>
      </c>
      <c r="D11" s="3" t="s">
        <v>514</v>
      </c>
      <c r="E11" s="3" t="s">
        <v>515</v>
      </c>
      <c r="F11" s="3" t="s">
        <v>516</v>
      </c>
      <c r="G11" s="5"/>
      <c r="H11" s="5" t="s">
        <v>498</v>
      </c>
      <c r="I11" s="5"/>
      <c r="J11" s="5"/>
      <c r="K11" s="3" t="s">
        <v>517</v>
      </c>
    </row>
    <row r="12" spans="1:11" ht="81" customHeight="1">
      <c r="A12" s="4" t="s">
        <v>518</v>
      </c>
      <c r="B12" s="4" t="s">
        <v>493</v>
      </c>
      <c r="C12" s="4" t="s">
        <v>519</v>
      </c>
      <c r="D12" s="4" t="s">
        <v>520</v>
      </c>
      <c r="E12" s="4" t="s">
        <v>521</v>
      </c>
      <c r="F12" s="4" t="s">
        <v>522</v>
      </c>
      <c r="G12" s="5"/>
      <c r="H12" s="5" t="s">
        <v>498</v>
      </c>
      <c r="I12" s="5"/>
      <c r="J12" s="5"/>
      <c r="K12" s="4" t="s">
        <v>523</v>
      </c>
    </row>
    <row r="13" spans="1:11" ht="81" customHeight="1">
      <c r="A13" s="3" t="s">
        <v>524</v>
      </c>
      <c r="B13" s="3" t="s">
        <v>493</v>
      </c>
      <c r="C13" s="3" t="s">
        <v>525</v>
      </c>
      <c r="D13" s="3" t="s">
        <v>526</v>
      </c>
      <c r="E13" s="3" t="s">
        <v>527</v>
      </c>
      <c r="F13" s="3" t="s">
        <v>528</v>
      </c>
      <c r="G13" s="5"/>
      <c r="H13" s="5" t="s">
        <v>498</v>
      </c>
      <c r="I13" s="5"/>
      <c r="J13" s="5"/>
      <c r="K13" s="3" t="s">
        <v>529</v>
      </c>
    </row>
    <row r="14" spans="1:11" ht="81" customHeight="1">
      <c r="A14" s="4" t="s">
        <v>530</v>
      </c>
      <c r="B14" s="4" t="s">
        <v>493</v>
      </c>
      <c r="C14" s="4" t="s">
        <v>531</v>
      </c>
      <c r="D14" s="4" t="s">
        <v>532</v>
      </c>
      <c r="E14" s="4" t="s">
        <v>533</v>
      </c>
      <c r="F14" s="4" t="s">
        <v>534</v>
      </c>
      <c r="G14" s="5"/>
      <c r="H14" s="5" t="s">
        <v>498</v>
      </c>
      <c r="I14" s="5"/>
      <c r="J14" s="5"/>
      <c r="K14" s="4" t="s">
        <v>535</v>
      </c>
    </row>
    <row r="15" spans="1:11" ht="81" customHeight="1">
      <c r="A15" s="3" t="s">
        <v>536</v>
      </c>
      <c r="B15" s="3" t="s">
        <v>537</v>
      </c>
      <c r="C15" s="3" t="s">
        <v>538</v>
      </c>
      <c r="D15" s="3" t="s">
        <v>539</v>
      </c>
      <c r="E15" s="3" t="s">
        <v>540</v>
      </c>
      <c r="F15" s="3" t="s">
        <v>541</v>
      </c>
      <c r="G15" s="5"/>
      <c r="H15" s="5" t="s">
        <v>498</v>
      </c>
      <c r="I15" s="5"/>
      <c r="J15" s="5"/>
      <c r="K15" s="3" t="s">
        <v>542</v>
      </c>
    </row>
    <row r="16" spans="1:11" ht="81" customHeight="1">
      <c r="A16" s="4" t="s">
        <v>543</v>
      </c>
      <c r="B16" s="4" t="s">
        <v>493</v>
      </c>
      <c r="C16" s="4" t="s">
        <v>544</v>
      </c>
      <c r="D16" s="4" t="s">
        <v>545</v>
      </c>
      <c r="E16" s="4" t="s">
        <v>546</v>
      </c>
      <c r="F16" s="4" t="s">
        <v>547</v>
      </c>
      <c r="G16" s="5"/>
      <c r="H16" s="5" t="s">
        <v>498</v>
      </c>
      <c r="I16" s="5"/>
      <c r="J16" s="5"/>
      <c r="K16" s="4" t="s">
        <v>548</v>
      </c>
    </row>
    <row r="17" spans="1:11" ht="81" customHeight="1">
      <c r="A17" s="3" t="s">
        <v>549</v>
      </c>
      <c r="B17" s="3" t="s">
        <v>537</v>
      </c>
      <c r="C17" s="3" t="s">
        <v>550</v>
      </c>
      <c r="D17" s="3" t="s">
        <v>551</v>
      </c>
      <c r="E17" s="3" t="s">
        <v>552</v>
      </c>
      <c r="F17" s="3" t="s">
        <v>553</v>
      </c>
      <c r="G17" s="5"/>
      <c r="H17" s="5" t="s">
        <v>498</v>
      </c>
      <c r="I17" s="5"/>
      <c r="J17" s="5"/>
      <c r="K17" s="3" t="s">
        <v>554</v>
      </c>
    </row>
    <row r="18" spans="1:11" ht="81" customHeight="1">
      <c r="A18" s="4" t="s">
        <v>555</v>
      </c>
      <c r="B18" s="4" t="s">
        <v>493</v>
      </c>
      <c r="C18" s="4" t="s">
        <v>556</v>
      </c>
      <c r="D18" s="4" t="s">
        <v>557</v>
      </c>
      <c r="E18" s="4" t="s">
        <v>558</v>
      </c>
      <c r="F18" s="4" t="s">
        <v>559</v>
      </c>
      <c r="G18" s="5"/>
      <c r="H18" s="5" t="s">
        <v>498</v>
      </c>
      <c r="I18" s="5"/>
      <c r="J18" s="5"/>
      <c r="K18" s="4" t="s">
        <v>560</v>
      </c>
    </row>
    <row r="19" spans="1:11" ht="81" customHeight="1">
      <c r="A19" s="3" t="s">
        <v>561</v>
      </c>
      <c r="B19" s="3" t="s">
        <v>537</v>
      </c>
      <c r="C19" s="3" t="s">
        <v>562</v>
      </c>
      <c r="D19" s="3" t="s">
        <v>563</v>
      </c>
      <c r="E19" s="3" t="s">
        <v>564</v>
      </c>
      <c r="F19" s="3" t="s">
        <v>565</v>
      </c>
      <c r="G19" s="5"/>
      <c r="H19" s="5" t="s">
        <v>498</v>
      </c>
      <c r="I19" s="5"/>
      <c r="J19" s="5"/>
      <c r="K19" s="3" t="s">
        <v>566</v>
      </c>
    </row>
    <row r="20" spans="1:11" ht="81" customHeight="1">
      <c r="A20" s="4" t="s">
        <v>567</v>
      </c>
      <c r="B20" s="4" t="s">
        <v>493</v>
      </c>
      <c r="C20" s="4" t="s">
        <v>568</v>
      </c>
      <c r="D20" s="4" t="s">
        <v>569</v>
      </c>
      <c r="E20" s="4" t="s">
        <v>570</v>
      </c>
      <c r="F20" s="4" t="s">
        <v>571</v>
      </c>
      <c r="G20" s="5"/>
      <c r="H20" s="5" t="s">
        <v>498</v>
      </c>
      <c r="I20" s="5"/>
      <c r="J20" s="5"/>
      <c r="K20" s="4" t="s">
        <v>572</v>
      </c>
    </row>
    <row r="21" spans="1:11" ht="81" customHeight="1">
      <c r="A21" s="3" t="s">
        <v>573</v>
      </c>
      <c r="B21" s="3" t="s">
        <v>537</v>
      </c>
      <c r="C21" s="3" t="s">
        <v>574</v>
      </c>
      <c r="D21" s="3" t="s">
        <v>575</v>
      </c>
      <c r="E21" s="3" t="s">
        <v>576</v>
      </c>
      <c r="F21" s="3" t="s">
        <v>577</v>
      </c>
      <c r="G21" s="5"/>
      <c r="H21" s="5" t="s">
        <v>498</v>
      </c>
      <c r="I21" s="5"/>
      <c r="J21" s="5"/>
      <c r="K21" s="3" t="s">
        <v>578</v>
      </c>
    </row>
    <row r="22" spans="1:11" ht="81" customHeight="1">
      <c r="A22" s="4" t="s">
        <v>579</v>
      </c>
      <c r="B22" s="4" t="s">
        <v>537</v>
      </c>
      <c r="C22" s="4" t="s">
        <v>580</v>
      </c>
      <c r="D22" s="4" t="s">
        <v>581</v>
      </c>
      <c r="E22" s="4" t="s">
        <v>582</v>
      </c>
      <c r="F22" s="4" t="s">
        <v>583</v>
      </c>
      <c r="G22" s="5"/>
      <c r="H22" s="5" t="s">
        <v>498</v>
      </c>
      <c r="I22" s="5"/>
      <c r="J22" s="5"/>
      <c r="K22" s="4" t="s">
        <v>584</v>
      </c>
    </row>
    <row r="23" spans="1:11" ht="81" customHeight="1">
      <c r="A23" s="3" t="s">
        <v>585</v>
      </c>
      <c r="B23" s="3" t="s">
        <v>537</v>
      </c>
      <c r="C23" s="3" t="s">
        <v>586</v>
      </c>
      <c r="D23" s="3" t="s">
        <v>587</v>
      </c>
      <c r="E23" s="3" t="s">
        <v>588</v>
      </c>
      <c r="F23" s="3" t="s">
        <v>589</v>
      </c>
      <c r="G23" s="5"/>
      <c r="H23" s="5" t="s">
        <v>498</v>
      </c>
      <c r="I23" s="5"/>
      <c r="J23" s="5"/>
      <c r="K23" s="3" t="s">
        <v>590</v>
      </c>
    </row>
    <row r="24" spans="1:11" ht="81" customHeight="1">
      <c r="A24" s="4" t="s">
        <v>591</v>
      </c>
      <c r="B24" s="4" t="s">
        <v>537</v>
      </c>
      <c r="C24" s="4" t="s">
        <v>592</v>
      </c>
      <c r="D24" s="4" t="s">
        <v>593</v>
      </c>
      <c r="E24" s="4" t="s">
        <v>594</v>
      </c>
      <c r="F24" s="4" t="s">
        <v>589</v>
      </c>
      <c r="G24" s="5"/>
      <c r="H24" s="5" t="s">
        <v>498</v>
      </c>
      <c r="I24" s="5"/>
      <c r="J24" s="5"/>
      <c r="K24" s="4" t="s">
        <v>595</v>
      </c>
    </row>
  </sheetData>
  <mergeCells count="3">
    <mergeCell ref="A1:K2"/>
    <mergeCell ref="A3:K3"/>
    <mergeCell ref="A5:K5"/>
  </mergeCells>
  <dataValidations count="2">
    <dataValidation type="list" sqref="H8:H24" xr:uid="{00000000-0002-0000-0600-000000000000}">
      <formula1>"Pendiente,En revisión,Resuelto con evidencia,No aplica"</formula1>
    </dataValidation>
    <dataValidation type="list" sqref="B8:B24" xr:uid="{00000000-0002-0000-0600-000001000000}">
      <formula1>"Alta,Media,Baja"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pane ySplit="7" topLeftCell="A8" activePane="bottomLeft" state="frozen"/>
      <selection pane="bottomLeft"/>
    </sheetView>
  </sheetViews>
  <sheetFormatPr baseColWidth="10" defaultColWidth="9" defaultRowHeight="14.25"/>
  <cols>
    <col min="1" max="1" width="11" customWidth="1"/>
    <col min="2" max="2" width="33" customWidth="1"/>
    <col min="3" max="3" width="24" customWidth="1"/>
    <col min="4" max="4" width="59" customWidth="1"/>
    <col min="5" max="5" width="42" customWidth="1"/>
    <col min="6" max="6" width="35" customWidth="1"/>
    <col min="7" max="7" width="27" customWidth="1"/>
    <col min="8" max="8" width="36" customWidth="1"/>
    <col min="9" max="9" width="78" customWidth="1"/>
  </cols>
  <sheetData>
    <row r="1" spans="1:9" ht="24" customHeight="1">
      <c r="A1" s="8" t="s">
        <v>596</v>
      </c>
      <c r="B1" s="8"/>
      <c r="C1" s="8"/>
      <c r="D1" s="8"/>
      <c r="E1" s="8"/>
      <c r="F1" s="8"/>
      <c r="G1" s="8"/>
      <c r="H1" s="8"/>
      <c r="I1" s="8"/>
    </row>
    <row r="2" spans="1:9" ht="24" customHeight="1">
      <c r="A2" s="8"/>
      <c r="B2" s="8"/>
      <c r="C2" s="8"/>
      <c r="D2" s="8"/>
      <c r="E2" s="8"/>
      <c r="F2" s="8"/>
      <c r="G2" s="8"/>
      <c r="H2" s="8"/>
      <c r="I2" s="8"/>
    </row>
    <row r="3" spans="1:9" ht="27" customHeight="1">
      <c r="A3" s="9" t="s">
        <v>597</v>
      </c>
      <c r="B3" s="9"/>
      <c r="C3" s="9"/>
      <c r="D3" s="9"/>
      <c r="E3" s="9"/>
      <c r="F3" s="9"/>
      <c r="G3" s="9"/>
      <c r="H3" s="9"/>
      <c r="I3" s="9"/>
    </row>
    <row r="7" spans="1:9" ht="47.1" customHeight="1">
      <c r="A7" s="2" t="s">
        <v>215</v>
      </c>
      <c r="B7" s="2" t="s">
        <v>598</v>
      </c>
      <c r="C7" s="2" t="s">
        <v>599</v>
      </c>
      <c r="D7" s="2" t="s">
        <v>600</v>
      </c>
      <c r="E7" s="2" t="s">
        <v>601</v>
      </c>
      <c r="F7" s="2" t="s">
        <v>602</v>
      </c>
      <c r="G7" s="2" t="s">
        <v>603</v>
      </c>
      <c r="H7" s="2" t="s">
        <v>604</v>
      </c>
      <c r="I7" s="2" t="s">
        <v>605</v>
      </c>
    </row>
    <row r="8" spans="1:9" ht="75.95" customHeight="1">
      <c r="A8" s="4" t="s">
        <v>606</v>
      </c>
      <c r="B8" s="4" t="s">
        <v>607</v>
      </c>
      <c r="C8" s="4" t="s">
        <v>608</v>
      </c>
      <c r="D8" s="4" t="s">
        <v>609</v>
      </c>
      <c r="E8" s="4" t="s">
        <v>610</v>
      </c>
      <c r="F8" s="4" t="s">
        <v>611</v>
      </c>
      <c r="G8" s="4" t="s">
        <v>612</v>
      </c>
      <c r="H8" s="4" t="s">
        <v>613</v>
      </c>
      <c r="I8" s="4" t="s">
        <v>614</v>
      </c>
    </row>
    <row r="9" spans="1:9" ht="75.95" customHeight="1">
      <c r="A9" s="3" t="s">
        <v>615</v>
      </c>
      <c r="B9" s="3" t="s">
        <v>616</v>
      </c>
      <c r="C9" s="3" t="s">
        <v>608</v>
      </c>
      <c r="D9" s="3" t="s">
        <v>617</v>
      </c>
      <c r="E9" s="3" t="s">
        <v>618</v>
      </c>
      <c r="F9" s="3" t="s">
        <v>611</v>
      </c>
      <c r="G9" s="3" t="s">
        <v>612</v>
      </c>
      <c r="H9" s="3" t="s">
        <v>619</v>
      </c>
      <c r="I9" s="3" t="s">
        <v>620</v>
      </c>
    </row>
    <row r="10" spans="1:9" ht="75.95" customHeight="1">
      <c r="A10" s="4" t="s">
        <v>621</v>
      </c>
      <c r="B10" s="4" t="s">
        <v>622</v>
      </c>
      <c r="C10" s="4" t="s">
        <v>608</v>
      </c>
      <c r="D10" s="4" t="s">
        <v>623</v>
      </c>
      <c r="E10" s="4" t="s">
        <v>624</v>
      </c>
      <c r="F10" s="4" t="s">
        <v>611</v>
      </c>
      <c r="G10" s="4" t="s">
        <v>612</v>
      </c>
      <c r="H10" s="4" t="s">
        <v>625</v>
      </c>
      <c r="I10" s="4" t="s">
        <v>626</v>
      </c>
    </row>
    <row r="11" spans="1:9" ht="75.95" customHeight="1">
      <c r="A11" s="3" t="s">
        <v>627</v>
      </c>
      <c r="B11" s="3" t="s">
        <v>628</v>
      </c>
      <c r="C11" s="3" t="s">
        <v>608</v>
      </c>
      <c r="D11" s="3" t="s">
        <v>629</v>
      </c>
      <c r="E11" s="3" t="s">
        <v>630</v>
      </c>
      <c r="F11" s="3" t="s">
        <v>611</v>
      </c>
      <c r="G11" s="3" t="s">
        <v>612</v>
      </c>
      <c r="H11" s="3" t="s">
        <v>631</v>
      </c>
      <c r="I11" s="3" t="s">
        <v>632</v>
      </c>
    </row>
    <row r="12" spans="1:9" ht="75.95" customHeight="1">
      <c r="A12" s="4" t="s">
        <v>633</v>
      </c>
      <c r="B12" s="4" t="s">
        <v>634</v>
      </c>
      <c r="C12" s="4" t="s">
        <v>608</v>
      </c>
      <c r="D12" s="4" t="s">
        <v>635</v>
      </c>
      <c r="E12" s="4" t="s">
        <v>636</v>
      </c>
      <c r="F12" s="4" t="s">
        <v>611</v>
      </c>
      <c r="G12" s="4" t="s">
        <v>612</v>
      </c>
      <c r="H12" s="4" t="s">
        <v>637</v>
      </c>
      <c r="I12" s="4" t="s">
        <v>638</v>
      </c>
    </row>
    <row r="13" spans="1:9" ht="75.95" customHeight="1">
      <c r="A13" s="3" t="s">
        <v>639</v>
      </c>
      <c r="B13" s="3" t="s">
        <v>640</v>
      </c>
      <c r="C13" s="3" t="s">
        <v>608</v>
      </c>
      <c r="D13" s="3" t="s">
        <v>641</v>
      </c>
      <c r="E13" s="3" t="s">
        <v>642</v>
      </c>
      <c r="F13" s="3" t="s">
        <v>611</v>
      </c>
      <c r="G13" s="3" t="s">
        <v>612</v>
      </c>
      <c r="H13" s="3" t="s">
        <v>643</v>
      </c>
      <c r="I13" s="3" t="s">
        <v>644</v>
      </c>
    </row>
    <row r="14" spans="1:9" ht="75.95" customHeight="1">
      <c r="A14" s="4" t="s">
        <v>645</v>
      </c>
      <c r="B14" s="4" t="s">
        <v>646</v>
      </c>
      <c r="C14" s="4" t="s">
        <v>647</v>
      </c>
      <c r="D14" s="4" t="s">
        <v>446</v>
      </c>
      <c r="E14" s="4" t="s">
        <v>648</v>
      </c>
      <c r="F14" s="4" t="s">
        <v>649</v>
      </c>
      <c r="G14" s="4" t="s">
        <v>650</v>
      </c>
      <c r="H14" s="4" t="s">
        <v>651</v>
      </c>
      <c r="I14" s="4" t="s">
        <v>652</v>
      </c>
    </row>
    <row r="15" spans="1:9" ht="75.95" customHeight="1">
      <c r="A15" s="3" t="s">
        <v>653</v>
      </c>
      <c r="B15" s="3" t="s">
        <v>654</v>
      </c>
      <c r="C15" s="3" t="s">
        <v>655</v>
      </c>
      <c r="D15" s="3" t="s">
        <v>121</v>
      </c>
      <c r="E15" s="3" t="s">
        <v>656</v>
      </c>
      <c r="F15" s="3" t="s">
        <v>649</v>
      </c>
      <c r="G15" s="3" t="s">
        <v>650</v>
      </c>
      <c r="H15" s="3" t="s">
        <v>657</v>
      </c>
      <c r="I15" s="3" t="s">
        <v>658</v>
      </c>
    </row>
    <row r="16" spans="1:9" ht="75.95" customHeight="1">
      <c r="A16" s="4" t="s">
        <v>659</v>
      </c>
      <c r="B16" s="4" t="s">
        <v>660</v>
      </c>
      <c r="C16" s="4" t="s">
        <v>647</v>
      </c>
      <c r="D16" s="4" t="s">
        <v>661</v>
      </c>
      <c r="E16" s="4" t="s">
        <v>662</v>
      </c>
      <c r="F16" s="4" t="s">
        <v>663</v>
      </c>
      <c r="G16" s="4" t="s">
        <v>664</v>
      </c>
      <c r="H16" s="4" t="s">
        <v>665</v>
      </c>
      <c r="I16" s="4" t="s">
        <v>666</v>
      </c>
    </row>
    <row r="17" spans="1:9" ht="75.95" customHeight="1">
      <c r="A17" s="3" t="s">
        <v>667</v>
      </c>
      <c r="B17" s="3" t="s">
        <v>668</v>
      </c>
      <c r="C17" s="3" t="s">
        <v>669</v>
      </c>
      <c r="D17" s="3" t="s">
        <v>461</v>
      </c>
      <c r="E17" s="3" t="s">
        <v>670</v>
      </c>
      <c r="F17" s="3" t="s">
        <v>671</v>
      </c>
      <c r="G17" s="3" t="s">
        <v>672</v>
      </c>
      <c r="H17" s="3" t="s">
        <v>673</v>
      </c>
      <c r="I17" s="3" t="s">
        <v>674</v>
      </c>
    </row>
    <row r="18" spans="1:9" ht="75.95" customHeight="1">
      <c r="A18" s="4" t="s">
        <v>675</v>
      </c>
      <c r="B18" s="4" t="s">
        <v>676</v>
      </c>
      <c r="C18" s="4" t="s">
        <v>647</v>
      </c>
      <c r="D18" s="4" t="s">
        <v>677</v>
      </c>
      <c r="E18" s="4" t="s">
        <v>678</v>
      </c>
      <c r="F18" s="4" t="s">
        <v>679</v>
      </c>
      <c r="G18" s="4" t="s">
        <v>650</v>
      </c>
      <c r="H18" s="4" t="s">
        <v>680</v>
      </c>
      <c r="I18" s="4" t="s">
        <v>681</v>
      </c>
    </row>
    <row r="19" spans="1:9" ht="75.95" customHeight="1">
      <c r="A19" s="3" t="s">
        <v>682</v>
      </c>
      <c r="B19" s="3" t="s">
        <v>683</v>
      </c>
      <c r="C19" s="3" t="s">
        <v>684</v>
      </c>
      <c r="D19" s="3" t="s">
        <v>685</v>
      </c>
      <c r="E19" s="3" t="s">
        <v>686</v>
      </c>
      <c r="F19" s="3" t="s">
        <v>679</v>
      </c>
      <c r="G19" s="3" t="s">
        <v>650</v>
      </c>
      <c r="H19" s="3" t="s">
        <v>687</v>
      </c>
      <c r="I19" s="3" t="s">
        <v>688</v>
      </c>
    </row>
    <row r="20" spans="1:9" ht="75.95" customHeight="1">
      <c r="A20" s="4" t="s">
        <v>689</v>
      </c>
      <c r="B20" s="4" t="s">
        <v>690</v>
      </c>
      <c r="C20" s="4" t="s">
        <v>691</v>
      </c>
      <c r="D20" s="4" t="s">
        <v>692</v>
      </c>
      <c r="E20" s="4"/>
      <c r="F20" s="4" t="s">
        <v>693</v>
      </c>
      <c r="G20" s="4" t="s">
        <v>694</v>
      </c>
      <c r="H20" s="4" t="s">
        <v>695</v>
      </c>
      <c r="I20" s="4"/>
    </row>
    <row r="21" spans="1:9" ht="75.95" customHeight="1">
      <c r="A21" s="3" t="s">
        <v>696</v>
      </c>
      <c r="B21" s="3" t="s">
        <v>697</v>
      </c>
      <c r="C21" s="3" t="s">
        <v>691</v>
      </c>
      <c r="D21" s="3" t="s">
        <v>698</v>
      </c>
      <c r="E21" s="3"/>
      <c r="F21" s="3" t="s">
        <v>693</v>
      </c>
      <c r="G21" s="3" t="s">
        <v>694</v>
      </c>
      <c r="H21" s="3" t="s">
        <v>699</v>
      </c>
      <c r="I21" s="3"/>
    </row>
  </sheetData>
  <mergeCells count="2">
    <mergeCell ref="A1:I2"/>
    <mergeCell ref="A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tabSelected="1" workbookViewId="0">
      <pane ySplit="7" topLeftCell="A8" activePane="bottomLeft" state="frozen"/>
      <selection pane="bottomLeft"/>
    </sheetView>
  </sheetViews>
  <sheetFormatPr baseColWidth="10" defaultColWidth="9" defaultRowHeight="14.25"/>
  <cols>
    <col min="1" max="1" width="12" customWidth="1"/>
    <col min="2" max="2" width="44" customWidth="1"/>
    <col min="3" max="3" width="47" customWidth="1"/>
    <col min="4" max="4" width="20" customWidth="1"/>
    <col min="5" max="5" width="45" customWidth="1"/>
    <col min="6" max="6" width="26" customWidth="1"/>
    <col min="7" max="7" width="20" customWidth="1"/>
    <col min="8" max="8" width="28" customWidth="1"/>
  </cols>
  <sheetData>
    <row r="1" spans="1:8" ht="24" customHeight="1">
      <c r="A1" s="8" t="s">
        <v>700</v>
      </c>
      <c r="B1" s="8"/>
      <c r="C1" s="8"/>
      <c r="D1" s="8"/>
      <c r="E1" s="8"/>
      <c r="F1" s="8"/>
      <c r="G1" s="8"/>
      <c r="H1" s="8"/>
    </row>
    <row r="2" spans="1:8" ht="24" customHeight="1">
      <c r="A2" s="8"/>
      <c r="B2" s="8"/>
      <c r="C2" s="8"/>
      <c r="D2" s="8"/>
      <c r="E2" s="8"/>
      <c r="F2" s="8"/>
      <c r="G2" s="8"/>
      <c r="H2" s="8"/>
    </row>
    <row r="3" spans="1:8" ht="27" customHeight="1">
      <c r="A3" s="9" t="s">
        <v>701</v>
      </c>
      <c r="B3" s="9"/>
      <c r="C3" s="9"/>
      <c r="D3" s="9"/>
      <c r="E3" s="9"/>
      <c r="F3" s="9"/>
      <c r="G3" s="9"/>
      <c r="H3" s="9"/>
    </row>
    <row r="7" spans="1:8" ht="47.1" customHeight="1">
      <c r="A7" s="2" t="s">
        <v>702</v>
      </c>
      <c r="B7" s="2" t="s">
        <v>703</v>
      </c>
      <c r="C7" s="2" t="s">
        <v>704</v>
      </c>
      <c r="D7" s="2" t="s">
        <v>705</v>
      </c>
      <c r="E7" s="2" t="s">
        <v>706</v>
      </c>
      <c r="F7" s="2" t="s">
        <v>707</v>
      </c>
      <c r="G7" s="2" t="s">
        <v>708</v>
      </c>
      <c r="H7" s="2" t="s">
        <v>598</v>
      </c>
    </row>
    <row r="8" spans="1:8" ht="75.95" customHeight="1">
      <c r="A8" s="4" t="s">
        <v>709</v>
      </c>
      <c r="B8" s="4" t="s">
        <v>710</v>
      </c>
      <c r="C8" s="4" t="s">
        <v>711</v>
      </c>
      <c r="D8" s="4" t="s">
        <v>712</v>
      </c>
      <c r="E8" s="4" t="s">
        <v>713</v>
      </c>
      <c r="F8" s="5"/>
      <c r="G8" s="5"/>
      <c r="H8" s="4" t="s">
        <v>714</v>
      </c>
    </row>
    <row r="9" spans="1:8" ht="75.95" customHeight="1">
      <c r="A9" s="3" t="s">
        <v>715</v>
      </c>
      <c r="B9" s="3" t="s">
        <v>716</v>
      </c>
      <c r="C9" s="3" t="s">
        <v>717</v>
      </c>
      <c r="D9" s="3" t="s">
        <v>712</v>
      </c>
      <c r="E9" s="3" t="s">
        <v>718</v>
      </c>
      <c r="F9" s="5"/>
      <c r="G9" s="5"/>
      <c r="H9" s="3" t="s">
        <v>719</v>
      </c>
    </row>
    <row r="10" spans="1:8" ht="75.95" customHeight="1">
      <c r="A10" s="4" t="s">
        <v>720</v>
      </c>
      <c r="B10" s="4" t="s">
        <v>721</v>
      </c>
      <c r="C10" s="4" t="s">
        <v>722</v>
      </c>
      <c r="D10" s="4" t="s">
        <v>712</v>
      </c>
      <c r="E10" s="4" t="s">
        <v>723</v>
      </c>
      <c r="F10" s="5"/>
      <c r="G10" s="5"/>
      <c r="H10" s="4" t="s">
        <v>108</v>
      </c>
    </row>
    <row r="11" spans="1:8" ht="75.95" customHeight="1">
      <c r="A11" s="3" t="s">
        <v>724</v>
      </c>
      <c r="B11" s="3" t="s">
        <v>725</v>
      </c>
      <c r="C11" s="3" t="s">
        <v>726</v>
      </c>
      <c r="D11" s="3" t="s">
        <v>712</v>
      </c>
      <c r="E11" s="3" t="s">
        <v>727</v>
      </c>
      <c r="F11" s="5"/>
      <c r="G11" s="5"/>
      <c r="H11" s="3" t="s">
        <v>728</v>
      </c>
    </row>
    <row r="12" spans="1:8" ht="75.95" customHeight="1">
      <c r="A12" s="4" t="s">
        <v>729</v>
      </c>
      <c r="B12" s="4" t="s">
        <v>730</v>
      </c>
      <c r="C12" s="4" t="s">
        <v>731</v>
      </c>
      <c r="D12" s="4" t="s">
        <v>712</v>
      </c>
      <c r="E12" s="4" t="s">
        <v>732</v>
      </c>
      <c r="F12" s="5"/>
      <c r="G12" s="5"/>
      <c r="H12" s="4" t="s">
        <v>733</v>
      </c>
    </row>
    <row r="13" spans="1:8" ht="75.95" customHeight="1">
      <c r="A13" s="3" t="s">
        <v>734</v>
      </c>
      <c r="B13" s="3" t="s">
        <v>735</v>
      </c>
      <c r="C13" s="3" t="s">
        <v>736</v>
      </c>
      <c r="D13" s="3" t="s">
        <v>712</v>
      </c>
      <c r="E13" s="3" t="s">
        <v>737</v>
      </c>
      <c r="F13" s="5"/>
      <c r="G13" s="5"/>
      <c r="H13" s="3" t="s">
        <v>738</v>
      </c>
    </row>
    <row r="14" spans="1:8" ht="75.95" customHeight="1">
      <c r="A14" s="4" t="s">
        <v>739</v>
      </c>
      <c r="B14" s="4" t="s">
        <v>740</v>
      </c>
      <c r="C14" s="4" t="s">
        <v>741</v>
      </c>
      <c r="D14" s="4" t="s">
        <v>712</v>
      </c>
      <c r="E14" s="4" t="s">
        <v>742</v>
      </c>
      <c r="F14" s="5"/>
      <c r="G14" s="5"/>
      <c r="H14" s="4" t="s">
        <v>743</v>
      </c>
    </row>
    <row r="15" spans="1:8" ht="75.95" customHeight="1">
      <c r="A15" s="3" t="s">
        <v>744</v>
      </c>
      <c r="B15" s="3" t="s">
        <v>745</v>
      </c>
      <c r="C15" s="3" t="s">
        <v>746</v>
      </c>
      <c r="D15" s="3" t="s">
        <v>712</v>
      </c>
      <c r="E15" s="3" t="s">
        <v>747</v>
      </c>
      <c r="F15" s="5"/>
      <c r="G15" s="5"/>
      <c r="H15" s="3" t="s">
        <v>173</v>
      </c>
    </row>
    <row r="16" spans="1:8" ht="75.95" customHeight="1">
      <c r="A16" s="4" t="s">
        <v>748</v>
      </c>
      <c r="B16" s="4" t="s">
        <v>749</v>
      </c>
      <c r="C16" s="4" t="s">
        <v>750</v>
      </c>
      <c r="D16" s="4" t="s">
        <v>751</v>
      </c>
      <c r="E16" s="4" t="s">
        <v>752</v>
      </c>
      <c r="F16" s="5"/>
      <c r="G16" s="5"/>
      <c r="H16" s="4" t="s">
        <v>753</v>
      </c>
    </row>
    <row r="17" spans="1:8" ht="75.95" customHeight="1">
      <c r="A17" s="3" t="s">
        <v>754</v>
      </c>
      <c r="B17" s="3" t="s">
        <v>755</v>
      </c>
      <c r="C17" s="3" t="s">
        <v>756</v>
      </c>
      <c r="D17" s="3" t="s">
        <v>712</v>
      </c>
      <c r="E17" s="3" t="s">
        <v>757</v>
      </c>
      <c r="F17" s="5"/>
      <c r="G17" s="5"/>
      <c r="H17" s="3" t="s">
        <v>714</v>
      </c>
    </row>
  </sheetData>
  <mergeCells count="2">
    <mergeCell ref="A1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01_FICHA_GENERAL</vt:lpstr>
      <vt:lpstr>02_PLAN_POR_INDICADOR</vt:lpstr>
      <vt:lpstr>03_SUPUESTOS_ESTADISTICOS</vt:lpstr>
      <vt:lpstr>04_MATRIZ_CONTRASTES</vt:lpstr>
      <vt:lpstr>05_TAMANOS_EFECTO</vt:lpstr>
      <vt:lpstr>06_HERRAMIENTAS_VERSIONES</vt:lpstr>
      <vt:lpstr>07_DECISIONES_PENDIENTES</vt:lpstr>
      <vt:lpstr>08_FUENTES_TRAZABILIDAD</vt:lpstr>
      <vt:lpstr>09_CONTROL_REVISION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SANTIAGO PULGAR LEON</cp:lastModifiedBy>
  <dcterms:modified xsi:type="dcterms:W3CDTF">2026-10-15T20:15:33Z</dcterms:modified>
</cp:coreProperties>
</file>