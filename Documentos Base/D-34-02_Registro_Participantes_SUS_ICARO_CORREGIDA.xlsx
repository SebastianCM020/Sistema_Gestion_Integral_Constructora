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8405c4133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ICHA_GENERAL" sheetId="1" r:id="Rd476a5cbe3f34ff8"/>
    <x:sheet xmlns:r="http://schemas.openxmlformats.org/officeDocument/2006/relationships" name="02_PARTICIPANTES" sheetId="2" r:id="Rc4059cc08eda49ab"/>
    <x:sheet xmlns:r="http://schemas.openxmlformats.org/officeDocument/2006/relationships" name="03_CATALOGO_TAREAS" sheetId="3" r:id="Rc861c90744f04091"/>
    <x:sheet xmlns:r="http://schemas.openxmlformats.org/officeDocument/2006/relationships" name="04_ASIGNACION_TAREAS" sheetId="4" r:id="Rd2f033cbd8fa4b84"/>
    <x:sheet xmlns:r="http://schemas.openxmlformats.org/officeDocument/2006/relationships" name="05_RESUMEN_COBERTURA" sheetId="5" r:id="Rfb1f3f92ff3a4544"/>
    <x:sheet xmlns:r="http://schemas.openxmlformats.org/officeDocument/2006/relationships" name="06_CAPTURA_SUS" sheetId="6" r:id="R7dca7718865a4b6a"/>
    <x:sheet xmlns:r="http://schemas.openxmlformats.org/officeDocument/2006/relationships" name="07_MATRIZ_PERMISOS" sheetId="7" r:id="Rbf263bc5055442f4"/>
    <x:sheet xmlns:r="http://schemas.openxmlformats.org/officeDocument/2006/relationships" name="08_PENDIENTES_PARA_COMPLETAR" sheetId="8" r:id="R5c4e4ef85392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42E4B"/>
      <x:name val="Carlito"/>
    </x:font>
    <x:font>
      <x:b/>
      <x:sz val="11"/>
      <x:color rgb="FFFFFFFF"/>
      <x:name val="Carlito"/>
    </x:font>
    <x:font>
      <x:b/>
      <x:sz val="11"/>
      <x:color rgb="FF142E4B"/>
      <x:name val="Carlito"/>
    </x:font>
    <x:font>
      <x:b/>
      <x:sz val="15"/>
      <x:color rgb="FFFFFFFF"/>
      <x:name val="Carlito"/>
    </x:font>
    <x:font>
      <x:b/>
      <x:sz val="11"/>
      <x:color rgb="FF0F6B77"/>
      <x:name val="Carlito"/>
    </x:font>
    <x:font>
      <x:i/>
      <x:sz val="11"/>
      <x:color rgb="FF5B6C7C"/>
      <x:name val="Carlito"/>
    </x:font>
    <x:font>
      <x:b/>
      <x:sz val="16"/>
      <x:color rgb="FFFFFFFF"/>
      <x:name val="Carlito"/>
    </x:font>
    <x:font>
      <x:sz val="10"/>
      <x:color rgb="FF273444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E4B"/>
      </x:patternFill>
    </x:fill>
    <x:fill>
      <x:patternFill patternType="solid">
        <x:fgColor rgb="FFE8F3F5"/>
      </x:patternFill>
    </x:fill>
    <x:fill>
      <x:patternFill patternType="solid">
        <x:fgColor rgb="FF0F6B77"/>
      </x:patternFill>
    </x:fill>
    <x:fill>
      <x:patternFill patternType="solid">
        <x:fgColor rgb="FFFFF1D5"/>
      </x:patternFill>
    </x:fill>
    <x:fill>
      <x:patternFill patternType="solid">
        <x:fgColor rgb="FF19324E"/>
      </x:patternFill>
    </x:fill>
    <x:fill>
      <x:patternFill patternType="solid">
        <x:fgColor rgb="FFFFF4D5"/>
      </x:patternFill>
    </x:fill>
    <x:fill>
      <x:patternFill patternType="solid">
        <x:fgColor rgb="FF087E8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6cefedc894115" /><Relationship Type="http://schemas.openxmlformats.org/officeDocument/2006/relationships/theme" Target="/xl/theme/theme1.xml" Id="R076b0480584342d5" /><Relationship Type="http://schemas.openxmlformats.org/officeDocument/2006/relationships/sharedStrings" Target="/xl/sharedStrings.xml" Id="R6818e733d232451e" /><Relationship Type="http://schemas.openxmlformats.org/officeDocument/2006/relationships/worksheet" Target="/xl/worksheets/sheet1.xml" Id="Rd476a5cbe3f34ff8" /><Relationship Type="http://schemas.openxmlformats.org/officeDocument/2006/relationships/worksheet" Target="/xl/worksheets/sheet2.xml" Id="Rc4059cc08eda49ab" /><Relationship Type="http://schemas.openxmlformats.org/officeDocument/2006/relationships/worksheet" Target="/xl/worksheets/sheet3.xml" Id="Rc861c90744f04091" /><Relationship Type="http://schemas.openxmlformats.org/officeDocument/2006/relationships/worksheet" Target="/xl/worksheets/sheet4.xml" Id="Rd2f033cbd8fa4b84" /><Relationship Type="http://schemas.openxmlformats.org/officeDocument/2006/relationships/worksheet" Target="/xl/worksheets/sheet5.xml" Id="Rfb1f3f92ff3a4544" /><Relationship Type="http://schemas.openxmlformats.org/officeDocument/2006/relationships/worksheet" Target="/xl/worksheets/sheet6.xml" Id="R7dca7718865a4b6a" /><Relationship Type="http://schemas.openxmlformats.org/officeDocument/2006/relationships/worksheet" Target="/xl/worksheets/sheet7.xml" Id="Rbf263bc5055442f4" /><Relationship Type="http://schemas.openxmlformats.org/officeDocument/2006/relationships/worksheet" Target="/xl/worksheets/sheet8.xml" Id="R5c4e4ef853924bc2" /></Relationships>
</file>

<file path=xl/tables/table1.xml><?xml version="1.0" encoding="utf-8"?>
<x:table xmlns:x="http://schemas.openxmlformats.org/spreadsheetml/2006/main" id="1" name="T3402Participantes" displayName="T3402Participantes" ref="A5:P45" headerRowCount="1" totalsRowCount="0" totalsRowShown="0">
  <x:tableColumns count="16">
    <x:tableColumn id="1" name="Código participante"/>
    <x:tableColumn id="2" name="Rol funcional"/>
    <x:tableColumn id="3" name="Área o proceso"/>
    <x:tableColumn id="4" name="Usuario elegible"/>
    <x:tableColumn id="5" name="Criterio de elegibilidad verificado"/>
    <x:tableColumn id="6" name="Modalidad web/móvil"/>
    <x:tableColumn id="7" name="Dispositivo utilizado"/>
    <x:tableColumn id="8" name="Fecha de sesión"/>
    <x:tableColumn id="9" name="Participación confirmada"/>
    <x:tableColumn id="10" name="Consentimiento registrado"/>
    <x:tableColumn id="11" name="Sesión realizada"/>
    <x:tableColumn id="12" name="Cuestionario SUS recibido"/>
    <x:tableColumn id="13" name="Cuestionario SUS válido"/>
    <x:tableColumn id="14" name="Motivo de exclusión"/>
    <x:tableColumn id="15" name="Código de evidencia"/>
    <x:tableColumn id="16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402Tareas" displayName="T3402Tareas" ref="A5:J35" headerRowCount="1" totalsRowCount="0" totalsRowShown="0">
  <x:tableColumns count="10">
    <x:tableColumn id="1" name="Código tarea"/>
    <x:tableColumn id="2" name="Nombre"/>
    <x:tableColumn id="3" name="Módulo"/>
    <x:tableColumn id="4" name="Perfil autorizado"/>
    <x:tableColumn id="5" name="Descripción"/>
    <x:tableColumn id="6" name="Resultado esperado"/>
    <x:tableColumn id="7" name="Criterio de éxito"/>
    <x:tableColumn id="8" name="Dispositivo"/>
    <x:tableColumn id="9" name="Estado de validación"/>
    <x:tableColumn id="10" name="Fuente técn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402Asignaciones" displayName="T3402Asignaciones" ref="A5:M105" headerRowCount="1" totalsRowCount="0" totalsRowShown="0">
  <x:tableColumns count="13">
    <x:tableColumn id="1" name="Código registro"/>
    <x:tableColumn id="2" name="Código participante"/>
    <x:tableColumn id="3" name="Código tarea"/>
    <x:tableColumn id="4" name="Rol verificado"/>
    <x:tableColumn id="5" name="Autorización confirmada"/>
    <x:tableColumn id="6" name="Asignación prevista"/>
    <x:tableColumn id="7" name="Intento realizado"/>
    <x:tableColumn id="8" name="Resultado"/>
    <x:tableColumn id="9" name="Hubo asistencia"/>
    <x:tableColumn id="10" name="Motivo de interrupción"/>
    <x:tableColumn id="11" name="Tiempo observado (s)"/>
    <x:tableColumn id="12" name="Evidencia"/>
    <x:tableColumn id="13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a56fb7dee74a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2ec9ef276641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b36494b7fc4f2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5" customHeight="1">
      <x:c r="A1" s="4" t="str">
        <x:v>ICARO | INSTRUMENTO METODOLÓGICO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9" t="str">
        <x:v>Registro de participantes y tareas SUS</x:v>
      </x:c>
      <x:c r="B3" s="9"/>
      <x:c r="C3" s="9"/>
      <x:c r="D3" s="9"/>
      <x:c r="E3" s="9"/>
      <x:c r="F3" s="9"/>
      <x:c r="G3" s="9"/>
      <x:c r="H3" s="9"/>
    </x:row>
    <x:row r="5" ht="26" customHeight="1">
      <x:c r="A5" s="13" t="str">
        <x:v>Campo</x:v>
      </x:c>
      <x:c r="B5" s="13" t="str">
        <x:v>Valor</x:v>
      </x:c>
    </x:row>
    <x:row r="6" ht="29" customHeight="1">
      <x:c r="A6" s="16" t="str">
        <x:v>Código</x:v>
      </x:c>
      <x:c r="B6" s="18" t="str">
        <x:v>D-34-02</x:v>
      </x:c>
    </x:row>
    <x:row r="7" ht="29" customHeight="1">
      <x:c r="A7" s="16" t="str">
        <x:v>Proyecto</x:v>
      </x:c>
      <x:c r="B7" s="18" t="str">
        <x:v>Sistema de Gestión Integral ICARO — ICARO CONSTRUCTORES BMGM S.A.S.</x:v>
      </x:c>
    </x:row>
    <x:row r="8" ht="29" customHeight="1">
      <x:c r="A8" s="16" t="str">
        <x:v>Trabajo</x:v>
      </x:c>
      <x:c r="B8" s="18" t="str">
        <x:v>Desarrollo de un sistema web y móvil para la gestión integral en la empresa ICARO CONSTRUCTORES BMGM S.A.S.</x:v>
      </x:c>
    </x:row>
    <x:row r="9" ht="29" customHeight="1">
      <x:c r="A9" s="16" t="str">
        <x:v>Capítulo</x:v>
      </x:c>
      <x:c r="B9" s="18" t="str">
        <x:v>III — Marco metodológico</x:v>
      </x:c>
    </x:row>
    <x:row r="10" ht="29" customHeight="1">
      <x:c r="A10" s="16" t="str">
        <x:v>Apartado</x:v>
      </x:c>
      <x:c r="B10" s="18" t="str">
        <x:v>3.4. Población, muestra y unidades de análisis</x:v>
      </x:c>
    </x:row>
    <x:row r="11" ht="29" customHeight="1">
      <x:c r="A11" s="16" t="str">
        <x:v>Objetivo</x:v>
      </x:c>
      <x:c r="B11" s="18" t="str">
        <x:v>Documentar elegibilidad, participación efectiva y asignación de tareas de los usuarios de la evaluación de usabilidad.</x:v>
      </x:c>
    </x:row>
    <x:row r="12" ht="29" customHeight="1">
      <x:c r="A12" s="16" t="str">
        <x:v>Versión</x:v>
      </x:c>
      <x:c r="B12" s="18" t="str">
        <x:v>2.0 — Revisado tras auditoría metodológica; sin ejecución ni aprobación</x:v>
      </x:c>
    </x:row>
    <x:row r="13" ht="29" customHeight="1">
      <x:c r="A13" s="16" t="str">
        <x:v>Estado</x:v>
      </x:c>
      <x:c r="B13" s="18" t="str">
        <x:v>Instrumento corregido para planificación; pendiente de decisiones, validación y aplicación</x:v>
      </x:c>
    </x:row>
    <x:row r="14" ht="29" customHeight="1">
      <x:c r="A14" s="16" t="str">
        <x:v>Fecha de actualización</x:v>
      </x:c>
      <x:c r="B14" s="18" t="str">
        <x:v>2026-10-14</x:v>
      </x:c>
    </x:row>
    <x:row r="15" ht="29" customHeight="1">
      <x:c r="A15" s="16" t="str">
        <x:v>Responsable</x:v>
      </x:c>
      <x:c r="B15" s="18" t="str">
        <x:v>Equipo de titulación ICARO; confirmación pendiente</x:v>
      </x:c>
    </x:row>
    <x:row r="16" ht="29" customHeight="1">
      <x:c r="A16" s="16" t="str">
        <x:v>Fuentes</x:v>
      </x:c>
      <x:c r="B16" s="18" t="str">
        <x:v>Estudio de factibilidad ICARO; casos de uso V3; operacionalización OP-04/OP-05.</x:v>
      </x:c>
    </x:row>
    <x:row r="17" ht="29" customHeight="1">
      <x:c r="A17" s="16" t="str">
        <x:v>Repositorio</x:v>
      </x:c>
      <x:c r="B17" s="18" t="str">
        <x:v>https://github.com/SebastianCM020/Sistema_Gestion_Integral_Constructora</x:v>
      </x:c>
    </x:row>
    <x:row r="18" ht="29" customHeight="1">
      <x:c r="A18" s="16" t="str">
        <x:v>Commit de referencia</x:v>
      </x:c>
      <x:c r="B18" s="18" t="str">
        <x:v>dd2984f50fe74ab0aac01c72d6d4bf13c6bfb491</x:v>
      </x:c>
    </x:row>
    <x:row r="19" ht="29" customHeight="1">
      <x:c r="A19" s="16" t="str">
        <x:v>Advertencia metodológica</x:v>
      </x:c>
      <x:c r="B19" s="18" t="str">
        <x:v>Planificación únicamente. Las celdas en blanco y los resultados ausentes NO representan cero, incumplimiento ni ejecución.</x:v>
      </x:c>
    </x:row>
    <x:row r="20" ht="29" customHeight="1">
      <x:c r="A20" s="16" t="str">
        <x:v>Leyenda | Documentado</x:v>
      </x:c>
      <x:c r="B20" s="18" t="str">
        <x:v>Azul verdoso: identificado en documentación o repositorio.</x:v>
      </x:c>
    </x:row>
    <x:row r="21" ht="29" customHeight="1">
      <x:c r="A21" s="16" t="str">
        <x:v>Leyenda | Pendiente</x:v>
      </x:c>
      <x:c r="B21" s="18" t="str">
        <x:v>Amarillo: captura o decisión sin evidencia confirmada.</x:v>
      </x:c>
    </x:row>
    <x:row r="22" ht="29" customHeight="1">
      <x:c r="A22" s="16" t="str">
        <x:v>Leyenda | Validado</x:v>
      </x:c>
      <x:c r="B22" s="18" t="str">
        <x:v>Verde: solo al incorporar evidencia revisada.</x:v>
      </x:c>
    </x:row>
    <x:row r="23" ht="29" customHeight="1">
      <x:c r="A23" s="16" t="str">
        <x:v>Leyenda | Alerta</x:v>
      </x:c>
      <x:c r="B23" s="18" t="str">
        <x:v>Rojo: inconsistencia de datos o valores incompatibles.</x:v>
      </x:c>
    </x:row>
    <x:row r="24" ht="29" customHeight="1">
      <x:c r="A24" s="16" t="str">
        <x:v>Privacidad</x:v>
      </x:c>
      <x:c r="B24" s="18" t="str">
        <x:v>No introducir identificadores personales ni credenciales reales.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26" hidden="0" customWidth="1"/>
    <x:col min="4" max="4" width="21" hidden="0" customWidth="1"/>
    <x:col min="5" max="5" width="37" hidden="0" customWidth="1"/>
    <x:col min="6" max="6" width="24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31" hidden="0" customWidth="1"/>
    <x:col min="15" max="15" width="30" hidden="0" customWidth="1"/>
    <x:col min="16" max="16" width="37" hidden="0" customWidth="1"/>
  </x:cols>
  <x:sheetData>
    <x:row r="1" ht="24" customHeight="1">
      <x:c r="A1" s="21" t="str">
        <x:v>PARTICIPANTES ANÓNIMOS | SUS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21" customHeight="1">
      <x:c r="A4" s="26" t="str">
        <x:v>P01–P10 son códigos reservados: NO confirman elegibilidad, participación ni respuestas.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</x:row>
    <x:row r="5" ht="32" customHeight="1">
      <x:c r="A5" s="29" t="str">
        <x:v>Código participante</x:v>
      </x:c>
      <x:c r="B5" s="29" t="str">
        <x:v>Rol funcional</x:v>
      </x:c>
      <x:c r="C5" s="29" t="str">
        <x:v>Área o proceso</x:v>
      </x:c>
      <x:c r="D5" s="29" t="str">
        <x:v>Usuario elegible</x:v>
      </x:c>
      <x:c r="E5" s="29" t="str">
        <x:v>Criterio de elegibilidad verificado</x:v>
      </x:c>
      <x:c r="F5" s="29" t="str">
        <x:v>Modalidad web/móvil</x:v>
      </x:c>
      <x:c r="G5" s="29" t="str">
        <x:v>Dispositivo utilizado</x:v>
      </x:c>
      <x:c r="H5" s="29" t="str">
        <x:v>Fecha de sesión</x:v>
      </x:c>
      <x:c r="I5" s="29" t="str">
        <x:v>Participación confirmada</x:v>
      </x:c>
      <x:c r="J5" s="29" t="str">
        <x:v>Consentimiento registrado</x:v>
      </x:c>
      <x:c r="K5" s="29" t="str">
        <x:v>Sesión realizada</x:v>
      </x:c>
      <x:c r="L5" s="29" t="str">
        <x:v>Cuestionario SUS recibido</x:v>
      </x:c>
      <x:c r="M5" s="29" t="str">
        <x:v>Cuestionario SUS válido</x:v>
      </x:c>
      <x:c r="N5" s="29" t="str">
        <x:v>Motivo de exclusión</x:v>
      </x:c>
      <x:c r="O5" s="29" t="str">
        <x:v>Código de evidencia</x:v>
      </x:c>
      <x:c r="P5" s="29" t="str">
        <x:v>Observaciones (sin datos personales)</x:v>
      </x:c>
    </x:row>
    <x:row r="6" ht="27" customHeight="1">
      <x:c r="A6" s="18" t="str">
        <x:v>P01</x:v>
      </x:c>
      <x:c r="B6" s="32"/>
      <x:c r="C6" s="32"/>
      <x:c r="D6" s="32"/>
      <x:c r="E6" s="18"/>
      <x:c r="F6" s="18"/>
      <x:c r="G6" s="18"/>
      <x:c r="H6" s="32"/>
      <x:c r="I6" s="32"/>
      <x:c r="J6" s="32"/>
      <x:c r="K6" s="32"/>
      <x:c r="L6" s="32"/>
      <x:c r="M6" s="32" t="str">
        <x:f>IF(L6&lt;&gt;"Sí","",IF(AND(D6="Sí",E6&lt;&gt;"",E6&lt;&gt;"Pendiente",I6="Sí",J6="Sí",K6="Sí",H6&lt;&gt;"",O6&lt;&gt;"",A6='06_CAPTURA_SUS'!A5,'06_CAPTURA_SUS'!L5="Sí",'06_CAPTURA_SUS'!N5&lt;&gt;"",'06_CAPTURA_SUS'!O5="Verificado"),"Sí","No"))</x:f>
      </x:c>
      <x:c r="N6" s="18"/>
      <x:c r="O6" s="32"/>
      <x:c r="P6" s="18" t="str">
        <x:v>Código reservado; elegibilidad y resultados aún sin evidencia</x:v>
      </x:c>
    </x:row>
    <x:row r="7" ht="27" customHeight="1">
      <x:c r="A7" s="18" t="str">
        <x:v>P02</x:v>
      </x:c>
      <x:c r="B7" s="32"/>
      <x:c r="C7" s="32"/>
      <x:c r="D7" s="32"/>
      <x:c r="E7" s="18"/>
      <x:c r="F7" s="18"/>
      <x:c r="G7" s="18"/>
      <x:c r="H7" s="32"/>
      <x:c r="I7" s="32"/>
      <x:c r="J7" s="32"/>
      <x:c r="K7" s="32"/>
      <x:c r="L7" s="32"/>
      <x:c r="M7" s="32" t="str">
        <x:f>IF(L7&lt;&gt;"Sí","",IF(AND(D7="Sí",E7&lt;&gt;"",E7&lt;&gt;"Pendiente",I7="Sí",J7="Sí",K7="Sí",H7&lt;&gt;"",O7&lt;&gt;"",A7='06_CAPTURA_SUS'!A6,'06_CAPTURA_SUS'!L6="Sí",'06_CAPTURA_SUS'!N6&lt;&gt;"",'06_CAPTURA_SUS'!O6="Verificado"),"Sí","No"))</x:f>
      </x:c>
      <x:c r="N7" s="18"/>
      <x:c r="O7" s="32"/>
      <x:c r="P7" s="18"/>
    </x:row>
    <x:row r="8" ht="27" customHeight="1">
      <x:c r="A8" s="18" t="str">
        <x:v>P03</x:v>
      </x:c>
      <x:c r="B8" s="32"/>
      <x:c r="C8" s="32"/>
      <x:c r="D8" s="32"/>
      <x:c r="E8" s="18"/>
      <x:c r="F8" s="18"/>
      <x:c r="G8" s="18"/>
      <x:c r="H8" s="32"/>
      <x:c r="I8" s="32"/>
      <x:c r="J8" s="32"/>
      <x:c r="K8" s="32"/>
      <x:c r="L8" s="32"/>
      <x:c r="M8" s="32" t="str">
        <x:f>IF(L8&lt;&gt;"Sí","",IF(AND(D8="Sí",E8&lt;&gt;"",E8&lt;&gt;"Pendiente",I8="Sí",J8="Sí",K8="Sí",H8&lt;&gt;"",O8&lt;&gt;"",A8='06_CAPTURA_SUS'!A7,'06_CAPTURA_SUS'!L7="Sí",'06_CAPTURA_SUS'!N7&lt;&gt;"",'06_CAPTURA_SUS'!O7="Verificado"),"Sí","No"))</x:f>
      </x:c>
      <x:c r="N8" s="18"/>
      <x:c r="O8" s="32"/>
      <x:c r="P8" s="18"/>
    </x:row>
    <x:row r="9" ht="27" customHeight="1">
      <x:c r="A9" s="18" t="str">
        <x:v>P04</x:v>
      </x:c>
      <x:c r="B9" s="32"/>
      <x:c r="C9" s="32"/>
      <x:c r="D9" s="32"/>
      <x:c r="E9" s="18"/>
      <x:c r="F9" s="18"/>
      <x:c r="G9" s="18"/>
      <x:c r="H9" s="32"/>
      <x:c r="I9" s="32"/>
      <x:c r="J9" s="32"/>
      <x:c r="K9" s="32"/>
      <x:c r="L9" s="32"/>
      <x:c r="M9" s="32" t="str">
        <x:f>IF(L9&lt;&gt;"Sí","",IF(AND(D9="Sí",E9&lt;&gt;"",E9&lt;&gt;"Pendiente",I9="Sí",J9="Sí",K9="Sí",H9&lt;&gt;"",O9&lt;&gt;"",A9='06_CAPTURA_SUS'!A8,'06_CAPTURA_SUS'!L8="Sí",'06_CAPTURA_SUS'!N8&lt;&gt;"",'06_CAPTURA_SUS'!O8="Verificado"),"Sí","No"))</x:f>
      </x:c>
      <x:c r="N9" s="18"/>
      <x:c r="O9" s="32"/>
      <x:c r="P9" s="18"/>
    </x:row>
    <x:row r="10" ht="27" customHeight="1">
      <x:c r="A10" s="18" t="str">
        <x:v>P05</x:v>
      </x:c>
      <x:c r="B10" s="32"/>
      <x:c r="C10" s="32"/>
      <x:c r="D10" s="32"/>
      <x:c r="E10" s="18"/>
      <x:c r="F10" s="18"/>
      <x:c r="G10" s="18"/>
      <x:c r="H10" s="32"/>
      <x:c r="I10" s="32"/>
      <x:c r="J10" s="32"/>
      <x:c r="K10" s="32"/>
      <x:c r="L10" s="32"/>
      <x:c r="M10" s="32" t="str">
        <x:f>IF(L10&lt;&gt;"Sí","",IF(AND(D10="Sí",E10&lt;&gt;"",E10&lt;&gt;"Pendiente",I10="Sí",J10="Sí",K10="Sí",H10&lt;&gt;"",O10&lt;&gt;"",A10='06_CAPTURA_SUS'!A9,'06_CAPTURA_SUS'!L9="Sí",'06_CAPTURA_SUS'!N9&lt;&gt;"",'06_CAPTURA_SUS'!O9="Verificado"),"Sí","No"))</x:f>
      </x:c>
      <x:c r="N10" s="18"/>
      <x:c r="O10" s="32"/>
      <x:c r="P10" s="18"/>
    </x:row>
    <x:row r="11" ht="27" customHeight="1">
      <x:c r="A11" s="18" t="str">
        <x:v>P06</x:v>
      </x:c>
      <x:c r="B11" s="32"/>
      <x:c r="C11" s="32"/>
      <x:c r="D11" s="32"/>
      <x:c r="E11" s="18"/>
      <x:c r="F11" s="18"/>
      <x:c r="G11" s="18"/>
      <x:c r="H11" s="32"/>
      <x:c r="I11" s="32"/>
      <x:c r="J11" s="32"/>
      <x:c r="K11" s="32"/>
      <x:c r="L11" s="32"/>
      <x:c r="M11" s="32" t="str">
        <x:f>IF(L11&lt;&gt;"Sí","",IF(AND(D11="Sí",E11&lt;&gt;"",E11&lt;&gt;"Pendiente",I11="Sí",J11="Sí",K11="Sí",H11&lt;&gt;"",O11&lt;&gt;"",A11='06_CAPTURA_SUS'!A10,'06_CAPTURA_SUS'!L10="Sí",'06_CAPTURA_SUS'!N10&lt;&gt;"",'06_CAPTURA_SUS'!O10="Verificado"),"Sí","No"))</x:f>
      </x:c>
      <x:c r="N11" s="18"/>
      <x:c r="O11" s="32"/>
      <x:c r="P11" s="18"/>
    </x:row>
    <x:row r="12" ht="27" customHeight="1">
      <x:c r="A12" s="18" t="str">
        <x:v>P07</x:v>
      </x:c>
      <x:c r="B12" s="32"/>
      <x:c r="C12" s="32"/>
      <x:c r="D12" s="32"/>
      <x:c r="E12" s="18"/>
      <x:c r="F12" s="18"/>
      <x:c r="G12" s="18"/>
      <x:c r="H12" s="32"/>
      <x:c r="I12" s="32"/>
      <x:c r="J12" s="32"/>
      <x:c r="K12" s="32"/>
      <x:c r="L12" s="32"/>
      <x:c r="M12" s="32" t="str">
        <x:f>IF(L12&lt;&gt;"Sí","",IF(AND(D12="Sí",E12&lt;&gt;"",E12&lt;&gt;"Pendiente",I12="Sí",J12="Sí",K12="Sí",H12&lt;&gt;"",O12&lt;&gt;"",A12='06_CAPTURA_SUS'!A11,'06_CAPTURA_SUS'!L11="Sí",'06_CAPTURA_SUS'!N11&lt;&gt;"",'06_CAPTURA_SUS'!O11="Verificado"),"Sí","No"))</x:f>
      </x:c>
      <x:c r="N12" s="18"/>
      <x:c r="O12" s="32"/>
      <x:c r="P12" s="18"/>
    </x:row>
    <x:row r="13" ht="27" customHeight="1">
      <x:c r="A13" s="18" t="str">
        <x:v>P08</x:v>
      </x:c>
      <x:c r="B13" s="32"/>
      <x:c r="C13" s="32"/>
      <x:c r="D13" s="32"/>
      <x:c r="E13" s="18"/>
      <x:c r="F13" s="18"/>
      <x:c r="G13" s="18"/>
      <x:c r="H13" s="32"/>
      <x:c r="I13" s="32"/>
      <x:c r="J13" s="32"/>
      <x:c r="K13" s="32"/>
      <x:c r="L13" s="32"/>
      <x:c r="M13" s="32" t="str">
        <x:f>IF(L13&lt;&gt;"Sí","",IF(AND(D13="Sí",E13&lt;&gt;"",E13&lt;&gt;"Pendiente",I13="Sí",J13="Sí",K13="Sí",H13&lt;&gt;"",O13&lt;&gt;"",A13='06_CAPTURA_SUS'!A12,'06_CAPTURA_SUS'!L12="Sí",'06_CAPTURA_SUS'!N12&lt;&gt;"",'06_CAPTURA_SUS'!O12="Verificado"),"Sí","No"))</x:f>
      </x:c>
      <x:c r="N13" s="18"/>
      <x:c r="O13" s="32"/>
      <x:c r="P13" s="18"/>
    </x:row>
    <x:row r="14" ht="27" customHeight="1">
      <x:c r="A14" s="18" t="str">
        <x:v>P09</x:v>
      </x:c>
      <x:c r="B14" s="32"/>
      <x:c r="C14" s="32"/>
      <x:c r="D14" s="32"/>
      <x:c r="E14" s="18"/>
      <x:c r="F14" s="18"/>
      <x:c r="G14" s="18"/>
      <x:c r="H14" s="32"/>
      <x:c r="I14" s="32"/>
      <x:c r="J14" s="32"/>
      <x:c r="K14" s="32"/>
      <x:c r="L14" s="32"/>
      <x:c r="M14" s="32" t="str">
        <x:f>IF(L14&lt;&gt;"Sí","",IF(AND(D14="Sí",E14&lt;&gt;"",E14&lt;&gt;"Pendiente",I14="Sí",J14="Sí",K14="Sí",H14&lt;&gt;"",O14&lt;&gt;"",A14='06_CAPTURA_SUS'!A13,'06_CAPTURA_SUS'!L13="Sí",'06_CAPTURA_SUS'!N13&lt;&gt;"",'06_CAPTURA_SUS'!O13="Verificado"),"Sí","No"))</x:f>
      </x:c>
      <x:c r="N14" s="18"/>
      <x:c r="O14" s="32"/>
      <x:c r="P14" s="18"/>
    </x:row>
    <x:row r="15" ht="27" customHeight="1">
      <x:c r="A15" s="18" t="str">
        <x:v>P10</x:v>
      </x:c>
      <x:c r="B15" s="32"/>
      <x:c r="C15" s="32"/>
      <x:c r="D15" s="32"/>
      <x:c r="E15" s="18"/>
      <x:c r="F15" s="18"/>
      <x:c r="G15" s="18"/>
      <x:c r="H15" s="32"/>
      <x:c r="I15" s="32"/>
      <x:c r="J15" s="32"/>
      <x:c r="K15" s="32"/>
      <x:c r="L15" s="32"/>
      <x:c r="M15" s="32" t="str">
        <x:f>IF(L15&lt;&gt;"Sí","",IF(AND(D15="Sí",E15&lt;&gt;"",E15&lt;&gt;"Pendiente",I15="Sí",J15="Sí",K15="Sí",H15&lt;&gt;"",O15&lt;&gt;"",A15='06_CAPTURA_SUS'!A14,'06_CAPTURA_SUS'!L14="Sí",'06_CAPTURA_SUS'!N14&lt;&gt;"",'06_CAPTURA_SUS'!O14="Verificado"),"Sí","No"))</x:f>
      </x:c>
      <x:c r="N15" s="18"/>
      <x:c r="O15" s="32"/>
      <x:c r="P15" s="18"/>
    </x:row>
    <x:row r="16" ht="27" customHeight="1">
      <x:c r="A16" s="18"/>
      <x:c r="B16" s="32"/>
      <x:c r="C16" s="32"/>
      <x:c r="D16" s="32"/>
      <x:c r="E16" s="18"/>
      <x:c r="F16" s="18"/>
      <x:c r="G16" s="18"/>
      <x:c r="H16" s="32"/>
      <x:c r="I16" s="32"/>
      <x:c r="J16" s="32"/>
      <x:c r="K16" s="32"/>
      <x:c r="L16" s="32"/>
      <x:c r="M16" s="32" t="str">
        <x:f>IF(L16&lt;&gt;"Sí","",IF(AND(D16="Sí",E16&lt;&gt;"",E16&lt;&gt;"Pendiente",I16="Sí",J16="Sí",K16="Sí",H16&lt;&gt;"",O16&lt;&gt;"",A16='06_CAPTURA_SUS'!A15,'06_CAPTURA_SUS'!L15="Sí",'06_CAPTURA_SUS'!N15&lt;&gt;"",'06_CAPTURA_SUS'!O15="Verificado"),"Sí","No"))</x:f>
      </x:c>
      <x:c r="N16" s="18"/>
      <x:c r="O16" s="32"/>
      <x:c r="P16" s="18"/>
    </x:row>
    <x:row r="17" ht="27" customHeight="1">
      <x:c r="A17" s="18"/>
      <x:c r="B17" s="32"/>
      <x:c r="C17" s="32"/>
      <x:c r="D17" s="32"/>
      <x:c r="E17" s="18"/>
      <x:c r="F17" s="18"/>
      <x:c r="G17" s="18"/>
      <x:c r="H17" s="32"/>
      <x:c r="I17" s="32"/>
      <x:c r="J17" s="32"/>
      <x:c r="K17" s="32"/>
      <x:c r="L17" s="32"/>
      <x:c r="M17" s="32" t="str">
        <x:f>IF(L17&lt;&gt;"Sí","",IF(AND(D17="Sí",E17&lt;&gt;"",E17&lt;&gt;"Pendiente",I17="Sí",J17="Sí",K17="Sí",H17&lt;&gt;"",O17&lt;&gt;"",A17='06_CAPTURA_SUS'!A16,'06_CAPTURA_SUS'!L16="Sí",'06_CAPTURA_SUS'!N16&lt;&gt;"",'06_CAPTURA_SUS'!O16="Verificado"),"Sí","No"))</x:f>
      </x:c>
      <x:c r="N17" s="18"/>
      <x:c r="O17" s="32"/>
      <x:c r="P17" s="18"/>
    </x:row>
    <x:row r="18" ht="27" customHeight="1">
      <x:c r="A18" s="18"/>
      <x:c r="B18" s="32"/>
      <x:c r="C18" s="32"/>
      <x:c r="D18" s="32"/>
      <x:c r="E18" s="18"/>
      <x:c r="F18" s="18"/>
      <x:c r="G18" s="18"/>
      <x:c r="H18" s="32"/>
      <x:c r="I18" s="32"/>
      <x:c r="J18" s="32"/>
      <x:c r="K18" s="32"/>
      <x:c r="L18" s="32"/>
      <x:c r="M18" s="32" t="str">
        <x:f>IF(L18&lt;&gt;"Sí","",IF(AND(D18="Sí",E18&lt;&gt;"",E18&lt;&gt;"Pendiente",I18="Sí",J18="Sí",K18="Sí",H18&lt;&gt;"",O18&lt;&gt;"",A18='06_CAPTURA_SUS'!A17,'06_CAPTURA_SUS'!L17="Sí",'06_CAPTURA_SUS'!N17&lt;&gt;"",'06_CAPTURA_SUS'!O17="Verificado"),"Sí","No"))</x:f>
      </x:c>
      <x:c r="N18" s="18"/>
      <x:c r="O18" s="32"/>
      <x:c r="P18" s="18"/>
    </x:row>
    <x:row r="19" ht="27" customHeight="1">
      <x:c r="A19" s="18"/>
      <x:c r="B19" s="32"/>
      <x:c r="C19" s="32"/>
      <x:c r="D19" s="32"/>
      <x:c r="E19" s="18"/>
      <x:c r="F19" s="18"/>
      <x:c r="G19" s="18"/>
      <x:c r="H19" s="32"/>
      <x:c r="I19" s="32"/>
      <x:c r="J19" s="32"/>
      <x:c r="K19" s="32"/>
      <x:c r="L19" s="32"/>
      <x:c r="M19" s="32" t="str">
        <x:f>IF(L19&lt;&gt;"Sí","",IF(AND(D19="Sí",E19&lt;&gt;"",E19&lt;&gt;"Pendiente",I19="Sí",J19="Sí",K19="Sí",H19&lt;&gt;"",O19&lt;&gt;"",A19='06_CAPTURA_SUS'!A18,'06_CAPTURA_SUS'!L18="Sí",'06_CAPTURA_SUS'!N18&lt;&gt;"",'06_CAPTURA_SUS'!O18="Verificado"),"Sí","No"))</x:f>
      </x:c>
      <x:c r="N19" s="18"/>
      <x:c r="O19" s="32"/>
      <x:c r="P19" s="18"/>
    </x:row>
    <x:row r="20" ht="27" customHeight="1">
      <x:c r="A20" s="18"/>
      <x:c r="B20" s="32"/>
      <x:c r="C20" s="32"/>
      <x:c r="D20" s="32"/>
      <x:c r="E20" s="18"/>
      <x:c r="F20" s="18"/>
      <x:c r="G20" s="18"/>
      <x:c r="H20" s="32"/>
      <x:c r="I20" s="32"/>
      <x:c r="J20" s="32"/>
      <x:c r="K20" s="32"/>
      <x:c r="L20" s="32"/>
      <x:c r="M20" s="32" t="str">
        <x:f>IF(L20&lt;&gt;"Sí","",IF(AND(D20="Sí",E20&lt;&gt;"",E20&lt;&gt;"Pendiente",I20="Sí",J20="Sí",K20="Sí",H20&lt;&gt;"",O20&lt;&gt;"",A20='06_CAPTURA_SUS'!A19,'06_CAPTURA_SUS'!L19="Sí",'06_CAPTURA_SUS'!N19&lt;&gt;"",'06_CAPTURA_SUS'!O19="Verificado"),"Sí","No"))</x:f>
      </x:c>
      <x:c r="N20" s="18"/>
      <x:c r="O20" s="32"/>
      <x:c r="P20" s="18"/>
    </x:row>
    <x:row r="21" ht="27" customHeight="1">
      <x:c r="A21" s="18"/>
      <x:c r="B21" s="32"/>
      <x:c r="C21" s="32"/>
      <x:c r="D21" s="32"/>
      <x:c r="E21" s="18"/>
      <x:c r="F21" s="18"/>
      <x:c r="G21" s="18"/>
      <x:c r="H21" s="32"/>
      <x:c r="I21" s="32"/>
      <x:c r="J21" s="32"/>
      <x:c r="K21" s="32"/>
      <x:c r="L21" s="32"/>
      <x:c r="M21" s="32" t="str">
        <x:f>IF(L21&lt;&gt;"Sí","",IF(AND(D21="Sí",E21&lt;&gt;"",E21&lt;&gt;"Pendiente",I21="Sí",J21="Sí",K21="Sí",H21&lt;&gt;"",O21&lt;&gt;"",A21='06_CAPTURA_SUS'!A20,'06_CAPTURA_SUS'!L20="Sí",'06_CAPTURA_SUS'!N20&lt;&gt;"",'06_CAPTURA_SUS'!O20="Verificado"),"Sí","No"))</x:f>
      </x:c>
      <x:c r="N21" s="18"/>
      <x:c r="O21" s="32"/>
      <x:c r="P21" s="18"/>
    </x:row>
    <x:row r="22" ht="27" customHeight="1">
      <x:c r="A22" s="18"/>
      <x:c r="B22" s="32"/>
      <x:c r="C22" s="32"/>
      <x:c r="D22" s="32"/>
      <x:c r="E22" s="18"/>
      <x:c r="F22" s="18"/>
      <x:c r="G22" s="18"/>
      <x:c r="H22" s="32"/>
      <x:c r="I22" s="32"/>
      <x:c r="J22" s="32"/>
      <x:c r="K22" s="32"/>
      <x:c r="L22" s="32"/>
      <x:c r="M22" s="32" t="str">
        <x:f>IF(L22&lt;&gt;"Sí","",IF(AND(D22="Sí",E22&lt;&gt;"",E22&lt;&gt;"Pendiente",I22="Sí",J22="Sí",K22="Sí",H22&lt;&gt;"",O22&lt;&gt;"",A22='06_CAPTURA_SUS'!A21,'06_CAPTURA_SUS'!L21="Sí",'06_CAPTURA_SUS'!N21&lt;&gt;"",'06_CAPTURA_SUS'!O21="Verificado"),"Sí","No"))</x:f>
      </x:c>
      <x:c r="N22" s="18"/>
      <x:c r="O22" s="32"/>
      <x:c r="P22" s="18"/>
    </x:row>
    <x:row r="23" ht="27" customHeight="1">
      <x:c r="A23" s="18"/>
      <x:c r="B23" s="32"/>
      <x:c r="C23" s="32"/>
      <x:c r="D23" s="32"/>
      <x:c r="E23" s="18"/>
      <x:c r="F23" s="18"/>
      <x:c r="G23" s="18"/>
      <x:c r="H23" s="32"/>
      <x:c r="I23" s="32"/>
      <x:c r="J23" s="32"/>
      <x:c r="K23" s="32"/>
      <x:c r="L23" s="32"/>
      <x:c r="M23" s="32" t="str">
        <x:f>IF(L23&lt;&gt;"Sí","",IF(AND(D23="Sí",E23&lt;&gt;"",E23&lt;&gt;"Pendiente",I23="Sí",J23="Sí",K23="Sí",H23&lt;&gt;"",O23&lt;&gt;"",A23='06_CAPTURA_SUS'!A22,'06_CAPTURA_SUS'!L22="Sí",'06_CAPTURA_SUS'!N22&lt;&gt;"",'06_CAPTURA_SUS'!O22="Verificado"),"Sí","No"))</x:f>
      </x:c>
      <x:c r="N23" s="18"/>
      <x:c r="O23" s="32"/>
      <x:c r="P23" s="18"/>
    </x:row>
    <x:row r="24" ht="27" customHeight="1">
      <x:c r="A24" s="18"/>
      <x:c r="B24" s="32"/>
      <x:c r="C24" s="32"/>
      <x:c r="D24" s="32"/>
      <x:c r="E24" s="18"/>
      <x:c r="F24" s="18"/>
      <x:c r="G24" s="18"/>
      <x:c r="H24" s="32"/>
      <x:c r="I24" s="32"/>
      <x:c r="J24" s="32"/>
      <x:c r="K24" s="32"/>
      <x:c r="L24" s="32"/>
      <x:c r="M24" s="32" t="str">
        <x:f>IF(L24&lt;&gt;"Sí","",IF(AND(D24="Sí",E24&lt;&gt;"",E24&lt;&gt;"Pendiente",I24="Sí",J24="Sí",K24="Sí",H24&lt;&gt;"",O24&lt;&gt;"",A24='06_CAPTURA_SUS'!A23,'06_CAPTURA_SUS'!L23="Sí",'06_CAPTURA_SUS'!N23&lt;&gt;"",'06_CAPTURA_SUS'!O23="Verificado"),"Sí","No"))</x:f>
      </x:c>
      <x:c r="N24" s="18"/>
      <x:c r="O24" s="32"/>
      <x:c r="P24" s="18"/>
    </x:row>
    <x:row r="25" ht="27" customHeight="1">
      <x:c r="A25" s="18"/>
      <x:c r="B25" s="32"/>
      <x:c r="C25" s="32"/>
      <x:c r="D25" s="32"/>
      <x:c r="E25" s="18"/>
      <x:c r="F25" s="18"/>
      <x:c r="G25" s="18"/>
      <x:c r="H25" s="32"/>
      <x:c r="I25" s="32"/>
      <x:c r="J25" s="32"/>
      <x:c r="K25" s="32"/>
      <x:c r="L25" s="32"/>
      <x:c r="M25" s="32" t="str">
        <x:f>IF(L25&lt;&gt;"Sí","",IF(AND(D25="Sí",E25&lt;&gt;"",E25&lt;&gt;"Pendiente",I25="Sí",J25="Sí",K25="Sí",H25&lt;&gt;"",O25&lt;&gt;"",A25='06_CAPTURA_SUS'!A24,'06_CAPTURA_SUS'!L24="Sí",'06_CAPTURA_SUS'!N24&lt;&gt;"",'06_CAPTURA_SUS'!O24="Verificado"),"Sí","No"))</x:f>
      </x:c>
      <x:c r="N25" s="18"/>
      <x:c r="O25" s="32"/>
      <x:c r="P25" s="18"/>
    </x:row>
    <x:row r="26" ht="27" customHeight="1">
      <x:c r="A26" s="18"/>
      <x:c r="B26" s="32"/>
      <x:c r="C26" s="32"/>
      <x:c r="D26" s="32"/>
      <x:c r="E26" s="18"/>
      <x:c r="F26" s="18"/>
      <x:c r="G26" s="18"/>
      <x:c r="H26" s="32"/>
      <x:c r="I26" s="32"/>
      <x:c r="J26" s="32"/>
      <x:c r="K26" s="32"/>
      <x:c r="L26" s="32"/>
      <x:c r="M26" s="32" t="str">
        <x:f>IF(L26&lt;&gt;"Sí","",IF(AND(D26="Sí",E26&lt;&gt;"",E26&lt;&gt;"Pendiente",I26="Sí",J26="Sí",K26="Sí",H26&lt;&gt;"",O26&lt;&gt;"",A26='06_CAPTURA_SUS'!A25,'06_CAPTURA_SUS'!L25="Sí",'06_CAPTURA_SUS'!N25&lt;&gt;"",'06_CAPTURA_SUS'!O25="Verificado"),"Sí","No"))</x:f>
      </x:c>
      <x:c r="N26" s="18"/>
      <x:c r="O26" s="32"/>
      <x:c r="P26" s="18"/>
    </x:row>
    <x:row r="27" ht="27" customHeight="1">
      <x:c r="A27" s="18"/>
      <x:c r="B27" s="32"/>
      <x:c r="C27" s="32"/>
      <x:c r="D27" s="32"/>
      <x:c r="E27" s="18"/>
      <x:c r="F27" s="18"/>
      <x:c r="G27" s="18"/>
      <x:c r="H27" s="32"/>
      <x:c r="I27" s="32"/>
      <x:c r="J27" s="32"/>
      <x:c r="K27" s="32"/>
      <x:c r="L27" s="32"/>
      <x:c r="M27" s="32" t="str">
        <x:f>IF(L27&lt;&gt;"Sí","",IF(AND(D27="Sí",E27&lt;&gt;"",E27&lt;&gt;"Pendiente",I27="Sí",J27="Sí",K27="Sí",H27&lt;&gt;"",O27&lt;&gt;"",A27='06_CAPTURA_SUS'!A26,'06_CAPTURA_SUS'!L26="Sí",'06_CAPTURA_SUS'!N26&lt;&gt;"",'06_CAPTURA_SUS'!O26="Verificado"),"Sí","No"))</x:f>
      </x:c>
      <x:c r="N27" s="18"/>
      <x:c r="O27" s="32"/>
      <x:c r="P27" s="18"/>
    </x:row>
    <x:row r="28" ht="27" customHeight="1">
      <x:c r="A28" s="18"/>
      <x:c r="B28" s="32"/>
      <x:c r="C28" s="32"/>
      <x:c r="D28" s="32"/>
      <x:c r="E28" s="18"/>
      <x:c r="F28" s="18"/>
      <x:c r="G28" s="18"/>
      <x:c r="H28" s="32"/>
      <x:c r="I28" s="32"/>
      <x:c r="J28" s="32"/>
      <x:c r="K28" s="32"/>
      <x:c r="L28" s="32"/>
      <x:c r="M28" s="32" t="str">
        <x:f>IF(L28&lt;&gt;"Sí","",IF(AND(D28="Sí",E28&lt;&gt;"",E28&lt;&gt;"Pendiente",I28="Sí",J28="Sí",K28="Sí",H28&lt;&gt;"",O28&lt;&gt;"",A28='06_CAPTURA_SUS'!A27,'06_CAPTURA_SUS'!L27="Sí",'06_CAPTURA_SUS'!N27&lt;&gt;"",'06_CAPTURA_SUS'!O27="Verificado"),"Sí","No"))</x:f>
      </x:c>
      <x:c r="N28" s="18"/>
      <x:c r="O28" s="32"/>
      <x:c r="P28" s="18"/>
    </x:row>
    <x:row r="29" ht="27" customHeight="1">
      <x:c r="A29" s="18"/>
      <x:c r="B29" s="32"/>
      <x:c r="C29" s="32"/>
      <x:c r="D29" s="32"/>
      <x:c r="E29" s="18"/>
      <x:c r="F29" s="18"/>
      <x:c r="G29" s="18"/>
      <x:c r="H29" s="32"/>
      <x:c r="I29" s="32"/>
      <x:c r="J29" s="32"/>
      <x:c r="K29" s="32"/>
      <x:c r="L29" s="32"/>
      <x:c r="M29" s="32" t="str">
        <x:f>IF(L29&lt;&gt;"Sí","",IF(AND(D29="Sí",E29&lt;&gt;"",E29&lt;&gt;"Pendiente",I29="Sí",J29="Sí",K29="Sí",H29&lt;&gt;"",O29&lt;&gt;"",A29='06_CAPTURA_SUS'!A28,'06_CAPTURA_SUS'!L28="Sí",'06_CAPTURA_SUS'!N28&lt;&gt;"",'06_CAPTURA_SUS'!O28="Verificado"),"Sí","No"))</x:f>
      </x:c>
      <x:c r="N29" s="18"/>
      <x:c r="O29" s="32"/>
      <x:c r="P29" s="18"/>
    </x:row>
    <x:row r="30" ht="27" customHeight="1">
      <x:c r="A30" s="18"/>
      <x:c r="B30" s="32"/>
      <x:c r="C30" s="32"/>
      <x:c r="D30" s="32"/>
      <x:c r="E30" s="18"/>
      <x:c r="F30" s="18"/>
      <x:c r="G30" s="18"/>
      <x:c r="H30" s="32"/>
      <x:c r="I30" s="32"/>
      <x:c r="J30" s="32"/>
      <x:c r="K30" s="32"/>
      <x:c r="L30" s="32"/>
      <x:c r="M30" s="32" t="str">
        <x:f>IF(L30&lt;&gt;"Sí","",IF(AND(D30="Sí",E30&lt;&gt;"",E30&lt;&gt;"Pendiente",I30="Sí",J30="Sí",K30="Sí",H30&lt;&gt;"",O30&lt;&gt;"",A30='06_CAPTURA_SUS'!A29,'06_CAPTURA_SUS'!L29="Sí",'06_CAPTURA_SUS'!N29&lt;&gt;"",'06_CAPTURA_SUS'!O29="Verificado"),"Sí","No"))</x:f>
      </x:c>
      <x:c r="N30" s="18"/>
      <x:c r="O30" s="32"/>
      <x:c r="P30" s="18"/>
    </x:row>
    <x:row r="31" ht="27" customHeight="1">
      <x:c r="A31" s="18"/>
      <x:c r="B31" s="32"/>
      <x:c r="C31" s="32"/>
      <x:c r="D31" s="32"/>
      <x:c r="E31" s="18"/>
      <x:c r="F31" s="18"/>
      <x:c r="G31" s="18"/>
      <x:c r="H31" s="32"/>
      <x:c r="I31" s="32"/>
      <x:c r="J31" s="32"/>
      <x:c r="K31" s="32"/>
      <x:c r="L31" s="32"/>
      <x:c r="M31" s="32" t="str">
        <x:f>IF(L31&lt;&gt;"Sí","",IF(AND(D31="Sí",E31&lt;&gt;"",E31&lt;&gt;"Pendiente",I31="Sí",J31="Sí",K31="Sí",H31&lt;&gt;"",O31&lt;&gt;"",A31='06_CAPTURA_SUS'!A30,'06_CAPTURA_SUS'!L30="Sí",'06_CAPTURA_SUS'!N30&lt;&gt;"",'06_CAPTURA_SUS'!O30="Verificado"),"Sí","No"))</x:f>
      </x:c>
      <x:c r="N31" s="18"/>
      <x:c r="O31" s="32"/>
      <x:c r="P31" s="18"/>
    </x:row>
    <x:row r="32" ht="27" customHeight="1">
      <x:c r="A32" s="18"/>
      <x:c r="B32" s="32"/>
      <x:c r="C32" s="32"/>
      <x:c r="D32" s="32"/>
      <x:c r="E32" s="18"/>
      <x:c r="F32" s="18"/>
      <x:c r="G32" s="18"/>
      <x:c r="H32" s="32"/>
      <x:c r="I32" s="32"/>
      <x:c r="J32" s="32"/>
      <x:c r="K32" s="32"/>
      <x:c r="L32" s="32"/>
      <x:c r="M32" s="32" t="str">
        <x:f>IF(L32&lt;&gt;"Sí","",IF(AND(D32="Sí",E32&lt;&gt;"",E32&lt;&gt;"Pendiente",I32="Sí",J32="Sí",K32="Sí",H32&lt;&gt;"",O32&lt;&gt;"",A32='06_CAPTURA_SUS'!A31,'06_CAPTURA_SUS'!L31="Sí",'06_CAPTURA_SUS'!N31&lt;&gt;"",'06_CAPTURA_SUS'!O31="Verificado"),"Sí","No"))</x:f>
      </x:c>
      <x:c r="N32" s="18"/>
      <x:c r="O32" s="32"/>
      <x:c r="P32" s="18"/>
    </x:row>
    <x:row r="33" ht="27" customHeight="1">
      <x:c r="A33" s="18"/>
      <x:c r="B33" s="32"/>
      <x:c r="C33" s="32"/>
      <x:c r="D33" s="32"/>
      <x:c r="E33" s="18"/>
      <x:c r="F33" s="18"/>
      <x:c r="G33" s="18"/>
      <x:c r="H33" s="32"/>
      <x:c r="I33" s="32"/>
      <x:c r="J33" s="32"/>
      <x:c r="K33" s="32"/>
      <x:c r="L33" s="32"/>
      <x:c r="M33" s="32" t="str">
        <x:f>IF(L33&lt;&gt;"Sí","",IF(AND(D33="Sí",E33&lt;&gt;"",E33&lt;&gt;"Pendiente",I33="Sí",J33="Sí",K33="Sí",H33&lt;&gt;"",O33&lt;&gt;"",A33='06_CAPTURA_SUS'!A32,'06_CAPTURA_SUS'!L32="Sí",'06_CAPTURA_SUS'!N32&lt;&gt;"",'06_CAPTURA_SUS'!O32="Verificado"),"Sí","No"))</x:f>
      </x:c>
      <x:c r="N33" s="18"/>
      <x:c r="O33" s="32"/>
      <x:c r="P33" s="18"/>
    </x:row>
    <x:row r="34" ht="27" customHeight="1">
      <x:c r="A34" s="18"/>
      <x:c r="B34" s="32"/>
      <x:c r="C34" s="32"/>
      <x:c r="D34" s="32"/>
      <x:c r="E34" s="18"/>
      <x:c r="F34" s="18"/>
      <x:c r="G34" s="18"/>
      <x:c r="H34" s="32"/>
      <x:c r="I34" s="32"/>
      <x:c r="J34" s="32"/>
      <x:c r="K34" s="32"/>
      <x:c r="L34" s="32"/>
      <x:c r="M34" s="32" t="str">
        <x:f>IF(L34&lt;&gt;"Sí","",IF(AND(D34="Sí",E34&lt;&gt;"",E34&lt;&gt;"Pendiente",I34="Sí",J34="Sí",K34="Sí",H34&lt;&gt;"",O34&lt;&gt;"",A34='06_CAPTURA_SUS'!A33,'06_CAPTURA_SUS'!L33="Sí",'06_CAPTURA_SUS'!N33&lt;&gt;"",'06_CAPTURA_SUS'!O33="Verificado"),"Sí","No"))</x:f>
      </x:c>
      <x:c r="N34" s="18"/>
      <x:c r="O34" s="32"/>
      <x:c r="P34" s="18"/>
    </x:row>
    <x:row r="35" ht="27" customHeight="1">
      <x:c r="A35" s="18"/>
      <x:c r="B35" s="32"/>
      <x:c r="C35" s="32"/>
      <x:c r="D35" s="32"/>
      <x:c r="E35" s="18"/>
      <x:c r="F35" s="18"/>
      <x:c r="G35" s="18"/>
      <x:c r="H35" s="32"/>
      <x:c r="I35" s="32"/>
      <x:c r="J35" s="32"/>
      <x:c r="K35" s="32"/>
      <x:c r="L35" s="32"/>
      <x:c r="M35" s="32" t="str">
        <x:f>IF(L35&lt;&gt;"Sí","",IF(AND(D35="Sí",E35&lt;&gt;"",E35&lt;&gt;"Pendiente",I35="Sí",J35="Sí",K35="Sí",H35&lt;&gt;"",O35&lt;&gt;"",A35='06_CAPTURA_SUS'!A34,'06_CAPTURA_SUS'!L34="Sí",'06_CAPTURA_SUS'!N34&lt;&gt;"",'06_CAPTURA_SUS'!O34="Verificado"),"Sí","No"))</x:f>
      </x:c>
      <x:c r="N35" s="18"/>
      <x:c r="O35" s="32"/>
      <x:c r="P35" s="18"/>
    </x:row>
    <x:row r="36" ht="27" customHeight="1">
      <x:c r="A36" s="18"/>
      <x:c r="B36" s="32"/>
      <x:c r="C36" s="32"/>
      <x:c r="D36" s="32"/>
      <x:c r="E36" s="18"/>
      <x:c r="F36" s="18"/>
      <x:c r="G36" s="18"/>
      <x:c r="H36" s="32"/>
      <x:c r="I36" s="32"/>
      <x:c r="J36" s="32"/>
      <x:c r="K36" s="32"/>
      <x:c r="L36" s="32"/>
      <x:c r="M36" s="32" t="str">
        <x:f>IF(L36&lt;&gt;"Sí","",IF(AND(D36="Sí",E36&lt;&gt;"",E36&lt;&gt;"Pendiente",I36="Sí",J36="Sí",K36="Sí",H36&lt;&gt;"",O36&lt;&gt;"",A36='06_CAPTURA_SUS'!A35,'06_CAPTURA_SUS'!L35="Sí",'06_CAPTURA_SUS'!N35&lt;&gt;"",'06_CAPTURA_SUS'!O35="Verificado"),"Sí","No"))</x:f>
      </x:c>
      <x:c r="N36" s="18"/>
      <x:c r="O36" s="32"/>
      <x:c r="P36" s="18"/>
    </x:row>
    <x:row r="37" ht="27" customHeight="1">
      <x:c r="A37" s="18"/>
      <x:c r="B37" s="32"/>
      <x:c r="C37" s="32"/>
      <x:c r="D37" s="32"/>
      <x:c r="E37" s="18"/>
      <x:c r="F37" s="18"/>
      <x:c r="G37" s="18"/>
      <x:c r="H37" s="32"/>
      <x:c r="I37" s="32"/>
      <x:c r="J37" s="32"/>
      <x:c r="K37" s="32"/>
      <x:c r="L37" s="32"/>
      <x:c r="M37" s="32" t="str">
        <x:f>IF(L37&lt;&gt;"Sí","",IF(AND(D37="Sí",E37&lt;&gt;"",E37&lt;&gt;"Pendiente",I37="Sí",J37="Sí",K37="Sí",H37&lt;&gt;"",O37&lt;&gt;"",A37='06_CAPTURA_SUS'!A36,'06_CAPTURA_SUS'!L36="Sí",'06_CAPTURA_SUS'!N36&lt;&gt;"",'06_CAPTURA_SUS'!O36="Verificado"),"Sí","No"))</x:f>
      </x:c>
      <x:c r="N37" s="18"/>
      <x:c r="O37" s="32"/>
      <x:c r="P37" s="18"/>
    </x:row>
    <x:row r="38" ht="27" customHeight="1">
      <x:c r="A38" s="18"/>
      <x:c r="B38" s="32"/>
      <x:c r="C38" s="32"/>
      <x:c r="D38" s="32"/>
      <x:c r="E38" s="18"/>
      <x:c r="F38" s="18"/>
      <x:c r="G38" s="18"/>
      <x:c r="H38" s="32"/>
      <x:c r="I38" s="32"/>
      <x:c r="J38" s="32"/>
      <x:c r="K38" s="32"/>
      <x:c r="L38" s="32"/>
      <x:c r="M38" s="32" t="str">
        <x:f>IF(L38&lt;&gt;"Sí","",IF(AND(D38="Sí",E38&lt;&gt;"",E38&lt;&gt;"Pendiente",I38="Sí",J38="Sí",K38="Sí",H38&lt;&gt;"",O38&lt;&gt;"",A38='06_CAPTURA_SUS'!A37,'06_CAPTURA_SUS'!L37="Sí",'06_CAPTURA_SUS'!N37&lt;&gt;"",'06_CAPTURA_SUS'!O37="Verificado"),"Sí","No"))</x:f>
      </x:c>
      <x:c r="N38" s="18"/>
      <x:c r="O38" s="32"/>
      <x:c r="P38" s="18"/>
    </x:row>
    <x:row r="39" ht="27" customHeight="1">
      <x:c r="A39" s="18"/>
      <x:c r="B39" s="32"/>
      <x:c r="C39" s="32"/>
      <x:c r="D39" s="32"/>
      <x:c r="E39" s="18"/>
      <x:c r="F39" s="18"/>
      <x:c r="G39" s="18"/>
      <x:c r="H39" s="32"/>
      <x:c r="I39" s="32"/>
      <x:c r="J39" s="32"/>
      <x:c r="K39" s="32"/>
      <x:c r="L39" s="32"/>
      <x:c r="M39" s="32" t="str">
        <x:f>IF(L39&lt;&gt;"Sí","",IF(AND(D39="Sí",E39&lt;&gt;"",E39&lt;&gt;"Pendiente",I39="Sí",J39="Sí",K39="Sí",H39&lt;&gt;"",O39&lt;&gt;"",A39='06_CAPTURA_SUS'!A38,'06_CAPTURA_SUS'!L38="Sí",'06_CAPTURA_SUS'!N38&lt;&gt;"",'06_CAPTURA_SUS'!O38="Verificado"),"Sí","No"))</x:f>
      </x:c>
      <x:c r="N39" s="18"/>
      <x:c r="O39" s="32"/>
      <x:c r="P39" s="18"/>
    </x:row>
    <x:row r="40" ht="27" customHeight="1">
      <x:c r="A40" s="18"/>
      <x:c r="B40" s="32"/>
      <x:c r="C40" s="32"/>
      <x:c r="D40" s="32"/>
      <x:c r="E40" s="18"/>
      <x:c r="F40" s="18"/>
      <x:c r="G40" s="18"/>
      <x:c r="H40" s="32"/>
      <x:c r="I40" s="32"/>
      <x:c r="J40" s="32"/>
      <x:c r="K40" s="32"/>
      <x:c r="L40" s="32"/>
      <x:c r="M40" s="32" t="str">
        <x:f>IF(L40&lt;&gt;"Sí","",IF(AND(D40="Sí",E40&lt;&gt;"",E40&lt;&gt;"Pendiente",I40="Sí",J40="Sí",K40="Sí",H40&lt;&gt;"",O40&lt;&gt;"",A40='06_CAPTURA_SUS'!A39,'06_CAPTURA_SUS'!L39="Sí",'06_CAPTURA_SUS'!N39&lt;&gt;"",'06_CAPTURA_SUS'!O39="Verificado"),"Sí","No"))</x:f>
      </x:c>
      <x:c r="N40" s="18"/>
      <x:c r="O40" s="32"/>
      <x:c r="P40" s="18"/>
    </x:row>
    <x:row r="41" ht="27" customHeight="1">
      <x:c r="A41" s="18"/>
      <x:c r="B41" s="32"/>
      <x:c r="C41" s="32"/>
      <x:c r="D41" s="32"/>
      <x:c r="E41" s="18"/>
      <x:c r="F41" s="18"/>
      <x:c r="G41" s="18"/>
      <x:c r="H41" s="32"/>
      <x:c r="I41" s="32"/>
      <x:c r="J41" s="32"/>
      <x:c r="K41" s="32"/>
      <x:c r="L41" s="32"/>
      <x:c r="M41" s="32" t="str">
        <x:f>IF(L41&lt;&gt;"Sí","",IF(AND(D41="Sí",E41&lt;&gt;"",E41&lt;&gt;"Pendiente",I41="Sí",J41="Sí",K41="Sí",H41&lt;&gt;"",O41&lt;&gt;"",A41='06_CAPTURA_SUS'!A40,'06_CAPTURA_SUS'!L40="Sí",'06_CAPTURA_SUS'!N40&lt;&gt;"",'06_CAPTURA_SUS'!O40="Verificado"),"Sí","No"))</x:f>
      </x:c>
      <x:c r="N41" s="18"/>
      <x:c r="O41" s="32"/>
      <x:c r="P41" s="18"/>
    </x:row>
    <x:row r="42" ht="27" customHeight="1">
      <x:c r="A42" s="18"/>
      <x:c r="B42" s="32"/>
      <x:c r="C42" s="32"/>
      <x:c r="D42" s="32"/>
      <x:c r="E42" s="18"/>
      <x:c r="F42" s="18"/>
      <x:c r="G42" s="18"/>
      <x:c r="H42" s="32"/>
      <x:c r="I42" s="32"/>
      <x:c r="J42" s="32"/>
      <x:c r="K42" s="32"/>
      <x:c r="L42" s="32"/>
      <x:c r="M42" s="32" t="str">
        <x:f>IF(L42&lt;&gt;"Sí","",IF(AND(D42="Sí",E42&lt;&gt;"",E42&lt;&gt;"Pendiente",I42="Sí",J42="Sí",K42="Sí",H42&lt;&gt;"",O42&lt;&gt;"",A42='06_CAPTURA_SUS'!A41,'06_CAPTURA_SUS'!L41="Sí",'06_CAPTURA_SUS'!N41&lt;&gt;"",'06_CAPTURA_SUS'!O41="Verificado"),"Sí","No"))</x:f>
      </x:c>
      <x:c r="N42" s="18"/>
      <x:c r="O42" s="32"/>
      <x:c r="P42" s="18"/>
    </x:row>
    <x:row r="43" ht="27" customHeight="1">
      <x:c r="A43" s="18"/>
      <x:c r="B43" s="32"/>
      <x:c r="C43" s="32"/>
      <x:c r="D43" s="32"/>
      <x:c r="E43" s="18"/>
      <x:c r="F43" s="18"/>
      <x:c r="G43" s="18"/>
      <x:c r="H43" s="32"/>
      <x:c r="I43" s="32"/>
      <x:c r="J43" s="32"/>
      <x:c r="K43" s="32"/>
      <x:c r="L43" s="32"/>
      <x:c r="M43" s="32" t="str">
        <x:f>IF(L43&lt;&gt;"Sí","",IF(AND(D43="Sí",E43&lt;&gt;"",E43&lt;&gt;"Pendiente",I43="Sí",J43="Sí",K43="Sí",H43&lt;&gt;"",O43&lt;&gt;"",A43='06_CAPTURA_SUS'!A42,'06_CAPTURA_SUS'!L42="Sí",'06_CAPTURA_SUS'!N42&lt;&gt;"",'06_CAPTURA_SUS'!O42="Verificado"),"Sí","No"))</x:f>
      </x:c>
      <x:c r="N43" s="18"/>
      <x:c r="O43" s="32"/>
      <x:c r="P43" s="18"/>
    </x:row>
    <x:row r="44" ht="27" customHeight="1">
      <x:c r="A44" s="18"/>
      <x:c r="B44" s="32"/>
      <x:c r="C44" s="32"/>
      <x:c r="D44" s="32"/>
      <x:c r="E44" s="18"/>
      <x:c r="F44" s="18"/>
      <x:c r="G44" s="18"/>
      <x:c r="H44" s="32"/>
      <x:c r="I44" s="32"/>
      <x:c r="J44" s="32"/>
      <x:c r="K44" s="32"/>
      <x:c r="L44" s="32"/>
      <x:c r="M44" s="32" t="str">
        <x:f>IF(L44&lt;&gt;"Sí","",IF(AND(D44="Sí",E44&lt;&gt;"",E44&lt;&gt;"Pendiente",I44="Sí",J44="Sí",K44="Sí",H44&lt;&gt;"",O44&lt;&gt;"",A44='06_CAPTURA_SUS'!A43,'06_CAPTURA_SUS'!L43="Sí",'06_CAPTURA_SUS'!N43&lt;&gt;"",'06_CAPTURA_SUS'!O43="Verificado"),"Sí","No"))</x:f>
      </x:c>
      <x:c r="N44" s="18"/>
      <x:c r="O44" s="32"/>
      <x:c r="P44" s="18"/>
    </x:row>
    <x:row r="45" ht="27" customHeight="1">
      <x:c r="A45" s="18"/>
      <x:c r="B45" s="32"/>
      <x:c r="C45" s="32"/>
      <x:c r="D45" s="32"/>
      <x:c r="E45" s="18"/>
      <x:c r="F45" s="18"/>
      <x:c r="G45" s="18"/>
      <x:c r="H45" s="32"/>
      <x:c r="I45" s="32"/>
      <x:c r="J45" s="32"/>
      <x:c r="K45" s="32"/>
      <x:c r="L45" s="32"/>
      <x:c r="M45" s="32" t="str">
        <x:f>IF(L45&lt;&gt;"Sí","",IF(AND(D45="Sí",E45&lt;&gt;"",E45&lt;&gt;"Pendiente",I45="Sí",J45="Sí",K45="Sí",H45&lt;&gt;"",O45&lt;&gt;"",A45='06_CAPTURA_SUS'!A44,'06_CAPTURA_SUS'!L44="Sí",'06_CAPTURA_SUS'!N44&lt;&gt;"",'06_CAPTURA_SUS'!O44="Verificado"),"Sí","No"))</x:f>
      </x:c>
      <x:c r="N45" s="18"/>
      <x:c r="O45" s="32"/>
      <x:c r="P45" s="18"/>
    </x:row>
  </x:sheetData>
  <x:mergeCells>
    <x:mergeCell ref="A1:P2"/>
    <x:mergeCell ref="A3:P3"/>
    <x:mergeCell ref="A4:P4"/>
  </x:mergeCells>
  <x:dataValidations count="9">
    <x:dataValidation type="list" sqref="D6:D45">
      <x:formula1>"Sí,No,Pendiente"</x:formula1>
    </x:dataValidation>
    <x:dataValidation type="list" sqref="E6:E45">
      <x:formula1>"Sí,No,Pendiente,No aplica"</x:formula1>
    </x:dataValidation>
    <x:dataValidation type="list" sqref="I6:I45">
      <x:formula1>"Sí,No,Pendiente"</x:formula1>
    </x:dataValidation>
    <x:dataValidation type="list" sqref="J6:J45">
      <x:formula1>"Sí,No,Pendiente"</x:formula1>
    </x:dataValidation>
    <x:dataValidation type="list" sqref="K6:K45">
      <x:formula1>"Sí,No,Pendiente"</x:formula1>
    </x:dataValidation>
    <x:dataValidation type="list" sqref="L6:L45">
      <x:formula1>"Sí,No,Pendiente"</x:formula1>
    </x:dataValidation>
    <x:dataValidation type="list" sqref="M6:M45">
      <x:formula1>"Sí,No,Pendiente"</x:formula1>
    </x:dataValidation>
    <x:dataValidation type="list" sqref="F6:F45">
      <x:formula1>"Web,Móvil,Ambas"</x:formula1>
    </x:dataValidation>
    <x:dataValidation type="list" sqref="B6:B45">
      <x:formula1>"Administrador del Sistema,Presidente / Gerente,Contador,Auxiliar de Contabilidad,Residente,Bodeguero"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a56fb7dee74ae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42" hidden="0" customWidth="1"/>
    <x:col min="3" max="3" width="22" hidden="0" customWidth="1"/>
    <x:col min="4" max="4" width="31" hidden="0" customWidth="1"/>
    <x:col min="5" max="5" width="47" hidden="0" customWidth="1"/>
    <x:col min="6" max="6" width="54" hidden="0" customWidth="1"/>
    <x:col min="7" max="7" width="68" hidden="0" customWidth="1"/>
    <x:col min="8" max="8" width="21" hidden="0" customWidth="1"/>
    <x:col min="9" max="9" width="36" hidden="0" customWidth="1"/>
    <x:col min="10" max="10" width="73" hidden="0" customWidth="1"/>
  </x:cols>
  <x:sheetData>
    <x:row r="1" ht="24" customHeight="1">
      <x:c r="A1" s="21" t="str">
        <x:v>CATÁLOGO PROPUESTO DE TAREAS T-US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</x:row>
    <x:row r="5" ht="32" customHeight="1">
      <x:c r="A5" s="29" t="str">
        <x:v>Código tarea</x:v>
      </x:c>
      <x:c r="B5" s="29" t="str">
        <x:v>Nombre</x:v>
      </x:c>
      <x:c r="C5" s="29" t="str">
        <x:v>Módulo</x:v>
      </x:c>
      <x:c r="D5" s="29" t="str">
        <x:v>Perfil autorizado</x:v>
      </x:c>
      <x:c r="E5" s="29" t="str">
        <x:v>Descripción</x:v>
      </x:c>
      <x:c r="F5" s="29" t="str">
        <x:v>Resultado esperado</x:v>
      </x:c>
      <x:c r="G5" s="29" t="str">
        <x:v>Criterio de éxito</x:v>
      </x:c>
      <x:c r="H5" s="29" t="str">
        <x:v>Dispositivo</x:v>
      </x:c>
      <x:c r="I5" s="29" t="str">
        <x:v>Estado de validación</x:v>
      </x:c>
      <x:c r="J5" s="29" t="str">
        <x:v>Fuente técnica</x:v>
      </x:c>
    </x:row>
    <x:row r="6" ht="72" customHeight="1">
      <x:c r="A6" s="18" t="str">
        <x:v>T-US-01</x:v>
      </x:c>
      <x:c r="B6" s="18" t="str">
        <x:v>Localizar funciones de administración de usuarios</x:v>
      </x:c>
      <x:c r="C6" s="18" t="str">
        <x:v>MOD-01</x:v>
      </x:c>
      <x:c r="D6" s="18" t="str">
        <x:v>Administrador del Sistema</x:v>
      </x:c>
      <x:c r="E6" s="18" t="str">
        <x:v>Acceder al módulo de usuarios y permisos</x:v>
      </x:c>
      <x:c r="F6" s="32" t="str">
        <x:v>Usuario autorizado accede al módulo de usuarios y visualiza funciones de gestión.</x:v>
      </x:c>
      <x:c r="G6" s="32" t="str">
        <x:v>Localiza y abre la vista pertinente sin ayuda; identifica al menos una acción de usuarios/permisos en sesión autorizada.</x:v>
      </x:c>
      <x:c r="H6" s="18" t="str">
        <x:v>Web</x:v>
      </x:c>
      <x:c r="I6" s="18" t="str">
        <x:v>Criterio propuesto; validar con usuarios/director y probar flujo completo</x:v>
      </x:c>
      <x:c r="J6" s="18" t="str">
        <x:v>https://github.com/SebastianCM020/Sistema_Gestion_Integral_Constructora/blob/main/frontend/src/views/admin/AdminUsersPermissionsView.jsx</x:v>
      </x:c>
    </x:row>
    <x:row r="7" ht="72" customHeight="1">
      <x:c r="A7" s="18" t="str">
        <x:v>T-US-02</x:v>
      </x:c>
      <x:c r="B7" s="18" t="str">
        <x:v>Registrar avance de obra y evidencia</x:v>
      </x:c>
      <x:c r="C7" s="18" t="str">
        <x:v>MOD-03; MOD-04</x:v>
      </x:c>
      <x:c r="D7" s="18" t="str">
        <x:v>Residente</x:v>
      </x:c>
      <x:c r="E7" s="18" t="str">
        <x:v>Registrar avance y adjuntar evidencia según permisos</x:v>
      </x:c>
      <x:c r="F7" s="32" t="str">
        <x:v>Avance nuevo asociado al proyecto/rubro y evidencia vinculada visibles tras guardar.</x:v>
      </x:c>
      <x:c r="G7" s="32" t="str">
        <x:v>Registra avance válido con evidencia y verifica el registro asociado; ausencia de error impeditivo.</x:v>
      </x:c>
      <x:c r="H7" s="18" t="str">
        <x:v>Móvil</x:v>
      </x:c>
      <x:c r="I7" s="18" t="str">
        <x:v>Criterio propuesto; validar con usuarios/director y probar flujo completo</x:v>
      </x:c>
      <x:c r="J7" s="18" t="str">
        <x:v>https://github.com/SebastianCM020/Sistema_Gestion_Integral_Constructora/blob/main/frontend/src/components/avances/RegistroAvanceMobile.jsx</x:v>
      </x:c>
    </x:row>
    <x:row r="8" ht="72" customHeight="1">
      <x:c r="A8" s="18" t="str">
        <x:v>T-US-03</x:v>
      </x:c>
      <x:c r="B8" s="18" t="str">
        <x:v>Registrar consumo de materiales</x:v>
      </x:c>
      <x:c r="C8" s="18" t="str">
        <x:v>MOD-05</x:v>
      </x:c>
      <x:c r="D8" s="18" t="str">
        <x:v>Residente</x:v>
      </x:c>
      <x:c r="E8" s="18" t="str">
        <x:v>Registrar consumo en proyecto asignado</x:v>
      </x:c>
      <x:c r="F8" s="32" t="str">
        <x:v>Consumo válido descontado/registrado y reflejado en historial o estado del proyecto.</x:v>
      </x:c>
      <x:c r="G8" s="32" t="str">
        <x:v>Crea consumo autorizado con stock suficiente y reconoce confirmación o historial de la operación.</x:v>
      </x:c>
      <x:c r="H8" s="18" t="str">
        <x:v>Móvil</x:v>
      </x:c>
      <x:c r="I8" s="18" t="str">
        <x:v>Criterio propuesto; validar con usuarios/director y probar flujo completo</x:v>
      </x:c>
      <x:c r="J8" s="18" t="str">
        <x:v>https://github.com/SebastianCM020/Sistema_Gestion_Integral_Constructora/blob/main/frontend/src/components/obra/ConsumptionForm.jsx</x:v>
      </x:c>
    </x:row>
    <x:row r="9" ht="72" customHeight="1">
      <x:c r="A9" s="18" t="str">
        <x:v>T-US-04</x:v>
      </x:c>
      <x:c r="B9" s="18" t="str">
        <x:v>Recibir requerimiento aprobado</x:v>
      </x:c>
      <x:c r="C9" s="18" t="str">
        <x:v>MOD-07</x:v>
      </x:c>
      <x:c r="D9" s="18" t="str">
        <x:v>Bodeguero</x:v>
      </x:c>
      <x:c r="E9" s="18" t="str">
        <x:v>Registrar recepción de materiales de requerimiento aprobado</x:v>
      </x:c>
      <x:c r="F9" s="32" t="str">
        <x:v>Recepción del requerimiento aprobado registrada con materiales/cantidades correspondientes.</x:v>
      </x:c>
      <x:c r="G9" s="32" t="str">
        <x:v>Selecciona requerimiento aprobado, registra recepción autorizada y observa su confirmación en módulo.</x:v>
      </x:c>
      <x:c r="H9" s="18" t="str">
        <x:v>Web</x:v>
      </x:c>
      <x:c r="I9" s="18" t="str">
        <x:v>Criterio propuesto; validar con usuarios/director y probar flujo completo</x:v>
      </x:c>
      <x:c r="J9" s="18" t="str">
        <x:v>https://github.com/SebastianCM020/Sistema_Gestion_Integral_Constructora/blob/main/frontend/src/components/inventario/ReceptionForm.jsx</x:v>
      </x:c>
    </x:row>
    <x:row r="10" ht="72" customHeight="1">
      <x:c r="A10" s="18" t="str">
        <x:v>T-US-05</x:v>
      </x:c>
      <x:c r="B10" s="18" t="str">
        <x:v>Revisar consolidación y validaciones contables</x:v>
      </x:c>
      <x:c r="C10" s="18" t="str">
        <x:v>MOD-08</x:v>
      </x:c>
      <x:c r="D10" s="18" t="str">
        <x:v>Contador</x:v>
      </x:c>
      <x:c r="E10" s="18" t="str">
        <x:v>Consultar consolidación mensual y validaciones</x:v>
      </x:c>
      <x:c r="F10" s="32" t="str">
        <x:v>Consolidación del periodo visible y validaciones previas revisables para perfil autorizado.</x:v>
      </x:c>
      <x:c r="G10" s="32" t="str">
        <x:v>Abre periodo/proyecto y visualiza consolidación y resultado de verificación previa sin ejecutar cierre definitivo.</x:v>
      </x:c>
      <x:c r="H10" s="18" t="str">
        <x:v>Web</x:v>
      </x:c>
      <x:c r="I10" s="18" t="str">
        <x:v>Criterio propuesto; validar con usuarios/director y probar flujo completo</x:v>
      </x:c>
      <x:c r="J10" s="18" t="str">
        <x:v>https://github.com/SebastianCM020/Sistema_Gestion_Integral_Constructora/blob/main/frontend/src/views/contabilidad/ConsolidacionMensualView.jsx</x:v>
      </x:c>
    </x:row>
    <x:row r="11" ht="72" customHeight="1">
      <x:c r="A11" s="18" t="str">
        <x:v>T-US-06</x:v>
      </x:c>
      <x:c r="B11" s="18" t="str">
        <x:v>Consultar indicadores del dashboard</x:v>
      </x:c>
      <x:c r="C11" s="18" t="str">
        <x:v>MOD-09</x:v>
      </x:c>
      <x:c r="D11" s="18" t="str">
        <x:v>Administrador del Sistema; Presidente / Gerente; Contador; Auxiliar de Contabilidad</x:v>
      </x:c>
      <x:c r="E11" s="18" t="str">
        <x:v>Consultar indicadores desde reportes</x:v>
      </x:c>
      <x:c r="F11" s="32" t="str">
        <x:v>Dashboard del perfil autorizado despliega los indicadores de un proyecto o periodo consultado.</x:v>
      </x:c>
      <x:c r="G11" s="32" t="str">
        <x:v>Accede a reportes, identifica los indicadores solicitados y consulta vista autorizada.</x:v>
      </x:c>
      <x:c r="H11" s="18" t="str">
        <x:v>Web</x:v>
      </x:c>
      <x:c r="I11" s="18" t="str">
        <x:v>Criterio propuesto; validar con usuarios/director y probar flujo completo</x:v>
      </x:c>
      <x:c r="J11" s="18" t="str">
        <x:v>https://github.com/SebastianCM020/Sistema_Gestion_Integral_Constructora/blob/main/frontend/src/views/reportes/ReportsDashboardView.jsx</x:v>
      </x:c>
    </x:row>
    <x:row r="12" ht="27" customHeight="1">
      <x:c r="A12" s="18"/>
      <x:c r="B12" s="18"/>
      <x:c r="C12" s="18"/>
      <x:c r="D12" s="18"/>
      <x:c r="E12" s="18"/>
      <x:c r="F12" s="32"/>
      <x:c r="G12" s="32"/>
      <x:c r="H12" s="18"/>
      <x:c r="I12" s="18"/>
      <x:c r="J12" s="18"/>
    </x:row>
    <x:row r="13" ht="27" customHeight="1">
      <x:c r="A13" s="18"/>
      <x:c r="B13" s="18"/>
      <x:c r="C13" s="18"/>
      <x:c r="D13" s="18"/>
      <x:c r="E13" s="18"/>
      <x:c r="F13" s="32"/>
      <x:c r="G13" s="32"/>
      <x:c r="H13" s="18"/>
      <x:c r="I13" s="18"/>
      <x:c r="J13" s="18"/>
    </x:row>
    <x:row r="14" ht="27" customHeight="1">
      <x:c r="A14" s="18"/>
      <x:c r="B14" s="18"/>
      <x:c r="C14" s="18"/>
      <x:c r="D14" s="18"/>
      <x:c r="E14" s="18"/>
      <x:c r="F14" s="32"/>
      <x:c r="G14" s="32"/>
      <x:c r="H14" s="18"/>
      <x:c r="I14" s="18"/>
      <x:c r="J14" s="18"/>
    </x:row>
    <x:row r="15" ht="27" customHeight="1">
      <x:c r="A15" s="18"/>
      <x:c r="B15" s="18"/>
      <x:c r="C15" s="18"/>
      <x:c r="D15" s="18"/>
      <x:c r="E15" s="18"/>
      <x:c r="F15" s="32"/>
      <x:c r="G15" s="32"/>
      <x:c r="H15" s="18"/>
      <x:c r="I15" s="18"/>
      <x:c r="J15" s="18"/>
    </x:row>
    <x:row r="16" ht="27" customHeight="1">
      <x:c r="A16" s="18"/>
      <x:c r="B16" s="18"/>
      <x:c r="C16" s="18"/>
      <x:c r="D16" s="18"/>
      <x:c r="E16" s="18"/>
      <x:c r="F16" s="32"/>
      <x:c r="G16" s="32"/>
      <x:c r="H16" s="18"/>
      <x:c r="I16" s="18"/>
      <x:c r="J16" s="18"/>
    </x:row>
    <x:row r="17" ht="27" customHeight="1">
      <x:c r="A17" s="18"/>
      <x:c r="B17" s="18"/>
      <x:c r="C17" s="18"/>
      <x:c r="D17" s="18"/>
      <x:c r="E17" s="18"/>
      <x:c r="F17" s="32"/>
      <x:c r="G17" s="32"/>
      <x:c r="H17" s="18"/>
      <x:c r="I17" s="18"/>
      <x:c r="J17" s="18"/>
    </x:row>
    <x:row r="18" ht="27" customHeight="1">
      <x:c r="A18" s="18"/>
      <x:c r="B18" s="18"/>
      <x:c r="C18" s="18"/>
      <x:c r="D18" s="18"/>
      <x:c r="E18" s="18"/>
      <x:c r="F18" s="32"/>
      <x:c r="G18" s="32"/>
      <x:c r="H18" s="18"/>
      <x:c r="I18" s="18"/>
      <x:c r="J18" s="18"/>
    </x:row>
    <x:row r="19" ht="27" customHeight="1">
      <x:c r="A19" s="18"/>
      <x:c r="B19" s="18"/>
      <x:c r="C19" s="18"/>
      <x:c r="D19" s="18"/>
      <x:c r="E19" s="18"/>
      <x:c r="F19" s="32"/>
      <x:c r="G19" s="32"/>
      <x:c r="H19" s="18"/>
      <x:c r="I19" s="18"/>
      <x:c r="J19" s="18"/>
    </x:row>
    <x:row r="20" ht="27" customHeight="1">
      <x:c r="A20" s="18"/>
      <x:c r="B20" s="18"/>
      <x:c r="C20" s="18"/>
      <x:c r="D20" s="18"/>
      <x:c r="E20" s="18"/>
      <x:c r="F20" s="32"/>
      <x:c r="G20" s="32"/>
      <x:c r="H20" s="18"/>
      <x:c r="I20" s="18"/>
      <x:c r="J20" s="18"/>
    </x:row>
    <x:row r="21" ht="27" customHeight="1">
      <x:c r="A21" s="18"/>
      <x:c r="B21" s="18"/>
      <x:c r="C21" s="18"/>
      <x:c r="D21" s="18"/>
      <x:c r="E21" s="18"/>
      <x:c r="F21" s="32"/>
      <x:c r="G21" s="32"/>
      <x:c r="H21" s="18"/>
      <x:c r="I21" s="18"/>
      <x:c r="J21" s="18"/>
    </x:row>
    <x:row r="22" ht="27" customHeight="1">
      <x:c r="A22" s="18"/>
      <x:c r="B22" s="18"/>
      <x:c r="C22" s="18"/>
      <x:c r="D22" s="18"/>
      <x:c r="E22" s="18"/>
      <x:c r="F22" s="32"/>
      <x:c r="G22" s="32"/>
      <x:c r="H22" s="18"/>
      <x:c r="I22" s="18"/>
      <x:c r="J22" s="18"/>
    </x:row>
    <x:row r="23" ht="27" customHeight="1">
      <x:c r="A23" s="18"/>
      <x:c r="B23" s="18"/>
      <x:c r="C23" s="18"/>
      <x:c r="D23" s="18"/>
      <x:c r="E23" s="18"/>
      <x:c r="F23" s="32"/>
      <x:c r="G23" s="32"/>
      <x:c r="H23" s="18"/>
      <x:c r="I23" s="18"/>
      <x:c r="J23" s="18"/>
    </x:row>
    <x:row r="24" ht="27" customHeight="1">
      <x:c r="A24" s="18"/>
      <x:c r="B24" s="18"/>
      <x:c r="C24" s="18"/>
      <x:c r="D24" s="18"/>
      <x:c r="E24" s="18"/>
      <x:c r="F24" s="32"/>
      <x:c r="G24" s="32"/>
      <x:c r="H24" s="18"/>
      <x:c r="I24" s="18"/>
      <x:c r="J24" s="18"/>
    </x:row>
    <x:row r="25" ht="27" customHeight="1">
      <x:c r="A25" s="18"/>
      <x:c r="B25" s="18"/>
      <x:c r="C25" s="18"/>
      <x:c r="D25" s="18"/>
      <x:c r="E25" s="18"/>
      <x:c r="F25" s="32"/>
      <x:c r="G25" s="32"/>
      <x:c r="H25" s="18"/>
      <x:c r="I25" s="18"/>
      <x:c r="J25" s="18"/>
    </x:row>
    <x:row r="26" ht="27" customHeight="1">
      <x:c r="A26" s="18"/>
      <x:c r="B26" s="18"/>
      <x:c r="C26" s="18"/>
      <x:c r="D26" s="18"/>
      <x:c r="E26" s="18"/>
      <x:c r="F26" s="32"/>
      <x:c r="G26" s="32"/>
      <x:c r="H26" s="18"/>
      <x:c r="I26" s="18"/>
      <x:c r="J26" s="18"/>
    </x:row>
    <x:row r="27" ht="27" customHeight="1">
      <x:c r="A27" s="18"/>
      <x:c r="B27" s="18"/>
      <x:c r="C27" s="18"/>
      <x:c r="D27" s="18"/>
      <x:c r="E27" s="18"/>
      <x:c r="F27" s="32"/>
      <x:c r="G27" s="32"/>
      <x:c r="H27" s="18"/>
      <x:c r="I27" s="18"/>
      <x:c r="J27" s="18"/>
    </x:row>
    <x:row r="28" ht="27" customHeight="1">
      <x:c r="A28" s="18"/>
      <x:c r="B28" s="18"/>
      <x:c r="C28" s="18"/>
      <x:c r="D28" s="18"/>
      <x:c r="E28" s="18"/>
      <x:c r="F28" s="32"/>
      <x:c r="G28" s="32"/>
      <x:c r="H28" s="18"/>
      <x:c r="I28" s="18"/>
      <x:c r="J28" s="18"/>
    </x:row>
    <x:row r="29" ht="27" customHeight="1">
      <x:c r="A29" s="18"/>
      <x:c r="B29" s="18"/>
      <x:c r="C29" s="18"/>
      <x:c r="D29" s="18"/>
      <x:c r="E29" s="18"/>
      <x:c r="F29" s="32"/>
      <x:c r="G29" s="32"/>
      <x:c r="H29" s="18"/>
      <x:c r="I29" s="18"/>
      <x:c r="J29" s="18"/>
    </x:row>
    <x:row r="30" ht="27" customHeight="1">
      <x:c r="A30" s="18"/>
      <x:c r="B30" s="18"/>
      <x:c r="C30" s="18"/>
      <x:c r="D30" s="18"/>
      <x:c r="E30" s="18"/>
      <x:c r="F30" s="32"/>
      <x:c r="G30" s="32"/>
      <x:c r="H30" s="18"/>
      <x:c r="I30" s="18"/>
      <x:c r="J30" s="18"/>
    </x:row>
    <x:row r="31" ht="27" customHeight="1">
      <x:c r="A31" s="18"/>
      <x:c r="B31" s="18"/>
      <x:c r="C31" s="18"/>
      <x:c r="D31" s="18"/>
      <x:c r="E31" s="18"/>
      <x:c r="F31" s="32"/>
      <x:c r="G31" s="32"/>
      <x:c r="H31" s="18"/>
      <x:c r="I31" s="18"/>
      <x:c r="J31" s="18"/>
    </x:row>
    <x:row r="32" ht="27" customHeight="1">
      <x:c r="A32" s="18"/>
      <x:c r="B32" s="18"/>
      <x:c r="C32" s="18"/>
      <x:c r="D32" s="18"/>
      <x:c r="E32" s="18"/>
      <x:c r="F32" s="32"/>
      <x:c r="G32" s="32"/>
      <x:c r="H32" s="18"/>
      <x:c r="I32" s="18"/>
      <x:c r="J32" s="18"/>
    </x:row>
    <x:row r="33" ht="27" customHeight="1">
      <x:c r="A33" s="18"/>
      <x:c r="B33" s="18"/>
      <x:c r="C33" s="18"/>
      <x:c r="D33" s="18"/>
      <x:c r="E33" s="18"/>
      <x:c r="F33" s="32"/>
      <x:c r="G33" s="32"/>
      <x:c r="H33" s="18"/>
      <x:c r="I33" s="18"/>
      <x:c r="J33" s="18"/>
    </x:row>
    <x:row r="34" ht="27" customHeight="1">
      <x:c r="A34" s="18"/>
      <x:c r="B34" s="18"/>
      <x:c r="C34" s="18"/>
      <x:c r="D34" s="18"/>
      <x:c r="E34" s="18"/>
      <x:c r="F34" s="32"/>
      <x:c r="G34" s="32"/>
      <x:c r="H34" s="18"/>
      <x:c r="I34" s="18"/>
      <x:c r="J34" s="18"/>
    </x:row>
    <x:row r="35" ht="27" customHeight="1">
      <x:c r="A35" s="18"/>
      <x:c r="B35" s="18"/>
      <x:c r="C35" s="18"/>
      <x:c r="D35" s="18"/>
      <x:c r="E35" s="18"/>
      <x:c r="F35" s="32"/>
      <x:c r="G35" s="32"/>
      <x:c r="H35" s="18"/>
      <x:c r="I35" s="18"/>
      <x:c r="J35" s="18"/>
    </x:row>
  </x:sheetData>
  <x:mergeCells>
    <x:mergeCell ref="A1:J2"/>
    <x:mergeCell ref="A3:J3"/>
    <x:mergeCell ref="A4:J4"/>
  </x:mergeCells>
  <x:dataValidations count="2">
    <x:dataValidation type="list" sqref="H6:H35">
      <x:formula1>"Web,Móvil,Ambas"</x:formula1>
    </x:dataValidation>
    <x:dataValidation type="list" sqref="I6:I35">
      <x:formula1>"Pendiente de validar,Definida,Validada,Descartada"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2ec9ef2766415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9" hidden="0" customWidth="1"/>
    <x:col min="4" max="4" width="25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6" hidden="0" customWidth="1"/>
    <x:col min="11" max="11" width="21" hidden="0" customWidth="1"/>
    <x:col min="12" max="12" width="43" hidden="0" customWidth="1"/>
    <x:col min="13" max="13" width="45" hidden="0" customWidth="1"/>
    <x:col min="14" max="14" width="23" hidden="0" customWidth="1"/>
    <x:col min="15" max="15" width="23" hidden="0" customWidth="1"/>
    <x:col min="16" max="16" width="23" hidden="0" customWidth="1"/>
    <x:col min="17" max="17" width="55" hidden="0" customWidth="1"/>
  </x:cols>
  <x:sheetData>
    <x:row r="1" ht="24" customHeight="1">
      <x:c r="A1" s="21" t="str">
        <x:v>ASIGNACIONES / INTENTOS DE TAREA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 ht="21" customHeight="1">
      <x:c r="A4" s="26" t="str">
        <x:v>Una fila = un intento de tarea. No distribuir tareas sin verificar previamente el rol.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 ht="32" customHeight="1">
      <x:c r="A5" s="29" t="str">
        <x:v>Código registro</x:v>
      </x:c>
      <x:c r="B5" s="29" t="str">
        <x:v>Código participante</x:v>
      </x:c>
      <x:c r="C5" s="29" t="str">
        <x:v>Código tarea</x:v>
      </x:c>
      <x:c r="D5" s="29" t="str">
        <x:v>Rol verificado</x:v>
      </x:c>
      <x:c r="E5" s="29" t="str">
        <x:v>Autorización confirmada</x:v>
      </x:c>
      <x:c r="F5" s="29" t="str">
        <x:v>Asignación prevista</x:v>
      </x:c>
      <x:c r="G5" s="29" t="str">
        <x:v>Intento realizado</x:v>
      </x:c>
      <x:c r="H5" s="29" t="str">
        <x:v>Resultado</x:v>
      </x:c>
      <x:c r="I5" s="29" t="str">
        <x:v>Hubo asistencia</x:v>
      </x:c>
      <x:c r="J5" s="29" t="str">
        <x:v>Motivo de interrupción</x:v>
      </x:c>
      <x:c r="K5" s="29" t="str">
        <x:v>Tiempo observado (s)</x:v>
      </x:c>
      <x:c r="L5" s="29" t="str">
        <x:v>Evidencia</x:v>
      </x:c>
      <x:c r="M5" s="29" t="str">
        <x:v>Observaciones</x:v>
      </x:c>
      <x:c r="N5" s="55" t="str">
        <x:v>Participante habilitado</x:v>
      </x:c>
      <x:c r="O5" s="55" t="str">
        <x:v>Rol compatible con tarea</x:v>
      </x:c>
      <x:c r="P5" s="55" t="str">
        <x:v>Intento válido verificado</x:v>
      </x:c>
      <x:c r="Q5" s="55" t="str">
        <x:v>Alerta de consistencia</x:v>
      </x:c>
    </x:row>
    <x:row r="6" ht="27" customHeight="1">
      <x:c r="A6" s="18" t="str">
        <x:v>ASG-001</x:v>
      </x:c>
      <x:c r="B6" s="18" t="str">
        <x:v>P01</x:v>
      </x:c>
      <x:c r="C6" s="32"/>
      <x:c r="D6" s="32" t="str">
        <x:f>IF(B6="","",IFERROR(INDEX('02_PARTICIPANTES'!$B$6:$B$45,MATCH(B6,'02_PARTICIPANTES'!$A$6:$A$45,0)),""))</x:f>
      </x:c>
      <x:c r="E6" s="18" t="str">
        <x:v>Pendiente</x:v>
      </x:c>
      <x:c r="F6" s="18" t="str">
        <x:v>Pendiente</x:v>
      </x:c>
      <x:c r="G6" s="18" t="str">
        <x:v>Pendiente</x:v>
      </x:c>
      <x:c r="H6" s="18" t="str">
        <x:v>Pendiente</x:v>
      </x:c>
      <x:c r="I6" s="18" t="str">
        <x:v>Pendiente</x:v>
      </x:c>
      <x:c r="J6" s="18"/>
      <x:c r="K6" s="32"/>
      <x:c r="L6" s="32"/>
      <x:c r="M6" s="18" t="str">
        <x:v>Fila reservada, sin tarea asignada</x:v>
      </x:c>
      <x:c r="N6" t="str">
        <x:f>IF(B6="","",IF(COUNTIFS('02_PARTICIPANTES'!$A$6:$A$45,B6,'02_PARTICIPANTES'!$D$6:$D$45,"Sí",'02_PARTICIPANTES'!$E$6:$E$45,"&lt;&gt;",'02_PARTICIPANTES'!$I$6:$I$45,"Sí",'02_PARTICIPANTES'!$J$6:$J$45,"Sí",'02_PARTICIPANTES'!$K$6:$K$45,"Sí")&gt;0,"Sí",""))</x:f>
      </x:c>
      <x:c r="O6" t="str">
        <x:f>IF(OR(C6="",D6=""),"",IF(COUNTIFS('07_MATRIZ_PERMISOS'!$A$5:$A$50,C6,'07_MATRIZ_PERMISOS'!$B$5:$B$50,D6,'07_MATRIZ_PERMISOS'!$C$5:$C$50,"Sí")&gt;0,"Sí","No"))</x:f>
      </x:c>
      <x:c r="P6" t="str">
        <x:f>IF(AND(N6="Sí",O6="Sí",E6="Sí",F6="Sí",G6="Sí",OR(H6="Correcto",H6="Incorrecto"),L6&lt;&gt;""),"Sí","")</x:f>
      </x:c>
      <x:c r="Q6" t="str">
        <x:f>IF(AND(G6="Sí",P6&lt;&gt;"Sí"),"Revisar elegibilidad, rol, permisos, tarea, evidencia y resultado","")</x:f>
      </x:c>
    </x:row>
    <x:row r="7" ht="27" customHeight="1">
      <x:c r="A7" s="18" t="str">
        <x:v>ASG-002</x:v>
      </x:c>
      <x:c r="B7" s="18" t="str">
        <x:v>P02</x:v>
      </x:c>
      <x:c r="C7" s="32"/>
      <x:c r="D7" s="32" t="str">
        <x:f>IF(B7="","",IFERROR(INDEX('02_PARTICIPANTES'!$B$6:$B$45,MATCH(B7,'02_PARTICIPANTES'!$A$6:$A$45,0)),""))</x:f>
      </x:c>
      <x:c r="E7" s="18" t="str">
        <x:v>Pendiente</x:v>
      </x:c>
      <x:c r="F7" s="18" t="str">
        <x:v>Pendiente</x:v>
      </x:c>
      <x:c r="G7" s="18" t="str">
        <x:v>Pendiente</x:v>
      </x:c>
      <x:c r="H7" s="18" t="str">
        <x:v>Pendiente</x:v>
      </x:c>
      <x:c r="I7" s="18" t="str">
        <x:v>Pendiente</x:v>
      </x:c>
      <x:c r="J7" s="18"/>
      <x:c r="K7" s="32"/>
      <x:c r="L7" s="32"/>
      <x:c r="M7" s="18" t="str">
        <x:v>Fila reservada, sin tarea asignada</x:v>
      </x:c>
      <x:c r="N7" t="str">
        <x:f>IF(B7="","",IF(COUNTIFS('02_PARTICIPANTES'!$A$6:$A$45,B7,'02_PARTICIPANTES'!$D$6:$D$45,"Sí",'02_PARTICIPANTES'!$E$6:$E$45,"&lt;&gt;",'02_PARTICIPANTES'!$I$6:$I$45,"Sí",'02_PARTICIPANTES'!$J$6:$J$45,"Sí",'02_PARTICIPANTES'!$K$6:$K$45,"Sí")&gt;0,"Sí",""))</x:f>
      </x:c>
      <x:c r="O7" t="str">
        <x:f>IF(OR(C7="",D7=""),"",IF(COUNTIFS('07_MATRIZ_PERMISOS'!$A$5:$A$50,C7,'07_MATRIZ_PERMISOS'!$B$5:$B$50,D7,'07_MATRIZ_PERMISOS'!$C$5:$C$50,"Sí")&gt;0,"Sí","No"))</x:f>
      </x:c>
      <x:c r="P7" t="str">
        <x:f>IF(AND(N7="Sí",O7="Sí",E7="Sí",F7="Sí",G7="Sí",OR(H7="Correcto",H7="Incorrecto"),L7&lt;&gt;""),"Sí","")</x:f>
      </x:c>
      <x:c r="Q7" t="str">
        <x:f>IF(AND(G7="Sí",P7&lt;&gt;"Sí"),"Revisar elegibilidad, rol, permisos, tarea, evidencia y resultado","")</x:f>
      </x:c>
    </x:row>
    <x:row r="8" ht="27" customHeight="1">
      <x:c r="A8" s="18" t="str">
        <x:v>ASG-003</x:v>
      </x:c>
      <x:c r="B8" s="18" t="str">
        <x:v>P03</x:v>
      </x:c>
      <x:c r="C8" s="32"/>
      <x:c r="D8" s="32" t="str">
        <x:f>IF(B8="","",IFERROR(INDEX('02_PARTICIPANTES'!$B$6:$B$45,MATCH(B8,'02_PARTICIPANTES'!$A$6:$A$45,0)),""))</x:f>
      </x:c>
      <x:c r="E8" s="18" t="str">
        <x:v>Pendiente</x:v>
      </x:c>
      <x:c r="F8" s="18" t="str">
        <x:v>Pendiente</x:v>
      </x:c>
      <x:c r="G8" s="18" t="str">
        <x:v>Pendiente</x:v>
      </x:c>
      <x:c r="H8" s="18" t="str">
        <x:v>Pendiente</x:v>
      </x:c>
      <x:c r="I8" s="18" t="str">
        <x:v>Pendiente</x:v>
      </x:c>
      <x:c r="J8" s="18"/>
      <x:c r="K8" s="32"/>
      <x:c r="L8" s="32"/>
      <x:c r="M8" s="18" t="str">
        <x:v>Fila reservada, sin tarea asignada</x:v>
      </x:c>
      <x:c r="N8" t="str">
        <x:f>IF(B8="","",IF(COUNTIFS('02_PARTICIPANTES'!$A$6:$A$45,B8,'02_PARTICIPANTES'!$D$6:$D$45,"Sí",'02_PARTICIPANTES'!$E$6:$E$45,"&lt;&gt;",'02_PARTICIPANTES'!$I$6:$I$45,"Sí",'02_PARTICIPANTES'!$J$6:$J$45,"Sí",'02_PARTICIPANTES'!$K$6:$K$45,"Sí")&gt;0,"Sí",""))</x:f>
      </x:c>
      <x:c r="O8" t="str">
        <x:f>IF(OR(C8="",D8=""),"",IF(COUNTIFS('07_MATRIZ_PERMISOS'!$A$5:$A$50,C8,'07_MATRIZ_PERMISOS'!$B$5:$B$50,D8,'07_MATRIZ_PERMISOS'!$C$5:$C$50,"Sí")&gt;0,"Sí","No"))</x:f>
      </x:c>
      <x:c r="P8" t="str">
        <x:f>IF(AND(N8="Sí",O8="Sí",E8="Sí",F8="Sí",G8="Sí",OR(H8="Correcto",H8="Incorrecto"),L8&lt;&gt;""),"Sí","")</x:f>
      </x:c>
      <x:c r="Q8" t="str">
        <x:f>IF(AND(G8="Sí",P8&lt;&gt;"Sí"),"Revisar elegibilidad, rol, permisos, tarea, evidencia y resultado","")</x:f>
      </x:c>
    </x:row>
    <x:row r="9" ht="27" customHeight="1">
      <x:c r="A9" s="18" t="str">
        <x:v>ASG-004</x:v>
      </x:c>
      <x:c r="B9" s="18" t="str">
        <x:v>P04</x:v>
      </x:c>
      <x:c r="C9" s="32"/>
      <x:c r="D9" s="32" t="str">
        <x:f>IF(B9="","",IFERROR(INDEX('02_PARTICIPANTES'!$B$6:$B$45,MATCH(B9,'02_PARTICIPANTES'!$A$6:$A$45,0)),""))</x:f>
      </x:c>
      <x:c r="E9" s="18" t="str">
        <x:v>Pendiente</x:v>
      </x:c>
      <x:c r="F9" s="18" t="str">
        <x:v>Pendiente</x:v>
      </x:c>
      <x:c r="G9" s="18" t="str">
        <x:v>Pendiente</x:v>
      </x:c>
      <x:c r="H9" s="18" t="str">
        <x:v>Pendiente</x:v>
      </x:c>
      <x:c r="I9" s="18" t="str">
        <x:v>Pendiente</x:v>
      </x:c>
      <x:c r="J9" s="18"/>
      <x:c r="K9" s="32"/>
      <x:c r="L9" s="32"/>
      <x:c r="M9" s="18" t="str">
        <x:v>Fila reservada, sin tarea asignada</x:v>
      </x:c>
      <x:c r="N9" t="str">
        <x:f>IF(B9="","",IF(COUNTIFS('02_PARTICIPANTES'!$A$6:$A$45,B9,'02_PARTICIPANTES'!$D$6:$D$45,"Sí",'02_PARTICIPANTES'!$E$6:$E$45,"&lt;&gt;",'02_PARTICIPANTES'!$I$6:$I$45,"Sí",'02_PARTICIPANTES'!$J$6:$J$45,"Sí",'02_PARTICIPANTES'!$K$6:$K$45,"Sí")&gt;0,"Sí",""))</x:f>
      </x:c>
      <x:c r="O9" t="str">
        <x:f>IF(OR(C9="",D9=""),"",IF(COUNTIFS('07_MATRIZ_PERMISOS'!$A$5:$A$50,C9,'07_MATRIZ_PERMISOS'!$B$5:$B$50,D9,'07_MATRIZ_PERMISOS'!$C$5:$C$50,"Sí")&gt;0,"Sí","No"))</x:f>
      </x:c>
      <x:c r="P9" t="str">
        <x:f>IF(AND(N9="Sí",O9="Sí",E9="Sí",F9="Sí",G9="Sí",OR(H9="Correcto",H9="Incorrecto"),L9&lt;&gt;""),"Sí","")</x:f>
      </x:c>
      <x:c r="Q9" t="str">
        <x:f>IF(AND(G9="Sí",P9&lt;&gt;"Sí"),"Revisar elegibilidad, rol, permisos, tarea, evidencia y resultado","")</x:f>
      </x:c>
    </x:row>
    <x:row r="10" ht="27" customHeight="1">
      <x:c r="A10" s="18" t="str">
        <x:v>ASG-005</x:v>
      </x:c>
      <x:c r="B10" s="18" t="str">
        <x:v>P05</x:v>
      </x:c>
      <x:c r="C10" s="32"/>
      <x:c r="D10" s="32" t="str">
        <x:f>IF(B10="","",IFERROR(INDEX('02_PARTICIPANTES'!$B$6:$B$45,MATCH(B10,'02_PARTICIPANTES'!$A$6:$A$45,0)),""))</x:f>
      </x:c>
      <x:c r="E10" s="18" t="str">
        <x:v>Pendiente</x:v>
      </x:c>
      <x:c r="F10" s="18" t="str">
        <x:v>Pendiente</x:v>
      </x:c>
      <x:c r="G10" s="18" t="str">
        <x:v>Pendiente</x:v>
      </x:c>
      <x:c r="H10" s="18" t="str">
        <x:v>Pendiente</x:v>
      </x:c>
      <x:c r="I10" s="18" t="str">
        <x:v>Pendiente</x:v>
      </x:c>
      <x:c r="J10" s="18"/>
      <x:c r="K10" s="32"/>
      <x:c r="L10" s="32"/>
      <x:c r="M10" s="18" t="str">
        <x:v>Fila reservada, sin tarea asignada</x:v>
      </x:c>
      <x:c r="N10" t="str">
        <x:f>IF(B10="","",IF(COUNTIFS('02_PARTICIPANTES'!$A$6:$A$45,B10,'02_PARTICIPANTES'!$D$6:$D$45,"Sí",'02_PARTICIPANTES'!$E$6:$E$45,"&lt;&gt;",'02_PARTICIPANTES'!$I$6:$I$45,"Sí",'02_PARTICIPANTES'!$J$6:$J$45,"Sí",'02_PARTICIPANTES'!$K$6:$K$45,"Sí")&gt;0,"Sí",""))</x:f>
      </x:c>
      <x:c r="O10" t="str">
        <x:f>IF(OR(C10="",D10=""),"",IF(COUNTIFS('07_MATRIZ_PERMISOS'!$A$5:$A$50,C10,'07_MATRIZ_PERMISOS'!$B$5:$B$50,D10,'07_MATRIZ_PERMISOS'!$C$5:$C$50,"Sí")&gt;0,"Sí","No"))</x:f>
      </x:c>
      <x:c r="P10" t="str">
        <x:f>IF(AND(N10="Sí",O10="Sí",E10="Sí",F10="Sí",G10="Sí",OR(H10="Correcto",H10="Incorrecto"),L10&lt;&gt;""),"Sí","")</x:f>
      </x:c>
      <x:c r="Q10" t="str">
        <x:f>IF(AND(G10="Sí",P10&lt;&gt;"Sí"),"Revisar elegibilidad, rol, permisos, tarea, evidencia y resultado","")</x:f>
      </x:c>
    </x:row>
    <x:row r="11" ht="27" customHeight="1">
      <x:c r="A11" s="18" t="str">
        <x:v>ASG-006</x:v>
      </x:c>
      <x:c r="B11" s="18" t="str">
        <x:v>P06</x:v>
      </x:c>
      <x:c r="C11" s="32"/>
      <x:c r="D11" s="32" t="str">
        <x:f>IF(B11="","",IFERROR(INDEX('02_PARTICIPANTES'!$B$6:$B$45,MATCH(B11,'02_PARTICIPANTES'!$A$6:$A$45,0)),""))</x:f>
      </x:c>
      <x:c r="E11" s="18" t="str">
        <x:v>Pendiente</x:v>
      </x:c>
      <x:c r="F11" s="18" t="str">
        <x:v>Pendiente</x:v>
      </x:c>
      <x:c r="G11" s="18" t="str">
        <x:v>Pendiente</x:v>
      </x:c>
      <x:c r="H11" s="18" t="str">
        <x:v>Pendiente</x:v>
      </x:c>
      <x:c r="I11" s="18" t="str">
        <x:v>Pendiente</x:v>
      </x:c>
      <x:c r="J11" s="18"/>
      <x:c r="K11" s="32"/>
      <x:c r="L11" s="32"/>
      <x:c r="M11" s="18" t="str">
        <x:v>Fila reservada, sin tarea asignada</x:v>
      </x:c>
      <x:c r="N11" t="str">
        <x:f>IF(B11="","",IF(COUNTIFS('02_PARTICIPANTES'!$A$6:$A$45,B11,'02_PARTICIPANTES'!$D$6:$D$45,"Sí",'02_PARTICIPANTES'!$E$6:$E$45,"&lt;&gt;",'02_PARTICIPANTES'!$I$6:$I$45,"Sí",'02_PARTICIPANTES'!$J$6:$J$45,"Sí",'02_PARTICIPANTES'!$K$6:$K$45,"Sí")&gt;0,"Sí",""))</x:f>
      </x:c>
      <x:c r="O11" t="str">
        <x:f>IF(OR(C11="",D11=""),"",IF(COUNTIFS('07_MATRIZ_PERMISOS'!$A$5:$A$50,C11,'07_MATRIZ_PERMISOS'!$B$5:$B$50,D11,'07_MATRIZ_PERMISOS'!$C$5:$C$50,"Sí")&gt;0,"Sí","No"))</x:f>
      </x:c>
      <x:c r="P11" t="str">
        <x:f>IF(AND(N11="Sí",O11="Sí",E11="Sí",F11="Sí",G11="Sí",OR(H11="Correcto",H11="Incorrecto"),L11&lt;&gt;""),"Sí","")</x:f>
      </x:c>
      <x:c r="Q11" t="str">
        <x:f>IF(AND(G11="Sí",P11&lt;&gt;"Sí"),"Revisar elegibilidad, rol, permisos, tarea, evidencia y resultado","")</x:f>
      </x:c>
    </x:row>
    <x:row r="12" ht="27" customHeight="1">
      <x:c r="A12" s="18" t="str">
        <x:v>ASG-007</x:v>
      </x:c>
      <x:c r="B12" s="18" t="str">
        <x:v>P07</x:v>
      </x:c>
      <x:c r="C12" s="32"/>
      <x:c r="D12" s="32" t="str">
        <x:f>IF(B12="","",IFERROR(INDEX('02_PARTICIPANTES'!$B$6:$B$45,MATCH(B12,'02_PARTICIPANTES'!$A$6:$A$45,0)),""))</x:f>
      </x:c>
      <x:c r="E12" s="18" t="str">
        <x:v>Pendiente</x:v>
      </x:c>
      <x:c r="F12" s="18" t="str">
        <x:v>Pendiente</x:v>
      </x:c>
      <x:c r="G12" s="18" t="str">
        <x:v>Pendiente</x:v>
      </x:c>
      <x:c r="H12" s="18" t="str">
        <x:v>Pendiente</x:v>
      </x:c>
      <x:c r="I12" s="18" t="str">
        <x:v>Pendiente</x:v>
      </x:c>
      <x:c r="J12" s="18"/>
      <x:c r="K12" s="32"/>
      <x:c r="L12" s="32"/>
      <x:c r="M12" s="18" t="str">
        <x:v>Fila reservada, sin tarea asignada</x:v>
      </x:c>
      <x:c r="N12" t="str">
        <x:f>IF(B12="","",IF(COUNTIFS('02_PARTICIPANTES'!$A$6:$A$45,B12,'02_PARTICIPANTES'!$D$6:$D$45,"Sí",'02_PARTICIPANTES'!$E$6:$E$45,"&lt;&gt;",'02_PARTICIPANTES'!$I$6:$I$45,"Sí",'02_PARTICIPANTES'!$J$6:$J$45,"Sí",'02_PARTICIPANTES'!$K$6:$K$45,"Sí")&gt;0,"Sí",""))</x:f>
      </x:c>
      <x:c r="O12" t="str">
        <x:f>IF(OR(C12="",D12=""),"",IF(COUNTIFS('07_MATRIZ_PERMISOS'!$A$5:$A$50,C12,'07_MATRIZ_PERMISOS'!$B$5:$B$50,D12,'07_MATRIZ_PERMISOS'!$C$5:$C$50,"Sí")&gt;0,"Sí","No"))</x:f>
      </x:c>
      <x:c r="P12" t="str">
        <x:f>IF(AND(N12="Sí",O12="Sí",E12="Sí",F12="Sí",G12="Sí",OR(H12="Correcto",H12="Incorrecto"),L12&lt;&gt;""),"Sí","")</x:f>
      </x:c>
      <x:c r="Q12" t="str">
        <x:f>IF(AND(G12="Sí",P12&lt;&gt;"Sí"),"Revisar elegibilidad, rol, permisos, tarea, evidencia y resultado","")</x:f>
      </x:c>
    </x:row>
    <x:row r="13" ht="27" customHeight="1">
      <x:c r="A13" s="18" t="str">
        <x:v>ASG-008</x:v>
      </x:c>
      <x:c r="B13" s="18" t="str">
        <x:v>P08</x:v>
      </x:c>
      <x:c r="C13" s="32"/>
      <x:c r="D13" s="32" t="str">
        <x:f>IF(B13="","",IFERROR(INDEX('02_PARTICIPANTES'!$B$6:$B$45,MATCH(B13,'02_PARTICIPANTES'!$A$6:$A$45,0)),""))</x:f>
      </x:c>
      <x:c r="E13" s="18" t="str">
        <x:v>Pendiente</x:v>
      </x:c>
      <x:c r="F13" s="18" t="str">
        <x:v>Pendiente</x:v>
      </x:c>
      <x:c r="G13" s="18" t="str">
        <x:v>Pendiente</x:v>
      </x:c>
      <x:c r="H13" s="18" t="str">
        <x:v>Pendiente</x:v>
      </x:c>
      <x:c r="I13" s="18" t="str">
        <x:v>Pendiente</x:v>
      </x:c>
      <x:c r="J13" s="18"/>
      <x:c r="K13" s="32"/>
      <x:c r="L13" s="32"/>
      <x:c r="M13" s="18" t="str">
        <x:v>Fila reservada, sin tarea asignada</x:v>
      </x:c>
      <x:c r="N13" t="str">
        <x:f>IF(B13="","",IF(COUNTIFS('02_PARTICIPANTES'!$A$6:$A$45,B13,'02_PARTICIPANTES'!$D$6:$D$45,"Sí",'02_PARTICIPANTES'!$E$6:$E$45,"&lt;&gt;",'02_PARTICIPANTES'!$I$6:$I$45,"Sí",'02_PARTICIPANTES'!$J$6:$J$45,"Sí",'02_PARTICIPANTES'!$K$6:$K$45,"Sí")&gt;0,"Sí",""))</x:f>
      </x:c>
      <x:c r="O13" t="str">
        <x:f>IF(OR(C13="",D13=""),"",IF(COUNTIFS('07_MATRIZ_PERMISOS'!$A$5:$A$50,C13,'07_MATRIZ_PERMISOS'!$B$5:$B$50,D13,'07_MATRIZ_PERMISOS'!$C$5:$C$50,"Sí")&gt;0,"Sí","No"))</x:f>
      </x:c>
      <x:c r="P13" t="str">
        <x:f>IF(AND(N13="Sí",O13="Sí",E13="Sí",F13="Sí",G13="Sí",OR(H13="Correcto",H13="Incorrecto"),L13&lt;&gt;""),"Sí","")</x:f>
      </x:c>
      <x:c r="Q13" t="str">
        <x:f>IF(AND(G13="Sí",P13&lt;&gt;"Sí"),"Revisar elegibilidad, rol, permisos, tarea, evidencia y resultado","")</x:f>
      </x:c>
    </x:row>
    <x:row r="14" ht="27" customHeight="1">
      <x:c r="A14" s="18" t="str">
        <x:v>ASG-009</x:v>
      </x:c>
      <x:c r="B14" s="18" t="str">
        <x:v>P09</x:v>
      </x:c>
      <x:c r="C14" s="32"/>
      <x:c r="D14" s="32" t="str">
        <x:f>IF(B14="","",IFERROR(INDEX('02_PARTICIPANTES'!$B$6:$B$45,MATCH(B14,'02_PARTICIPANTES'!$A$6:$A$45,0)),""))</x:f>
      </x:c>
      <x:c r="E14" s="18" t="str">
        <x:v>Pendiente</x:v>
      </x:c>
      <x:c r="F14" s="18" t="str">
        <x:v>Pendiente</x:v>
      </x:c>
      <x:c r="G14" s="18" t="str">
        <x:v>Pendiente</x:v>
      </x:c>
      <x:c r="H14" s="18" t="str">
        <x:v>Pendiente</x:v>
      </x:c>
      <x:c r="I14" s="18" t="str">
        <x:v>Pendiente</x:v>
      </x:c>
      <x:c r="J14" s="18"/>
      <x:c r="K14" s="32"/>
      <x:c r="L14" s="32"/>
      <x:c r="M14" s="18" t="str">
        <x:v>Fila reservada, sin tarea asignada</x:v>
      </x:c>
      <x:c r="N14" t="str">
        <x:f>IF(B14="","",IF(COUNTIFS('02_PARTICIPANTES'!$A$6:$A$45,B14,'02_PARTICIPANTES'!$D$6:$D$45,"Sí",'02_PARTICIPANTES'!$E$6:$E$45,"&lt;&gt;",'02_PARTICIPANTES'!$I$6:$I$45,"Sí",'02_PARTICIPANTES'!$J$6:$J$45,"Sí",'02_PARTICIPANTES'!$K$6:$K$45,"Sí")&gt;0,"Sí",""))</x:f>
      </x:c>
      <x:c r="O14" t="str">
        <x:f>IF(OR(C14="",D14=""),"",IF(COUNTIFS('07_MATRIZ_PERMISOS'!$A$5:$A$50,C14,'07_MATRIZ_PERMISOS'!$B$5:$B$50,D14,'07_MATRIZ_PERMISOS'!$C$5:$C$50,"Sí")&gt;0,"Sí","No"))</x:f>
      </x:c>
      <x:c r="P14" t="str">
        <x:f>IF(AND(N14="Sí",O14="Sí",E14="Sí",F14="Sí",G14="Sí",OR(H14="Correcto",H14="Incorrecto"),L14&lt;&gt;""),"Sí","")</x:f>
      </x:c>
      <x:c r="Q14" t="str">
        <x:f>IF(AND(G14="Sí",P14&lt;&gt;"Sí"),"Revisar elegibilidad, rol, permisos, tarea, evidencia y resultado","")</x:f>
      </x:c>
    </x:row>
    <x:row r="15" ht="27" customHeight="1">
      <x:c r="A15" s="18" t="str">
        <x:v>ASG-010</x:v>
      </x:c>
      <x:c r="B15" s="18" t="str">
        <x:v>P10</x:v>
      </x:c>
      <x:c r="C15" s="32"/>
      <x:c r="D15" s="32" t="str">
        <x:f>IF(B15="","",IFERROR(INDEX('02_PARTICIPANTES'!$B$6:$B$45,MATCH(B15,'02_PARTICIPANTES'!$A$6:$A$45,0)),""))</x:f>
      </x:c>
      <x:c r="E15" s="18" t="str">
        <x:v>Pendiente</x:v>
      </x:c>
      <x:c r="F15" s="18" t="str">
        <x:v>Pendiente</x:v>
      </x:c>
      <x:c r="G15" s="18" t="str">
        <x:v>Pendiente</x:v>
      </x:c>
      <x:c r="H15" s="18" t="str">
        <x:v>Pendiente</x:v>
      </x:c>
      <x:c r="I15" s="18" t="str">
        <x:v>Pendiente</x:v>
      </x:c>
      <x:c r="J15" s="18"/>
      <x:c r="K15" s="32"/>
      <x:c r="L15" s="32"/>
      <x:c r="M15" s="18" t="str">
        <x:v>Fila reservada, sin tarea asignada</x:v>
      </x:c>
      <x:c r="N15" t="str">
        <x:f>IF(B15="","",IF(COUNTIFS('02_PARTICIPANTES'!$A$6:$A$45,B15,'02_PARTICIPANTES'!$D$6:$D$45,"Sí",'02_PARTICIPANTES'!$E$6:$E$45,"&lt;&gt;",'02_PARTICIPANTES'!$I$6:$I$45,"Sí",'02_PARTICIPANTES'!$J$6:$J$45,"Sí",'02_PARTICIPANTES'!$K$6:$K$45,"Sí")&gt;0,"Sí",""))</x:f>
      </x:c>
      <x:c r="O15" t="str">
        <x:f>IF(OR(C15="",D15=""),"",IF(COUNTIFS('07_MATRIZ_PERMISOS'!$A$5:$A$50,C15,'07_MATRIZ_PERMISOS'!$B$5:$B$50,D15,'07_MATRIZ_PERMISOS'!$C$5:$C$50,"Sí")&gt;0,"Sí","No"))</x:f>
      </x:c>
      <x:c r="P15" t="str">
        <x:f>IF(AND(N15="Sí",O15="Sí",E15="Sí",F15="Sí",G15="Sí",OR(H15="Correcto",H15="Incorrecto"),L15&lt;&gt;""),"Sí","")</x:f>
      </x:c>
      <x:c r="Q15" t="str">
        <x:f>IF(AND(G15="Sí",P15&lt;&gt;"Sí"),"Revisar elegibilidad, rol, permisos, tarea, evidencia y resultado","")</x:f>
      </x:c>
    </x:row>
    <x:row r="16" ht="27" customHeight="1">
      <x:c r="A16" s="18"/>
      <x:c r="B16" s="18"/>
      <x:c r="C16" s="32"/>
      <x:c r="D16" s="32" t="str">
        <x:f>IF(B16="","",IFERROR(INDEX('02_PARTICIPANTES'!$B$6:$B$45,MATCH(B16,'02_PARTICIPANTES'!$A$6:$A$45,0)),""))</x:f>
      </x:c>
      <x:c r="E16" s="18"/>
      <x:c r="F16" s="18"/>
      <x:c r="G16" s="18"/>
      <x:c r="H16" s="18"/>
      <x:c r="I16" s="18"/>
      <x:c r="J16" s="18"/>
      <x:c r="K16" s="32"/>
      <x:c r="L16" s="32"/>
      <x:c r="M16" s="18"/>
      <x:c r="N16" t="str">
        <x:f>IF(B16="","",IF(COUNTIFS('02_PARTICIPANTES'!$A$6:$A$45,B16,'02_PARTICIPANTES'!$D$6:$D$45,"Sí",'02_PARTICIPANTES'!$E$6:$E$45,"&lt;&gt;",'02_PARTICIPANTES'!$I$6:$I$45,"Sí",'02_PARTICIPANTES'!$J$6:$J$45,"Sí",'02_PARTICIPANTES'!$K$6:$K$45,"Sí")&gt;0,"Sí",""))</x:f>
      </x:c>
      <x:c r="O16" t="str">
        <x:f>IF(OR(C16="",D16=""),"",IF(COUNTIFS('07_MATRIZ_PERMISOS'!$A$5:$A$50,C16,'07_MATRIZ_PERMISOS'!$B$5:$B$50,D16,'07_MATRIZ_PERMISOS'!$C$5:$C$50,"Sí")&gt;0,"Sí","No"))</x:f>
      </x:c>
      <x:c r="P16" t="str">
        <x:f>IF(AND(N16="Sí",O16="Sí",E16="Sí",F16="Sí",G16="Sí",OR(H16="Correcto",H16="Incorrecto"),L16&lt;&gt;""),"Sí","")</x:f>
      </x:c>
      <x:c r="Q16" t="str">
        <x:f>IF(AND(G16="Sí",P16&lt;&gt;"Sí"),"Revisar elegibilidad, rol, permisos, tarea, evidencia y resultado","")</x:f>
      </x:c>
    </x:row>
    <x:row r="17" ht="27" customHeight="1">
      <x:c r="A17" s="18"/>
      <x:c r="B17" s="18"/>
      <x:c r="C17" s="32"/>
      <x:c r="D17" s="32" t="str">
        <x:f>IF(B17="","",IFERROR(INDEX('02_PARTICIPANTES'!$B$6:$B$45,MATCH(B17,'02_PARTICIPANTES'!$A$6:$A$45,0)),""))</x:f>
      </x:c>
      <x:c r="E17" s="18"/>
      <x:c r="F17" s="18"/>
      <x:c r="G17" s="18"/>
      <x:c r="H17" s="18"/>
      <x:c r="I17" s="18"/>
      <x:c r="J17" s="18"/>
      <x:c r="K17" s="32"/>
      <x:c r="L17" s="32"/>
      <x:c r="M17" s="18"/>
      <x:c r="N17" t="str">
        <x:f>IF(B17="","",IF(COUNTIFS('02_PARTICIPANTES'!$A$6:$A$45,B17,'02_PARTICIPANTES'!$D$6:$D$45,"Sí",'02_PARTICIPANTES'!$E$6:$E$45,"&lt;&gt;",'02_PARTICIPANTES'!$I$6:$I$45,"Sí",'02_PARTICIPANTES'!$J$6:$J$45,"Sí",'02_PARTICIPANTES'!$K$6:$K$45,"Sí")&gt;0,"Sí",""))</x:f>
      </x:c>
      <x:c r="O17" t="str">
        <x:f>IF(OR(C17="",D17=""),"",IF(COUNTIFS('07_MATRIZ_PERMISOS'!$A$5:$A$50,C17,'07_MATRIZ_PERMISOS'!$B$5:$B$50,D17,'07_MATRIZ_PERMISOS'!$C$5:$C$50,"Sí")&gt;0,"Sí","No"))</x:f>
      </x:c>
      <x:c r="P17" t="str">
        <x:f>IF(AND(N17="Sí",O17="Sí",E17="Sí",F17="Sí",G17="Sí",OR(H17="Correcto",H17="Incorrecto"),L17&lt;&gt;""),"Sí","")</x:f>
      </x:c>
      <x:c r="Q17" t="str">
        <x:f>IF(AND(G17="Sí",P17&lt;&gt;"Sí"),"Revisar elegibilidad, rol, permisos, tarea, evidencia y resultado","")</x:f>
      </x:c>
    </x:row>
    <x:row r="18" ht="27" customHeight="1">
      <x:c r="A18" s="18"/>
      <x:c r="B18" s="18"/>
      <x:c r="C18" s="32"/>
      <x:c r="D18" s="32" t="str">
        <x:f>IF(B18="","",IFERROR(INDEX('02_PARTICIPANTES'!$B$6:$B$45,MATCH(B18,'02_PARTICIPANTES'!$A$6:$A$45,0)),""))</x:f>
      </x:c>
      <x:c r="E18" s="18"/>
      <x:c r="F18" s="18"/>
      <x:c r="G18" s="18"/>
      <x:c r="H18" s="18"/>
      <x:c r="I18" s="18"/>
      <x:c r="J18" s="18"/>
      <x:c r="K18" s="32"/>
      <x:c r="L18" s="32"/>
      <x:c r="M18" s="18"/>
      <x:c r="N18" t="str">
        <x:f>IF(B18="","",IF(COUNTIFS('02_PARTICIPANTES'!$A$6:$A$45,B18,'02_PARTICIPANTES'!$D$6:$D$45,"Sí",'02_PARTICIPANTES'!$E$6:$E$45,"&lt;&gt;",'02_PARTICIPANTES'!$I$6:$I$45,"Sí",'02_PARTICIPANTES'!$J$6:$J$45,"Sí",'02_PARTICIPANTES'!$K$6:$K$45,"Sí")&gt;0,"Sí",""))</x:f>
      </x:c>
      <x:c r="O18" t="str">
        <x:f>IF(OR(C18="",D18=""),"",IF(COUNTIFS('07_MATRIZ_PERMISOS'!$A$5:$A$50,C18,'07_MATRIZ_PERMISOS'!$B$5:$B$50,D18,'07_MATRIZ_PERMISOS'!$C$5:$C$50,"Sí")&gt;0,"Sí","No"))</x:f>
      </x:c>
      <x:c r="P18" t="str">
        <x:f>IF(AND(N18="Sí",O18="Sí",E18="Sí",F18="Sí",G18="Sí",OR(H18="Correcto",H18="Incorrecto"),L18&lt;&gt;""),"Sí","")</x:f>
      </x:c>
      <x:c r="Q18" t="str">
        <x:f>IF(AND(G18="Sí",P18&lt;&gt;"Sí"),"Revisar elegibilidad, rol, permisos, tarea, evidencia y resultado","")</x:f>
      </x:c>
    </x:row>
    <x:row r="19" ht="27" customHeight="1">
      <x:c r="A19" s="18"/>
      <x:c r="B19" s="18"/>
      <x:c r="C19" s="32"/>
      <x:c r="D19" s="32" t="str">
        <x:f>IF(B19="","",IFERROR(INDEX('02_PARTICIPANTES'!$B$6:$B$45,MATCH(B19,'02_PARTICIPANTES'!$A$6:$A$45,0)),""))</x:f>
      </x:c>
      <x:c r="E19" s="18"/>
      <x:c r="F19" s="18"/>
      <x:c r="G19" s="18"/>
      <x:c r="H19" s="18"/>
      <x:c r="I19" s="18"/>
      <x:c r="J19" s="18"/>
      <x:c r="K19" s="32"/>
      <x:c r="L19" s="32"/>
      <x:c r="M19" s="18"/>
      <x:c r="N19" t="str">
        <x:f>IF(B19="","",IF(COUNTIFS('02_PARTICIPANTES'!$A$6:$A$45,B19,'02_PARTICIPANTES'!$D$6:$D$45,"Sí",'02_PARTICIPANTES'!$E$6:$E$45,"&lt;&gt;",'02_PARTICIPANTES'!$I$6:$I$45,"Sí",'02_PARTICIPANTES'!$J$6:$J$45,"Sí",'02_PARTICIPANTES'!$K$6:$K$45,"Sí")&gt;0,"Sí",""))</x:f>
      </x:c>
      <x:c r="O19" t="str">
        <x:f>IF(OR(C19="",D19=""),"",IF(COUNTIFS('07_MATRIZ_PERMISOS'!$A$5:$A$50,C19,'07_MATRIZ_PERMISOS'!$B$5:$B$50,D19,'07_MATRIZ_PERMISOS'!$C$5:$C$50,"Sí")&gt;0,"Sí","No"))</x:f>
      </x:c>
      <x:c r="P19" t="str">
        <x:f>IF(AND(N19="Sí",O19="Sí",E19="Sí",F19="Sí",G19="Sí",OR(H19="Correcto",H19="Incorrecto"),L19&lt;&gt;""),"Sí","")</x:f>
      </x:c>
      <x:c r="Q19" t="str">
        <x:f>IF(AND(G19="Sí",P19&lt;&gt;"Sí"),"Revisar elegibilidad, rol, permisos, tarea, evidencia y resultado","")</x:f>
      </x:c>
    </x:row>
    <x:row r="20" ht="27" customHeight="1">
      <x:c r="A20" s="18"/>
      <x:c r="B20" s="18"/>
      <x:c r="C20" s="32"/>
      <x:c r="D20" s="32" t="str">
        <x:f>IF(B20="","",IFERROR(INDEX('02_PARTICIPANTES'!$B$6:$B$45,MATCH(B20,'02_PARTICIPANTES'!$A$6:$A$45,0)),""))</x:f>
      </x:c>
      <x:c r="E20" s="18"/>
      <x:c r="F20" s="18"/>
      <x:c r="G20" s="18"/>
      <x:c r="H20" s="18"/>
      <x:c r="I20" s="18"/>
      <x:c r="J20" s="18"/>
      <x:c r="K20" s="32"/>
      <x:c r="L20" s="32"/>
      <x:c r="M20" s="18"/>
      <x:c r="N20" t="str">
        <x:f>IF(B20="","",IF(COUNTIFS('02_PARTICIPANTES'!$A$6:$A$45,B20,'02_PARTICIPANTES'!$D$6:$D$45,"Sí",'02_PARTICIPANTES'!$E$6:$E$45,"&lt;&gt;",'02_PARTICIPANTES'!$I$6:$I$45,"Sí",'02_PARTICIPANTES'!$J$6:$J$45,"Sí",'02_PARTICIPANTES'!$K$6:$K$45,"Sí")&gt;0,"Sí",""))</x:f>
      </x:c>
      <x:c r="O20" t="str">
        <x:f>IF(OR(C20="",D20=""),"",IF(COUNTIFS('07_MATRIZ_PERMISOS'!$A$5:$A$50,C20,'07_MATRIZ_PERMISOS'!$B$5:$B$50,D20,'07_MATRIZ_PERMISOS'!$C$5:$C$50,"Sí")&gt;0,"Sí","No"))</x:f>
      </x:c>
      <x:c r="P20" t="str">
        <x:f>IF(AND(N20="Sí",O20="Sí",E20="Sí",F20="Sí",G20="Sí",OR(H20="Correcto",H20="Incorrecto"),L20&lt;&gt;""),"Sí","")</x:f>
      </x:c>
      <x:c r="Q20" t="str">
        <x:f>IF(AND(G20="Sí",P20&lt;&gt;"Sí"),"Revisar elegibilidad, rol, permisos, tarea, evidencia y resultado","")</x:f>
      </x:c>
    </x:row>
    <x:row r="21" ht="27" customHeight="1">
      <x:c r="A21" s="18"/>
      <x:c r="B21" s="18"/>
      <x:c r="C21" s="32"/>
      <x:c r="D21" s="32" t="str">
        <x:f>IF(B21="","",IFERROR(INDEX('02_PARTICIPANTES'!$B$6:$B$45,MATCH(B21,'02_PARTICIPANTES'!$A$6:$A$45,0)),""))</x:f>
      </x:c>
      <x:c r="E21" s="18"/>
      <x:c r="F21" s="18"/>
      <x:c r="G21" s="18"/>
      <x:c r="H21" s="18"/>
      <x:c r="I21" s="18"/>
      <x:c r="J21" s="18"/>
      <x:c r="K21" s="32"/>
      <x:c r="L21" s="32"/>
      <x:c r="M21" s="18"/>
      <x:c r="N21" t="str">
        <x:f>IF(B21="","",IF(COUNTIFS('02_PARTICIPANTES'!$A$6:$A$45,B21,'02_PARTICIPANTES'!$D$6:$D$45,"Sí",'02_PARTICIPANTES'!$E$6:$E$45,"&lt;&gt;",'02_PARTICIPANTES'!$I$6:$I$45,"Sí",'02_PARTICIPANTES'!$J$6:$J$45,"Sí",'02_PARTICIPANTES'!$K$6:$K$45,"Sí")&gt;0,"Sí",""))</x:f>
      </x:c>
      <x:c r="O21" t="str">
        <x:f>IF(OR(C21="",D21=""),"",IF(COUNTIFS('07_MATRIZ_PERMISOS'!$A$5:$A$50,C21,'07_MATRIZ_PERMISOS'!$B$5:$B$50,D21,'07_MATRIZ_PERMISOS'!$C$5:$C$50,"Sí")&gt;0,"Sí","No"))</x:f>
      </x:c>
      <x:c r="P21" t="str">
        <x:f>IF(AND(N21="Sí",O21="Sí",E21="Sí",F21="Sí",G21="Sí",OR(H21="Correcto",H21="Incorrecto"),L21&lt;&gt;""),"Sí","")</x:f>
      </x:c>
      <x:c r="Q21" t="str">
        <x:f>IF(AND(G21="Sí",P21&lt;&gt;"Sí"),"Revisar elegibilidad, rol, permisos, tarea, evidencia y resultado","")</x:f>
      </x:c>
    </x:row>
    <x:row r="22" ht="27" customHeight="1">
      <x:c r="A22" s="18"/>
      <x:c r="B22" s="18"/>
      <x:c r="C22" s="32"/>
      <x:c r="D22" s="32" t="str">
        <x:f>IF(B22="","",IFERROR(INDEX('02_PARTICIPANTES'!$B$6:$B$45,MATCH(B22,'02_PARTICIPANTES'!$A$6:$A$45,0)),""))</x:f>
      </x:c>
      <x:c r="E22" s="18"/>
      <x:c r="F22" s="18"/>
      <x:c r="G22" s="18"/>
      <x:c r="H22" s="18"/>
      <x:c r="I22" s="18"/>
      <x:c r="J22" s="18"/>
      <x:c r="K22" s="32"/>
      <x:c r="L22" s="32"/>
      <x:c r="M22" s="18"/>
      <x:c r="N22" t="str">
        <x:f>IF(B22="","",IF(COUNTIFS('02_PARTICIPANTES'!$A$6:$A$45,B22,'02_PARTICIPANTES'!$D$6:$D$45,"Sí",'02_PARTICIPANTES'!$E$6:$E$45,"&lt;&gt;",'02_PARTICIPANTES'!$I$6:$I$45,"Sí",'02_PARTICIPANTES'!$J$6:$J$45,"Sí",'02_PARTICIPANTES'!$K$6:$K$45,"Sí")&gt;0,"Sí",""))</x:f>
      </x:c>
      <x:c r="O22" t="str">
        <x:f>IF(OR(C22="",D22=""),"",IF(COUNTIFS('07_MATRIZ_PERMISOS'!$A$5:$A$50,C22,'07_MATRIZ_PERMISOS'!$B$5:$B$50,D22,'07_MATRIZ_PERMISOS'!$C$5:$C$50,"Sí")&gt;0,"Sí","No"))</x:f>
      </x:c>
      <x:c r="P22" t="str">
        <x:f>IF(AND(N22="Sí",O22="Sí",E22="Sí",F22="Sí",G22="Sí",OR(H22="Correcto",H22="Incorrecto"),L22&lt;&gt;""),"Sí","")</x:f>
      </x:c>
      <x:c r="Q22" t="str">
        <x:f>IF(AND(G22="Sí",P22&lt;&gt;"Sí"),"Revisar elegibilidad, rol, permisos, tarea, evidencia y resultado","")</x:f>
      </x:c>
    </x:row>
    <x:row r="23" ht="27" customHeight="1">
      <x:c r="A23" s="18"/>
      <x:c r="B23" s="18"/>
      <x:c r="C23" s="32"/>
      <x:c r="D23" s="32" t="str">
        <x:f>IF(B23="","",IFERROR(INDEX('02_PARTICIPANTES'!$B$6:$B$45,MATCH(B23,'02_PARTICIPANTES'!$A$6:$A$45,0)),""))</x:f>
      </x:c>
      <x:c r="E23" s="18"/>
      <x:c r="F23" s="18"/>
      <x:c r="G23" s="18"/>
      <x:c r="H23" s="18"/>
      <x:c r="I23" s="18"/>
      <x:c r="J23" s="18"/>
      <x:c r="K23" s="32"/>
      <x:c r="L23" s="32"/>
      <x:c r="M23" s="18"/>
      <x:c r="N23" t="str">
        <x:f>IF(B23="","",IF(COUNTIFS('02_PARTICIPANTES'!$A$6:$A$45,B23,'02_PARTICIPANTES'!$D$6:$D$45,"Sí",'02_PARTICIPANTES'!$E$6:$E$45,"&lt;&gt;",'02_PARTICIPANTES'!$I$6:$I$45,"Sí",'02_PARTICIPANTES'!$J$6:$J$45,"Sí",'02_PARTICIPANTES'!$K$6:$K$45,"Sí")&gt;0,"Sí",""))</x:f>
      </x:c>
      <x:c r="O23" t="str">
        <x:f>IF(OR(C23="",D23=""),"",IF(COUNTIFS('07_MATRIZ_PERMISOS'!$A$5:$A$50,C23,'07_MATRIZ_PERMISOS'!$B$5:$B$50,D23,'07_MATRIZ_PERMISOS'!$C$5:$C$50,"Sí")&gt;0,"Sí","No"))</x:f>
      </x:c>
      <x:c r="P23" t="str">
        <x:f>IF(AND(N23="Sí",O23="Sí",E23="Sí",F23="Sí",G23="Sí",OR(H23="Correcto",H23="Incorrecto"),L23&lt;&gt;""),"Sí","")</x:f>
      </x:c>
      <x:c r="Q23" t="str">
        <x:f>IF(AND(G23="Sí",P23&lt;&gt;"Sí"),"Revisar elegibilidad, rol, permisos, tarea, evidencia y resultado","")</x:f>
      </x:c>
    </x:row>
    <x:row r="24" ht="27" customHeight="1">
      <x:c r="A24" s="18"/>
      <x:c r="B24" s="18"/>
      <x:c r="C24" s="32"/>
      <x:c r="D24" s="32" t="str">
        <x:f>IF(B24="","",IFERROR(INDEX('02_PARTICIPANTES'!$B$6:$B$45,MATCH(B24,'02_PARTICIPANTES'!$A$6:$A$45,0)),""))</x:f>
      </x:c>
      <x:c r="E24" s="18"/>
      <x:c r="F24" s="18"/>
      <x:c r="G24" s="18"/>
      <x:c r="H24" s="18"/>
      <x:c r="I24" s="18"/>
      <x:c r="J24" s="18"/>
      <x:c r="K24" s="32"/>
      <x:c r="L24" s="32"/>
      <x:c r="M24" s="18"/>
      <x:c r="N24" t="str">
        <x:f>IF(B24="","",IF(COUNTIFS('02_PARTICIPANTES'!$A$6:$A$45,B24,'02_PARTICIPANTES'!$D$6:$D$45,"Sí",'02_PARTICIPANTES'!$E$6:$E$45,"&lt;&gt;",'02_PARTICIPANTES'!$I$6:$I$45,"Sí",'02_PARTICIPANTES'!$J$6:$J$45,"Sí",'02_PARTICIPANTES'!$K$6:$K$45,"Sí")&gt;0,"Sí",""))</x:f>
      </x:c>
      <x:c r="O24" t="str">
        <x:f>IF(OR(C24="",D24=""),"",IF(COUNTIFS('07_MATRIZ_PERMISOS'!$A$5:$A$50,C24,'07_MATRIZ_PERMISOS'!$B$5:$B$50,D24,'07_MATRIZ_PERMISOS'!$C$5:$C$50,"Sí")&gt;0,"Sí","No"))</x:f>
      </x:c>
      <x:c r="P24" t="str">
        <x:f>IF(AND(N24="Sí",O24="Sí",E24="Sí",F24="Sí",G24="Sí",OR(H24="Correcto",H24="Incorrecto"),L24&lt;&gt;""),"Sí","")</x:f>
      </x:c>
      <x:c r="Q24" t="str">
        <x:f>IF(AND(G24="Sí",P24&lt;&gt;"Sí"),"Revisar elegibilidad, rol, permisos, tarea, evidencia y resultado","")</x:f>
      </x:c>
    </x:row>
    <x:row r="25" ht="27" customHeight="1">
      <x:c r="A25" s="18"/>
      <x:c r="B25" s="18"/>
      <x:c r="C25" s="32"/>
      <x:c r="D25" s="32" t="str">
        <x:f>IF(B25="","",IFERROR(INDEX('02_PARTICIPANTES'!$B$6:$B$45,MATCH(B25,'02_PARTICIPANTES'!$A$6:$A$45,0)),""))</x:f>
      </x:c>
      <x:c r="E25" s="18"/>
      <x:c r="F25" s="18"/>
      <x:c r="G25" s="18"/>
      <x:c r="H25" s="18"/>
      <x:c r="I25" s="18"/>
      <x:c r="J25" s="18"/>
      <x:c r="K25" s="32"/>
      <x:c r="L25" s="32"/>
      <x:c r="M25" s="18"/>
      <x:c r="N25" t="str">
        <x:f>IF(B25="","",IF(COUNTIFS('02_PARTICIPANTES'!$A$6:$A$45,B25,'02_PARTICIPANTES'!$D$6:$D$45,"Sí",'02_PARTICIPANTES'!$E$6:$E$45,"&lt;&gt;",'02_PARTICIPANTES'!$I$6:$I$45,"Sí",'02_PARTICIPANTES'!$J$6:$J$45,"Sí",'02_PARTICIPANTES'!$K$6:$K$45,"Sí")&gt;0,"Sí",""))</x:f>
      </x:c>
      <x:c r="O25" t="str">
        <x:f>IF(OR(C25="",D25=""),"",IF(COUNTIFS('07_MATRIZ_PERMISOS'!$A$5:$A$50,C25,'07_MATRIZ_PERMISOS'!$B$5:$B$50,D25,'07_MATRIZ_PERMISOS'!$C$5:$C$50,"Sí")&gt;0,"Sí","No"))</x:f>
      </x:c>
      <x:c r="P25" t="str">
        <x:f>IF(AND(N25="Sí",O25="Sí",E25="Sí",F25="Sí",G25="Sí",OR(H25="Correcto",H25="Incorrecto"),L25&lt;&gt;""),"Sí","")</x:f>
      </x:c>
      <x:c r="Q25" t="str">
        <x:f>IF(AND(G25="Sí",P25&lt;&gt;"Sí"),"Revisar elegibilidad, rol, permisos, tarea, evidencia y resultado","")</x:f>
      </x:c>
    </x:row>
    <x:row r="26" ht="27" customHeight="1">
      <x:c r="A26" s="18"/>
      <x:c r="B26" s="18"/>
      <x:c r="C26" s="32"/>
      <x:c r="D26" s="32" t="str">
        <x:f>IF(B26="","",IFERROR(INDEX('02_PARTICIPANTES'!$B$6:$B$45,MATCH(B26,'02_PARTICIPANTES'!$A$6:$A$45,0)),""))</x:f>
      </x:c>
      <x:c r="E26" s="18"/>
      <x:c r="F26" s="18"/>
      <x:c r="G26" s="18"/>
      <x:c r="H26" s="18"/>
      <x:c r="I26" s="18"/>
      <x:c r="J26" s="18"/>
      <x:c r="K26" s="32"/>
      <x:c r="L26" s="32"/>
      <x:c r="M26" s="18"/>
      <x:c r="N26" t="str">
        <x:f>IF(B26="","",IF(COUNTIFS('02_PARTICIPANTES'!$A$6:$A$45,B26,'02_PARTICIPANTES'!$D$6:$D$45,"Sí",'02_PARTICIPANTES'!$E$6:$E$45,"&lt;&gt;",'02_PARTICIPANTES'!$I$6:$I$45,"Sí",'02_PARTICIPANTES'!$J$6:$J$45,"Sí",'02_PARTICIPANTES'!$K$6:$K$45,"Sí")&gt;0,"Sí",""))</x:f>
      </x:c>
      <x:c r="O26" t="str">
        <x:f>IF(OR(C26="",D26=""),"",IF(COUNTIFS('07_MATRIZ_PERMISOS'!$A$5:$A$50,C26,'07_MATRIZ_PERMISOS'!$B$5:$B$50,D26,'07_MATRIZ_PERMISOS'!$C$5:$C$50,"Sí")&gt;0,"Sí","No"))</x:f>
      </x:c>
      <x:c r="P26" t="str">
        <x:f>IF(AND(N26="Sí",O26="Sí",E26="Sí",F26="Sí",G26="Sí",OR(H26="Correcto",H26="Incorrecto"),L26&lt;&gt;""),"Sí","")</x:f>
      </x:c>
      <x:c r="Q26" t="str">
        <x:f>IF(AND(G26="Sí",P26&lt;&gt;"Sí"),"Revisar elegibilidad, rol, permisos, tarea, evidencia y resultado","")</x:f>
      </x:c>
    </x:row>
    <x:row r="27" ht="27" customHeight="1">
      <x:c r="A27" s="18"/>
      <x:c r="B27" s="18"/>
      <x:c r="C27" s="32"/>
      <x:c r="D27" s="32" t="str">
        <x:f>IF(B27="","",IFERROR(INDEX('02_PARTICIPANTES'!$B$6:$B$45,MATCH(B27,'02_PARTICIPANTES'!$A$6:$A$45,0)),""))</x:f>
      </x:c>
      <x:c r="E27" s="18"/>
      <x:c r="F27" s="18"/>
      <x:c r="G27" s="18"/>
      <x:c r="H27" s="18"/>
      <x:c r="I27" s="18"/>
      <x:c r="J27" s="18"/>
      <x:c r="K27" s="32"/>
      <x:c r="L27" s="32"/>
      <x:c r="M27" s="18"/>
      <x:c r="N27" t="str">
        <x:f>IF(B27="","",IF(COUNTIFS('02_PARTICIPANTES'!$A$6:$A$45,B27,'02_PARTICIPANTES'!$D$6:$D$45,"Sí",'02_PARTICIPANTES'!$E$6:$E$45,"&lt;&gt;",'02_PARTICIPANTES'!$I$6:$I$45,"Sí",'02_PARTICIPANTES'!$J$6:$J$45,"Sí",'02_PARTICIPANTES'!$K$6:$K$45,"Sí")&gt;0,"Sí",""))</x:f>
      </x:c>
      <x:c r="O27" t="str">
        <x:f>IF(OR(C27="",D27=""),"",IF(COUNTIFS('07_MATRIZ_PERMISOS'!$A$5:$A$50,C27,'07_MATRIZ_PERMISOS'!$B$5:$B$50,D27,'07_MATRIZ_PERMISOS'!$C$5:$C$50,"Sí")&gt;0,"Sí","No"))</x:f>
      </x:c>
      <x:c r="P27" t="str">
        <x:f>IF(AND(N27="Sí",O27="Sí",E27="Sí",F27="Sí",G27="Sí",OR(H27="Correcto",H27="Incorrecto"),L27&lt;&gt;""),"Sí","")</x:f>
      </x:c>
      <x:c r="Q27" t="str">
        <x:f>IF(AND(G27="Sí",P27&lt;&gt;"Sí"),"Revisar elegibilidad, rol, permisos, tarea, evidencia y resultado","")</x:f>
      </x:c>
    </x:row>
    <x:row r="28" ht="27" customHeight="1">
      <x:c r="A28" s="18"/>
      <x:c r="B28" s="18"/>
      <x:c r="C28" s="32"/>
      <x:c r="D28" s="32" t="str">
        <x:f>IF(B28="","",IFERROR(INDEX('02_PARTICIPANTES'!$B$6:$B$45,MATCH(B28,'02_PARTICIPANTES'!$A$6:$A$45,0)),""))</x:f>
      </x:c>
      <x:c r="E28" s="18"/>
      <x:c r="F28" s="18"/>
      <x:c r="G28" s="18"/>
      <x:c r="H28" s="18"/>
      <x:c r="I28" s="18"/>
      <x:c r="J28" s="18"/>
      <x:c r="K28" s="32"/>
      <x:c r="L28" s="32"/>
      <x:c r="M28" s="18"/>
      <x:c r="N28" t="str">
        <x:f>IF(B28="","",IF(COUNTIFS('02_PARTICIPANTES'!$A$6:$A$45,B28,'02_PARTICIPANTES'!$D$6:$D$45,"Sí",'02_PARTICIPANTES'!$E$6:$E$45,"&lt;&gt;",'02_PARTICIPANTES'!$I$6:$I$45,"Sí",'02_PARTICIPANTES'!$J$6:$J$45,"Sí",'02_PARTICIPANTES'!$K$6:$K$45,"Sí")&gt;0,"Sí",""))</x:f>
      </x:c>
      <x:c r="O28" t="str">
        <x:f>IF(OR(C28="",D28=""),"",IF(COUNTIFS('07_MATRIZ_PERMISOS'!$A$5:$A$50,C28,'07_MATRIZ_PERMISOS'!$B$5:$B$50,D28,'07_MATRIZ_PERMISOS'!$C$5:$C$50,"Sí")&gt;0,"Sí","No"))</x:f>
      </x:c>
      <x:c r="P28" t="str">
        <x:f>IF(AND(N28="Sí",O28="Sí",E28="Sí",F28="Sí",G28="Sí",OR(H28="Correcto",H28="Incorrecto"),L28&lt;&gt;""),"Sí","")</x:f>
      </x:c>
      <x:c r="Q28" t="str">
        <x:f>IF(AND(G28="Sí",P28&lt;&gt;"Sí"),"Revisar elegibilidad, rol, permisos, tarea, evidencia y resultado","")</x:f>
      </x:c>
    </x:row>
    <x:row r="29" ht="27" customHeight="1">
      <x:c r="A29" s="18"/>
      <x:c r="B29" s="18"/>
      <x:c r="C29" s="32"/>
      <x:c r="D29" s="32" t="str">
        <x:f>IF(B29="","",IFERROR(INDEX('02_PARTICIPANTES'!$B$6:$B$45,MATCH(B29,'02_PARTICIPANTES'!$A$6:$A$45,0)),""))</x:f>
      </x:c>
      <x:c r="E29" s="18"/>
      <x:c r="F29" s="18"/>
      <x:c r="G29" s="18"/>
      <x:c r="H29" s="18"/>
      <x:c r="I29" s="18"/>
      <x:c r="J29" s="18"/>
      <x:c r="K29" s="32"/>
      <x:c r="L29" s="32"/>
      <x:c r="M29" s="18"/>
      <x:c r="N29" t="str">
        <x:f>IF(B29="","",IF(COUNTIFS('02_PARTICIPANTES'!$A$6:$A$45,B29,'02_PARTICIPANTES'!$D$6:$D$45,"Sí",'02_PARTICIPANTES'!$E$6:$E$45,"&lt;&gt;",'02_PARTICIPANTES'!$I$6:$I$45,"Sí",'02_PARTICIPANTES'!$J$6:$J$45,"Sí",'02_PARTICIPANTES'!$K$6:$K$45,"Sí")&gt;0,"Sí",""))</x:f>
      </x:c>
      <x:c r="O29" t="str">
        <x:f>IF(OR(C29="",D29=""),"",IF(COUNTIFS('07_MATRIZ_PERMISOS'!$A$5:$A$50,C29,'07_MATRIZ_PERMISOS'!$B$5:$B$50,D29,'07_MATRIZ_PERMISOS'!$C$5:$C$50,"Sí")&gt;0,"Sí","No"))</x:f>
      </x:c>
      <x:c r="P29" t="str">
        <x:f>IF(AND(N29="Sí",O29="Sí",E29="Sí",F29="Sí",G29="Sí",OR(H29="Correcto",H29="Incorrecto"),L29&lt;&gt;""),"Sí","")</x:f>
      </x:c>
      <x:c r="Q29" t="str">
        <x:f>IF(AND(G29="Sí",P29&lt;&gt;"Sí"),"Revisar elegibilidad, rol, permisos, tarea, evidencia y resultado","")</x:f>
      </x:c>
    </x:row>
    <x:row r="30" ht="27" customHeight="1">
      <x:c r="A30" s="18"/>
      <x:c r="B30" s="18"/>
      <x:c r="C30" s="32"/>
      <x:c r="D30" s="32" t="str">
        <x:f>IF(B30="","",IFERROR(INDEX('02_PARTICIPANTES'!$B$6:$B$45,MATCH(B30,'02_PARTICIPANTES'!$A$6:$A$45,0)),""))</x:f>
      </x:c>
      <x:c r="E30" s="18"/>
      <x:c r="F30" s="18"/>
      <x:c r="G30" s="18"/>
      <x:c r="H30" s="18"/>
      <x:c r="I30" s="18"/>
      <x:c r="J30" s="18"/>
      <x:c r="K30" s="32"/>
      <x:c r="L30" s="32"/>
      <x:c r="M30" s="18"/>
      <x:c r="N30" t="str">
        <x:f>IF(B30="","",IF(COUNTIFS('02_PARTICIPANTES'!$A$6:$A$45,B30,'02_PARTICIPANTES'!$D$6:$D$45,"Sí",'02_PARTICIPANTES'!$E$6:$E$45,"&lt;&gt;",'02_PARTICIPANTES'!$I$6:$I$45,"Sí",'02_PARTICIPANTES'!$J$6:$J$45,"Sí",'02_PARTICIPANTES'!$K$6:$K$45,"Sí")&gt;0,"Sí",""))</x:f>
      </x:c>
      <x:c r="O30" t="str">
        <x:f>IF(OR(C30="",D30=""),"",IF(COUNTIFS('07_MATRIZ_PERMISOS'!$A$5:$A$50,C30,'07_MATRIZ_PERMISOS'!$B$5:$B$50,D30,'07_MATRIZ_PERMISOS'!$C$5:$C$50,"Sí")&gt;0,"Sí","No"))</x:f>
      </x:c>
      <x:c r="P30" t="str">
        <x:f>IF(AND(N30="Sí",O30="Sí",E30="Sí",F30="Sí",G30="Sí",OR(H30="Correcto",H30="Incorrecto"),L30&lt;&gt;""),"Sí","")</x:f>
      </x:c>
      <x:c r="Q30" t="str">
        <x:f>IF(AND(G30="Sí",P30&lt;&gt;"Sí"),"Revisar elegibilidad, rol, permisos, tarea, evidencia y resultado","")</x:f>
      </x:c>
    </x:row>
    <x:row r="31" ht="27" customHeight="1">
      <x:c r="A31" s="18"/>
      <x:c r="B31" s="18"/>
      <x:c r="C31" s="32"/>
      <x:c r="D31" s="32" t="str">
        <x:f>IF(B31="","",IFERROR(INDEX('02_PARTICIPANTES'!$B$6:$B$45,MATCH(B31,'02_PARTICIPANTES'!$A$6:$A$45,0)),""))</x:f>
      </x:c>
      <x:c r="E31" s="18"/>
      <x:c r="F31" s="18"/>
      <x:c r="G31" s="18"/>
      <x:c r="H31" s="18"/>
      <x:c r="I31" s="18"/>
      <x:c r="J31" s="18"/>
      <x:c r="K31" s="32"/>
      <x:c r="L31" s="32"/>
      <x:c r="M31" s="18"/>
      <x:c r="N31" t="str">
        <x:f>IF(B31="","",IF(COUNTIFS('02_PARTICIPANTES'!$A$6:$A$45,B31,'02_PARTICIPANTES'!$D$6:$D$45,"Sí",'02_PARTICIPANTES'!$E$6:$E$45,"&lt;&gt;",'02_PARTICIPANTES'!$I$6:$I$45,"Sí",'02_PARTICIPANTES'!$J$6:$J$45,"Sí",'02_PARTICIPANTES'!$K$6:$K$45,"Sí")&gt;0,"Sí",""))</x:f>
      </x:c>
      <x:c r="O31" t="str">
        <x:f>IF(OR(C31="",D31=""),"",IF(COUNTIFS('07_MATRIZ_PERMISOS'!$A$5:$A$50,C31,'07_MATRIZ_PERMISOS'!$B$5:$B$50,D31,'07_MATRIZ_PERMISOS'!$C$5:$C$50,"Sí")&gt;0,"Sí","No"))</x:f>
      </x:c>
      <x:c r="P31" t="str">
        <x:f>IF(AND(N31="Sí",O31="Sí",E31="Sí",F31="Sí",G31="Sí",OR(H31="Correcto",H31="Incorrecto"),L31&lt;&gt;""),"Sí","")</x:f>
      </x:c>
      <x:c r="Q31" t="str">
        <x:f>IF(AND(G31="Sí",P31&lt;&gt;"Sí"),"Revisar elegibilidad, rol, permisos, tarea, evidencia y resultado","")</x:f>
      </x:c>
    </x:row>
    <x:row r="32" ht="27" customHeight="1">
      <x:c r="A32" s="18"/>
      <x:c r="B32" s="18"/>
      <x:c r="C32" s="32"/>
      <x:c r="D32" s="32" t="str">
        <x:f>IF(B32="","",IFERROR(INDEX('02_PARTICIPANTES'!$B$6:$B$45,MATCH(B32,'02_PARTICIPANTES'!$A$6:$A$45,0)),""))</x:f>
      </x:c>
      <x:c r="E32" s="18"/>
      <x:c r="F32" s="18"/>
      <x:c r="G32" s="18"/>
      <x:c r="H32" s="18"/>
      <x:c r="I32" s="18"/>
      <x:c r="J32" s="18"/>
      <x:c r="K32" s="32"/>
      <x:c r="L32" s="32"/>
      <x:c r="M32" s="18"/>
      <x:c r="N32" t="str">
        <x:f>IF(B32="","",IF(COUNTIFS('02_PARTICIPANTES'!$A$6:$A$45,B32,'02_PARTICIPANTES'!$D$6:$D$45,"Sí",'02_PARTICIPANTES'!$E$6:$E$45,"&lt;&gt;",'02_PARTICIPANTES'!$I$6:$I$45,"Sí",'02_PARTICIPANTES'!$J$6:$J$45,"Sí",'02_PARTICIPANTES'!$K$6:$K$45,"Sí")&gt;0,"Sí",""))</x:f>
      </x:c>
      <x:c r="O32" t="str">
        <x:f>IF(OR(C32="",D32=""),"",IF(COUNTIFS('07_MATRIZ_PERMISOS'!$A$5:$A$50,C32,'07_MATRIZ_PERMISOS'!$B$5:$B$50,D32,'07_MATRIZ_PERMISOS'!$C$5:$C$50,"Sí")&gt;0,"Sí","No"))</x:f>
      </x:c>
      <x:c r="P32" t="str">
        <x:f>IF(AND(N32="Sí",O32="Sí",E32="Sí",F32="Sí",G32="Sí",OR(H32="Correcto",H32="Incorrecto"),L32&lt;&gt;""),"Sí","")</x:f>
      </x:c>
      <x:c r="Q32" t="str">
        <x:f>IF(AND(G32="Sí",P32&lt;&gt;"Sí"),"Revisar elegibilidad, rol, permisos, tarea, evidencia y resultado","")</x:f>
      </x:c>
    </x:row>
    <x:row r="33" ht="27" customHeight="1">
      <x:c r="A33" s="18"/>
      <x:c r="B33" s="18"/>
      <x:c r="C33" s="32"/>
      <x:c r="D33" s="32" t="str">
        <x:f>IF(B33="","",IFERROR(INDEX('02_PARTICIPANTES'!$B$6:$B$45,MATCH(B33,'02_PARTICIPANTES'!$A$6:$A$45,0)),""))</x:f>
      </x:c>
      <x:c r="E33" s="18"/>
      <x:c r="F33" s="18"/>
      <x:c r="G33" s="18"/>
      <x:c r="H33" s="18"/>
      <x:c r="I33" s="18"/>
      <x:c r="J33" s="18"/>
      <x:c r="K33" s="32"/>
      <x:c r="L33" s="32"/>
      <x:c r="M33" s="18"/>
      <x:c r="N33" t="str">
        <x:f>IF(B33="","",IF(COUNTIFS('02_PARTICIPANTES'!$A$6:$A$45,B33,'02_PARTICIPANTES'!$D$6:$D$45,"Sí",'02_PARTICIPANTES'!$E$6:$E$45,"&lt;&gt;",'02_PARTICIPANTES'!$I$6:$I$45,"Sí",'02_PARTICIPANTES'!$J$6:$J$45,"Sí",'02_PARTICIPANTES'!$K$6:$K$45,"Sí")&gt;0,"Sí",""))</x:f>
      </x:c>
      <x:c r="O33" t="str">
        <x:f>IF(OR(C33="",D33=""),"",IF(COUNTIFS('07_MATRIZ_PERMISOS'!$A$5:$A$50,C33,'07_MATRIZ_PERMISOS'!$B$5:$B$50,D33,'07_MATRIZ_PERMISOS'!$C$5:$C$50,"Sí")&gt;0,"Sí","No"))</x:f>
      </x:c>
      <x:c r="P33" t="str">
        <x:f>IF(AND(N33="Sí",O33="Sí",E33="Sí",F33="Sí",G33="Sí",OR(H33="Correcto",H33="Incorrecto"),L33&lt;&gt;""),"Sí","")</x:f>
      </x:c>
      <x:c r="Q33" t="str">
        <x:f>IF(AND(G33="Sí",P33&lt;&gt;"Sí"),"Revisar elegibilidad, rol, permisos, tarea, evidencia y resultado","")</x:f>
      </x:c>
    </x:row>
    <x:row r="34" ht="27" customHeight="1">
      <x:c r="A34" s="18"/>
      <x:c r="B34" s="18"/>
      <x:c r="C34" s="32"/>
      <x:c r="D34" s="32" t="str">
        <x:f>IF(B34="","",IFERROR(INDEX('02_PARTICIPANTES'!$B$6:$B$45,MATCH(B34,'02_PARTICIPANTES'!$A$6:$A$45,0)),""))</x:f>
      </x:c>
      <x:c r="E34" s="18"/>
      <x:c r="F34" s="18"/>
      <x:c r="G34" s="18"/>
      <x:c r="H34" s="18"/>
      <x:c r="I34" s="18"/>
      <x:c r="J34" s="18"/>
      <x:c r="K34" s="32"/>
      <x:c r="L34" s="32"/>
      <x:c r="M34" s="18"/>
      <x:c r="N34" t="str">
        <x:f>IF(B34="","",IF(COUNTIFS('02_PARTICIPANTES'!$A$6:$A$45,B34,'02_PARTICIPANTES'!$D$6:$D$45,"Sí",'02_PARTICIPANTES'!$E$6:$E$45,"&lt;&gt;",'02_PARTICIPANTES'!$I$6:$I$45,"Sí",'02_PARTICIPANTES'!$J$6:$J$45,"Sí",'02_PARTICIPANTES'!$K$6:$K$45,"Sí")&gt;0,"Sí",""))</x:f>
      </x:c>
      <x:c r="O34" t="str">
        <x:f>IF(OR(C34="",D34=""),"",IF(COUNTIFS('07_MATRIZ_PERMISOS'!$A$5:$A$50,C34,'07_MATRIZ_PERMISOS'!$B$5:$B$50,D34,'07_MATRIZ_PERMISOS'!$C$5:$C$50,"Sí")&gt;0,"Sí","No"))</x:f>
      </x:c>
      <x:c r="P34" t="str">
        <x:f>IF(AND(N34="Sí",O34="Sí",E34="Sí",F34="Sí",G34="Sí",OR(H34="Correcto",H34="Incorrecto"),L34&lt;&gt;""),"Sí","")</x:f>
      </x:c>
      <x:c r="Q34" t="str">
        <x:f>IF(AND(G34="Sí",P34&lt;&gt;"Sí"),"Revisar elegibilidad, rol, permisos, tarea, evidencia y resultado","")</x:f>
      </x:c>
    </x:row>
    <x:row r="35" ht="27" customHeight="1">
      <x:c r="A35" s="18"/>
      <x:c r="B35" s="18"/>
      <x:c r="C35" s="32"/>
      <x:c r="D35" s="32" t="str">
        <x:f>IF(B35="","",IFERROR(INDEX('02_PARTICIPANTES'!$B$6:$B$45,MATCH(B35,'02_PARTICIPANTES'!$A$6:$A$45,0)),""))</x:f>
      </x:c>
      <x:c r="E35" s="18"/>
      <x:c r="F35" s="18"/>
      <x:c r="G35" s="18"/>
      <x:c r="H35" s="18"/>
      <x:c r="I35" s="18"/>
      <x:c r="J35" s="18"/>
      <x:c r="K35" s="32"/>
      <x:c r="L35" s="32"/>
      <x:c r="M35" s="18"/>
      <x:c r="N35" t="str">
        <x:f>IF(B35="","",IF(COUNTIFS('02_PARTICIPANTES'!$A$6:$A$45,B35,'02_PARTICIPANTES'!$D$6:$D$45,"Sí",'02_PARTICIPANTES'!$E$6:$E$45,"&lt;&gt;",'02_PARTICIPANTES'!$I$6:$I$45,"Sí",'02_PARTICIPANTES'!$J$6:$J$45,"Sí",'02_PARTICIPANTES'!$K$6:$K$45,"Sí")&gt;0,"Sí",""))</x:f>
      </x:c>
      <x:c r="O35" t="str">
        <x:f>IF(OR(C35="",D35=""),"",IF(COUNTIFS('07_MATRIZ_PERMISOS'!$A$5:$A$50,C35,'07_MATRIZ_PERMISOS'!$B$5:$B$50,D35,'07_MATRIZ_PERMISOS'!$C$5:$C$50,"Sí")&gt;0,"Sí","No"))</x:f>
      </x:c>
      <x:c r="P35" t="str">
        <x:f>IF(AND(N35="Sí",O35="Sí",E35="Sí",F35="Sí",G35="Sí",OR(H35="Correcto",H35="Incorrecto"),L35&lt;&gt;""),"Sí","")</x:f>
      </x:c>
      <x:c r="Q35" t="str">
        <x:f>IF(AND(G35="Sí",P35&lt;&gt;"Sí"),"Revisar elegibilidad, rol, permisos, tarea, evidencia y resultado","")</x:f>
      </x:c>
    </x:row>
    <x:row r="36" ht="27" customHeight="1">
      <x:c r="A36" s="18"/>
      <x:c r="B36" s="18"/>
      <x:c r="C36" s="32"/>
      <x:c r="D36" s="32" t="str">
        <x:f>IF(B36="","",IFERROR(INDEX('02_PARTICIPANTES'!$B$6:$B$45,MATCH(B36,'02_PARTICIPANTES'!$A$6:$A$45,0)),""))</x:f>
      </x:c>
      <x:c r="E36" s="18"/>
      <x:c r="F36" s="18"/>
      <x:c r="G36" s="18"/>
      <x:c r="H36" s="18"/>
      <x:c r="I36" s="18"/>
      <x:c r="J36" s="18"/>
      <x:c r="K36" s="32"/>
      <x:c r="L36" s="32"/>
      <x:c r="M36" s="18"/>
      <x:c r="N36" t="str">
        <x:f>IF(B36="","",IF(COUNTIFS('02_PARTICIPANTES'!$A$6:$A$45,B36,'02_PARTICIPANTES'!$D$6:$D$45,"Sí",'02_PARTICIPANTES'!$E$6:$E$45,"&lt;&gt;",'02_PARTICIPANTES'!$I$6:$I$45,"Sí",'02_PARTICIPANTES'!$J$6:$J$45,"Sí",'02_PARTICIPANTES'!$K$6:$K$45,"Sí")&gt;0,"Sí",""))</x:f>
      </x:c>
      <x:c r="O36" t="str">
        <x:f>IF(OR(C36="",D36=""),"",IF(COUNTIFS('07_MATRIZ_PERMISOS'!$A$5:$A$50,C36,'07_MATRIZ_PERMISOS'!$B$5:$B$50,D36,'07_MATRIZ_PERMISOS'!$C$5:$C$50,"Sí")&gt;0,"Sí","No"))</x:f>
      </x:c>
      <x:c r="P36" t="str">
        <x:f>IF(AND(N36="Sí",O36="Sí",E36="Sí",F36="Sí",G36="Sí",OR(H36="Correcto",H36="Incorrecto"),L36&lt;&gt;""),"Sí","")</x:f>
      </x:c>
      <x:c r="Q36" t="str">
        <x:f>IF(AND(G36="Sí",P36&lt;&gt;"Sí"),"Revisar elegibilidad, rol, permisos, tarea, evidencia y resultado","")</x:f>
      </x:c>
    </x:row>
    <x:row r="37" ht="27" customHeight="1">
      <x:c r="A37" s="18"/>
      <x:c r="B37" s="18"/>
      <x:c r="C37" s="32"/>
      <x:c r="D37" s="32" t="str">
        <x:f>IF(B37="","",IFERROR(INDEX('02_PARTICIPANTES'!$B$6:$B$45,MATCH(B37,'02_PARTICIPANTES'!$A$6:$A$45,0)),""))</x:f>
      </x:c>
      <x:c r="E37" s="18"/>
      <x:c r="F37" s="18"/>
      <x:c r="G37" s="18"/>
      <x:c r="H37" s="18"/>
      <x:c r="I37" s="18"/>
      <x:c r="J37" s="18"/>
      <x:c r="K37" s="32"/>
      <x:c r="L37" s="32"/>
      <x:c r="M37" s="18"/>
      <x:c r="N37" t="str">
        <x:f>IF(B37="","",IF(COUNTIFS('02_PARTICIPANTES'!$A$6:$A$45,B37,'02_PARTICIPANTES'!$D$6:$D$45,"Sí",'02_PARTICIPANTES'!$E$6:$E$45,"&lt;&gt;",'02_PARTICIPANTES'!$I$6:$I$45,"Sí",'02_PARTICIPANTES'!$J$6:$J$45,"Sí",'02_PARTICIPANTES'!$K$6:$K$45,"Sí")&gt;0,"Sí",""))</x:f>
      </x:c>
      <x:c r="O37" t="str">
        <x:f>IF(OR(C37="",D37=""),"",IF(COUNTIFS('07_MATRIZ_PERMISOS'!$A$5:$A$50,C37,'07_MATRIZ_PERMISOS'!$B$5:$B$50,D37,'07_MATRIZ_PERMISOS'!$C$5:$C$50,"Sí")&gt;0,"Sí","No"))</x:f>
      </x:c>
      <x:c r="P37" t="str">
        <x:f>IF(AND(N37="Sí",O37="Sí",E37="Sí",F37="Sí",G37="Sí",OR(H37="Correcto",H37="Incorrecto"),L37&lt;&gt;""),"Sí","")</x:f>
      </x:c>
      <x:c r="Q37" t="str">
        <x:f>IF(AND(G37="Sí",P37&lt;&gt;"Sí"),"Revisar elegibilidad, rol, permisos, tarea, evidencia y resultado","")</x:f>
      </x:c>
    </x:row>
    <x:row r="38" ht="27" customHeight="1">
      <x:c r="A38" s="18"/>
      <x:c r="B38" s="18"/>
      <x:c r="C38" s="32"/>
      <x:c r="D38" s="32" t="str">
        <x:f>IF(B38="","",IFERROR(INDEX('02_PARTICIPANTES'!$B$6:$B$45,MATCH(B38,'02_PARTICIPANTES'!$A$6:$A$45,0)),""))</x:f>
      </x:c>
      <x:c r="E38" s="18"/>
      <x:c r="F38" s="18"/>
      <x:c r="G38" s="18"/>
      <x:c r="H38" s="18"/>
      <x:c r="I38" s="18"/>
      <x:c r="J38" s="18"/>
      <x:c r="K38" s="32"/>
      <x:c r="L38" s="32"/>
      <x:c r="M38" s="18"/>
      <x:c r="N38" t="str">
        <x:f>IF(B38="","",IF(COUNTIFS('02_PARTICIPANTES'!$A$6:$A$45,B38,'02_PARTICIPANTES'!$D$6:$D$45,"Sí",'02_PARTICIPANTES'!$E$6:$E$45,"&lt;&gt;",'02_PARTICIPANTES'!$I$6:$I$45,"Sí",'02_PARTICIPANTES'!$J$6:$J$45,"Sí",'02_PARTICIPANTES'!$K$6:$K$45,"Sí")&gt;0,"Sí",""))</x:f>
      </x:c>
      <x:c r="O38" t="str">
        <x:f>IF(OR(C38="",D38=""),"",IF(COUNTIFS('07_MATRIZ_PERMISOS'!$A$5:$A$50,C38,'07_MATRIZ_PERMISOS'!$B$5:$B$50,D38,'07_MATRIZ_PERMISOS'!$C$5:$C$50,"Sí")&gt;0,"Sí","No"))</x:f>
      </x:c>
      <x:c r="P38" t="str">
        <x:f>IF(AND(N38="Sí",O38="Sí",E38="Sí",F38="Sí",G38="Sí",OR(H38="Correcto",H38="Incorrecto"),L38&lt;&gt;""),"Sí","")</x:f>
      </x:c>
      <x:c r="Q38" t="str">
        <x:f>IF(AND(G38="Sí",P38&lt;&gt;"Sí"),"Revisar elegibilidad, rol, permisos, tarea, evidencia y resultado","")</x:f>
      </x:c>
    </x:row>
    <x:row r="39" ht="27" customHeight="1">
      <x:c r="A39" s="18"/>
      <x:c r="B39" s="18"/>
      <x:c r="C39" s="32"/>
      <x:c r="D39" s="32" t="str">
        <x:f>IF(B39="","",IFERROR(INDEX('02_PARTICIPANTES'!$B$6:$B$45,MATCH(B39,'02_PARTICIPANTES'!$A$6:$A$45,0)),""))</x:f>
      </x:c>
      <x:c r="E39" s="18"/>
      <x:c r="F39" s="18"/>
      <x:c r="G39" s="18"/>
      <x:c r="H39" s="18"/>
      <x:c r="I39" s="18"/>
      <x:c r="J39" s="18"/>
      <x:c r="K39" s="32"/>
      <x:c r="L39" s="32"/>
      <x:c r="M39" s="18"/>
      <x:c r="N39" t="str">
        <x:f>IF(B39="","",IF(COUNTIFS('02_PARTICIPANTES'!$A$6:$A$45,B39,'02_PARTICIPANTES'!$D$6:$D$45,"Sí",'02_PARTICIPANTES'!$E$6:$E$45,"&lt;&gt;",'02_PARTICIPANTES'!$I$6:$I$45,"Sí",'02_PARTICIPANTES'!$J$6:$J$45,"Sí",'02_PARTICIPANTES'!$K$6:$K$45,"Sí")&gt;0,"Sí",""))</x:f>
      </x:c>
      <x:c r="O39" t="str">
        <x:f>IF(OR(C39="",D39=""),"",IF(COUNTIFS('07_MATRIZ_PERMISOS'!$A$5:$A$50,C39,'07_MATRIZ_PERMISOS'!$B$5:$B$50,D39,'07_MATRIZ_PERMISOS'!$C$5:$C$50,"Sí")&gt;0,"Sí","No"))</x:f>
      </x:c>
      <x:c r="P39" t="str">
        <x:f>IF(AND(N39="Sí",O39="Sí",E39="Sí",F39="Sí",G39="Sí",OR(H39="Correcto",H39="Incorrecto"),L39&lt;&gt;""),"Sí","")</x:f>
      </x:c>
      <x:c r="Q39" t="str">
        <x:f>IF(AND(G39="Sí",P39&lt;&gt;"Sí"),"Revisar elegibilidad, rol, permisos, tarea, evidencia y resultado","")</x:f>
      </x:c>
    </x:row>
    <x:row r="40" ht="27" customHeight="1">
      <x:c r="A40" s="18"/>
      <x:c r="B40" s="18"/>
      <x:c r="C40" s="32"/>
      <x:c r="D40" s="32" t="str">
        <x:f>IF(B40="","",IFERROR(INDEX('02_PARTICIPANTES'!$B$6:$B$45,MATCH(B40,'02_PARTICIPANTES'!$A$6:$A$45,0)),""))</x:f>
      </x:c>
      <x:c r="E40" s="18"/>
      <x:c r="F40" s="18"/>
      <x:c r="G40" s="18"/>
      <x:c r="H40" s="18"/>
      <x:c r="I40" s="18"/>
      <x:c r="J40" s="18"/>
      <x:c r="K40" s="32"/>
      <x:c r="L40" s="32"/>
      <x:c r="M40" s="18"/>
      <x:c r="N40" t="str">
        <x:f>IF(B40="","",IF(COUNTIFS('02_PARTICIPANTES'!$A$6:$A$45,B40,'02_PARTICIPANTES'!$D$6:$D$45,"Sí",'02_PARTICIPANTES'!$E$6:$E$45,"&lt;&gt;",'02_PARTICIPANTES'!$I$6:$I$45,"Sí",'02_PARTICIPANTES'!$J$6:$J$45,"Sí",'02_PARTICIPANTES'!$K$6:$K$45,"Sí")&gt;0,"Sí",""))</x:f>
      </x:c>
      <x:c r="O40" t="str">
        <x:f>IF(OR(C40="",D40=""),"",IF(COUNTIFS('07_MATRIZ_PERMISOS'!$A$5:$A$50,C40,'07_MATRIZ_PERMISOS'!$B$5:$B$50,D40,'07_MATRIZ_PERMISOS'!$C$5:$C$50,"Sí")&gt;0,"Sí","No"))</x:f>
      </x:c>
      <x:c r="P40" t="str">
        <x:f>IF(AND(N40="Sí",O40="Sí",E40="Sí",F40="Sí",G40="Sí",OR(H40="Correcto",H40="Incorrecto"),L40&lt;&gt;""),"Sí","")</x:f>
      </x:c>
      <x:c r="Q40" t="str">
        <x:f>IF(AND(G40="Sí",P40&lt;&gt;"Sí"),"Revisar elegibilidad, rol, permisos, tarea, evidencia y resultado","")</x:f>
      </x:c>
    </x:row>
    <x:row r="41" ht="27" customHeight="1">
      <x:c r="A41" s="18"/>
      <x:c r="B41" s="18"/>
      <x:c r="C41" s="32"/>
      <x:c r="D41" s="32" t="str">
        <x:f>IF(B41="","",IFERROR(INDEX('02_PARTICIPANTES'!$B$6:$B$45,MATCH(B41,'02_PARTICIPANTES'!$A$6:$A$45,0)),""))</x:f>
      </x:c>
      <x:c r="E41" s="18"/>
      <x:c r="F41" s="18"/>
      <x:c r="G41" s="18"/>
      <x:c r="H41" s="18"/>
      <x:c r="I41" s="18"/>
      <x:c r="J41" s="18"/>
      <x:c r="K41" s="32"/>
      <x:c r="L41" s="32"/>
      <x:c r="M41" s="18"/>
      <x:c r="N41" t="str">
        <x:f>IF(B41="","",IF(COUNTIFS('02_PARTICIPANTES'!$A$6:$A$45,B41,'02_PARTICIPANTES'!$D$6:$D$45,"Sí",'02_PARTICIPANTES'!$E$6:$E$45,"&lt;&gt;",'02_PARTICIPANTES'!$I$6:$I$45,"Sí",'02_PARTICIPANTES'!$J$6:$J$45,"Sí",'02_PARTICIPANTES'!$K$6:$K$45,"Sí")&gt;0,"Sí",""))</x:f>
      </x:c>
      <x:c r="O41" t="str">
        <x:f>IF(OR(C41="",D41=""),"",IF(COUNTIFS('07_MATRIZ_PERMISOS'!$A$5:$A$50,C41,'07_MATRIZ_PERMISOS'!$B$5:$B$50,D41,'07_MATRIZ_PERMISOS'!$C$5:$C$50,"Sí")&gt;0,"Sí","No"))</x:f>
      </x:c>
      <x:c r="P41" t="str">
        <x:f>IF(AND(N41="Sí",O41="Sí",E41="Sí",F41="Sí",G41="Sí",OR(H41="Correcto",H41="Incorrecto"),L41&lt;&gt;""),"Sí","")</x:f>
      </x:c>
      <x:c r="Q41" t="str">
        <x:f>IF(AND(G41="Sí",P41&lt;&gt;"Sí"),"Revisar elegibilidad, rol, permisos, tarea, evidencia y resultado","")</x:f>
      </x:c>
    </x:row>
    <x:row r="42" ht="27" customHeight="1">
      <x:c r="A42" s="18"/>
      <x:c r="B42" s="18"/>
      <x:c r="C42" s="32"/>
      <x:c r="D42" s="32" t="str">
        <x:f>IF(B42="","",IFERROR(INDEX('02_PARTICIPANTES'!$B$6:$B$45,MATCH(B42,'02_PARTICIPANTES'!$A$6:$A$45,0)),""))</x:f>
      </x:c>
      <x:c r="E42" s="18"/>
      <x:c r="F42" s="18"/>
      <x:c r="G42" s="18"/>
      <x:c r="H42" s="18"/>
      <x:c r="I42" s="18"/>
      <x:c r="J42" s="18"/>
      <x:c r="K42" s="32"/>
      <x:c r="L42" s="32"/>
      <x:c r="M42" s="18"/>
      <x:c r="N42" t="str">
        <x:f>IF(B42="","",IF(COUNTIFS('02_PARTICIPANTES'!$A$6:$A$45,B42,'02_PARTICIPANTES'!$D$6:$D$45,"Sí",'02_PARTICIPANTES'!$E$6:$E$45,"&lt;&gt;",'02_PARTICIPANTES'!$I$6:$I$45,"Sí",'02_PARTICIPANTES'!$J$6:$J$45,"Sí",'02_PARTICIPANTES'!$K$6:$K$45,"Sí")&gt;0,"Sí",""))</x:f>
      </x:c>
      <x:c r="O42" t="str">
        <x:f>IF(OR(C42="",D42=""),"",IF(COUNTIFS('07_MATRIZ_PERMISOS'!$A$5:$A$50,C42,'07_MATRIZ_PERMISOS'!$B$5:$B$50,D42,'07_MATRIZ_PERMISOS'!$C$5:$C$50,"Sí")&gt;0,"Sí","No"))</x:f>
      </x:c>
      <x:c r="P42" t="str">
        <x:f>IF(AND(N42="Sí",O42="Sí",E42="Sí",F42="Sí",G42="Sí",OR(H42="Correcto",H42="Incorrecto"),L42&lt;&gt;""),"Sí","")</x:f>
      </x:c>
      <x:c r="Q42" t="str">
        <x:f>IF(AND(G42="Sí",P42&lt;&gt;"Sí"),"Revisar elegibilidad, rol, permisos, tarea, evidencia y resultado","")</x:f>
      </x:c>
    </x:row>
    <x:row r="43" ht="27" customHeight="1">
      <x:c r="A43" s="18"/>
      <x:c r="B43" s="18"/>
      <x:c r="C43" s="32"/>
      <x:c r="D43" s="32" t="str">
        <x:f>IF(B43="","",IFERROR(INDEX('02_PARTICIPANTES'!$B$6:$B$45,MATCH(B43,'02_PARTICIPANTES'!$A$6:$A$45,0)),""))</x:f>
      </x:c>
      <x:c r="E43" s="18"/>
      <x:c r="F43" s="18"/>
      <x:c r="G43" s="18"/>
      <x:c r="H43" s="18"/>
      <x:c r="I43" s="18"/>
      <x:c r="J43" s="18"/>
      <x:c r="K43" s="32"/>
      <x:c r="L43" s="32"/>
      <x:c r="M43" s="18"/>
      <x:c r="N43" t="str">
        <x:f>IF(B43="","",IF(COUNTIFS('02_PARTICIPANTES'!$A$6:$A$45,B43,'02_PARTICIPANTES'!$D$6:$D$45,"Sí",'02_PARTICIPANTES'!$E$6:$E$45,"&lt;&gt;",'02_PARTICIPANTES'!$I$6:$I$45,"Sí",'02_PARTICIPANTES'!$J$6:$J$45,"Sí",'02_PARTICIPANTES'!$K$6:$K$45,"Sí")&gt;0,"Sí",""))</x:f>
      </x:c>
      <x:c r="O43" t="str">
        <x:f>IF(OR(C43="",D43=""),"",IF(COUNTIFS('07_MATRIZ_PERMISOS'!$A$5:$A$50,C43,'07_MATRIZ_PERMISOS'!$B$5:$B$50,D43,'07_MATRIZ_PERMISOS'!$C$5:$C$50,"Sí")&gt;0,"Sí","No"))</x:f>
      </x:c>
      <x:c r="P43" t="str">
        <x:f>IF(AND(N43="Sí",O43="Sí",E43="Sí",F43="Sí",G43="Sí",OR(H43="Correcto",H43="Incorrecto"),L43&lt;&gt;""),"Sí","")</x:f>
      </x:c>
      <x:c r="Q43" t="str">
        <x:f>IF(AND(G43="Sí",P43&lt;&gt;"Sí"),"Revisar elegibilidad, rol, permisos, tarea, evidencia y resultado","")</x:f>
      </x:c>
    </x:row>
    <x:row r="44" ht="27" customHeight="1">
      <x:c r="A44" s="18"/>
      <x:c r="B44" s="18"/>
      <x:c r="C44" s="32"/>
      <x:c r="D44" s="32" t="str">
        <x:f>IF(B44="","",IFERROR(INDEX('02_PARTICIPANTES'!$B$6:$B$45,MATCH(B44,'02_PARTICIPANTES'!$A$6:$A$45,0)),""))</x:f>
      </x:c>
      <x:c r="E44" s="18"/>
      <x:c r="F44" s="18"/>
      <x:c r="G44" s="18"/>
      <x:c r="H44" s="18"/>
      <x:c r="I44" s="18"/>
      <x:c r="J44" s="18"/>
      <x:c r="K44" s="32"/>
      <x:c r="L44" s="32"/>
      <x:c r="M44" s="18"/>
      <x:c r="N44" t="str">
        <x:f>IF(B44="","",IF(COUNTIFS('02_PARTICIPANTES'!$A$6:$A$45,B44,'02_PARTICIPANTES'!$D$6:$D$45,"Sí",'02_PARTICIPANTES'!$E$6:$E$45,"&lt;&gt;",'02_PARTICIPANTES'!$I$6:$I$45,"Sí",'02_PARTICIPANTES'!$J$6:$J$45,"Sí",'02_PARTICIPANTES'!$K$6:$K$45,"Sí")&gt;0,"Sí",""))</x:f>
      </x:c>
      <x:c r="O44" t="str">
        <x:f>IF(OR(C44="",D44=""),"",IF(COUNTIFS('07_MATRIZ_PERMISOS'!$A$5:$A$50,C44,'07_MATRIZ_PERMISOS'!$B$5:$B$50,D44,'07_MATRIZ_PERMISOS'!$C$5:$C$50,"Sí")&gt;0,"Sí","No"))</x:f>
      </x:c>
      <x:c r="P44" t="str">
        <x:f>IF(AND(N44="Sí",O44="Sí",E44="Sí",F44="Sí",G44="Sí",OR(H44="Correcto",H44="Incorrecto"),L44&lt;&gt;""),"Sí","")</x:f>
      </x:c>
      <x:c r="Q44" t="str">
        <x:f>IF(AND(G44="Sí",P44&lt;&gt;"Sí"),"Revisar elegibilidad, rol, permisos, tarea, evidencia y resultado","")</x:f>
      </x:c>
    </x:row>
    <x:row r="45" ht="27" customHeight="1">
      <x:c r="A45" s="18"/>
      <x:c r="B45" s="18"/>
      <x:c r="C45" s="32"/>
      <x:c r="D45" s="32" t="str">
        <x:f>IF(B45="","",IFERROR(INDEX('02_PARTICIPANTES'!$B$6:$B$45,MATCH(B45,'02_PARTICIPANTES'!$A$6:$A$45,0)),""))</x:f>
      </x:c>
      <x:c r="E45" s="18"/>
      <x:c r="F45" s="18"/>
      <x:c r="G45" s="18"/>
      <x:c r="H45" s="18"/>
      <x:c r="I45" s="18"/>
      <x:c r="J45" s="18"/>
      <x:c r="K45" s="32"/>
      <x:c r="L45" s="32"/>
      <x:c r="M45" s="18"/>
      <x:c r="N45" t="str">
        <x:f>IF(B45="","",IF(COUNTIFS('02_PARTICIPANTES'!$A$6:$A$45,B45,'02_PARTICIPANTES'!$D$6:$D$45,"Sí",'02_PARTICIPANTES'!$E$6:$E$45,"&lt;&gt;",'02_PARTICIPANTES'!$I$6:$I$45,"Sí",'02_PARTICIPANTES'!$J$6:$J$45,"Sí",'02_PARTICIPANTES'!$K$6:$K$45,"Sí")&gt;0,"Sí",""))</x:f>
      </x:c>
      <x:c r="O45" t="str">
        <x:f>IF(OR(C45="",D45=""),"",IF(COUNTIFS('07_MATRIZ_PERMISOS'!$A$5:$A$50,C45,'07_MATRIZ_PERMISOS'!$B$5:$B$50,D45,'07_MATRIZ_PERMISOS'!$C$5:$C$50,"Sí")&gt;0,"Sí","No"))</x:f>
      </x:c>
      <x:c r="P45" t="str">
        <x:f>IF(AND(N45="Sí",O45="Sí",E45="Sí",F45="Sí",G45="Sí",OR(H45="Correcto",H45="Incorrecto"),L45&lt;&gt;""),"Sí","")</x:f>
      </x:c>
      <x:c r="Q45" t="str">
        <x:f>IF(AND(G45="Sí",P45&lt;&gt;"Sí"),"Revisar elegibilidad, rol, permisos, tarea, evidencia y resultado","")</x:f>
      </x:c>
    </x:row>
    <x:row r="46" ht="27" customHeight="1">
      <x:c r="A46" s="18"/>
      <x:c r="B46" s="18"/>
      <x:c r="C46" s="32"/>
      <x:c r="D46" s="32" t="str">
        <x:f>IF(B46="","",IFERROR(INDEX('02_PARTICIPANTES'!$B$6:$B$45,MATCH(B46,'02_PARTICIPANTES'!$A$6:$A$45,0)),""))</x:f>
      </x:c>
      <x:c r="E46" s="18"/>
      <x:c r="F46" s="18"/>
      <x:c r="G46" s="18"/>
      <x:c r="H46" s="18"/>
      <x:c r="I46" s="18"/>
      <x:c r="J46" s="18"/>
      <x:c r="K46" s="32"/>
      <x:c r="L46" s="32"/>
      <x:c r="M46" s="18"/>
      <x:c r="N46" t="str">
        <x:f>IF(B46="","",IF(COUNTIFS('02_PARTICIPANTES'!$A$6:$A$45,B46,'02_PARTICIPANTES'!$D$6:$D$45,"Sí",'02_PARTICIPANTES'!$E$6:$E$45,"&lt;&gt;",'02_PARTICIPANTES'!$I$6:$I$45,"Sí",'02_PARTICIPANTES'!$J$6:$J$45,"Sí",'02_PARTICIPANTES'!$K$6:$K$45,"Sí")&gt;0,"Sí",""))</x:f>
      </x:c>
      <x:c r="O46" t="str">
        <x:f>IF(OR(C46="",D46=""),"",IF(COUNTIFS('07_MATRIZ_PERMISOS'!$A$5:$A$50,C46,'07_MATRIZ_PERMISOS'!$B$5:$B$50,D46,'07_MATRIZ_PERMISOS'!$C$5:$C$50,"Sí")&gt;0,"Sí","No"))</x:f>
      </x:c>
      <x:c r="P46" t="str">
        <x:f>IF(AND(N46="Sí",O46="Sí",E46="Sí",F46="Sí",G46="Sí",OR(H46="Correcto",H46="Incorrecto"),L46&lt;&gt;""),"Sí","")</x:f>
      </x:c>
      <x:c r="Q46" t="str">
        <x:f>IF(AND(G46="Sí",P46&lt;&gt;"Sí"),"Revisar elegibilidad, rol, permisos, tarea, evidencia y resultado","")</x:f>
      </x:c>
    </x:row>
    <x:row r="47" ht="27" customHeight="1">
      <x:c r="A47" s="18"/>
      <x:c r="B47" s="18"/>
      <x:c r="C47" s="32"/>
      <x:c r="D47" s="32" t="str">
        <x:f>IF(B47="","",IFERROR(INDEX('02_PARTICIPANTES'!$B$6:$B$45,MATCH(B47,'02_PARTICIPANTES'!$A$6:$A$45,0)),""))</x:f>
      </x:c>
      <x:c r="E47" s="18"/>
      <x:c r="F47" s="18"/>
      <x:c r="G47" s="18"/>
      <x:c r="H47" s="18"/>
      <x:c r="I47" s="18"/>
      <x:c r="J47" s="18"/>
      <x:c r="K47" s="32"/>
      <x:c r="L47" s="32"/>
      <x:c r="M47" s="18"/>
      <x:c r="N47" t="str">
        <x:f>IF(B47="","",IF(COUNTIFS('02_PARTICIPANTES'!$A$6:$A$45,B47,'02_PARTICIPANTES'!$D$6:$D$45,"Sí",'02_PARTICIPANTES'!$E$6:$E$45,"&lt;&gt;",'02_PARTICIPANTES'!$I$6:$I$45,"Sí",'02_PARTICIPANTES'!$J$6:$J$45,"Sí",'02_PARTICIPANTES'!$K$6:$K$45,"Sí")&gt;0,"Sí",""))</x:f>
      </x:c>
      <x:c r="O47" t="str">
        <x:f>IF(OR(C47="",D47=""),"",IF(COUNTIFS('07_MATRIZ_PERMISOS'!$A$5:$A$50,C47,'07_MATRIZ_PERMISOS'!$B$5:$B$50,D47,'07_MATRIZ_PERMISOS'!$C$5:$C$50,"Sí")&gt;0,"Sí","No"))</x:f>
      </x:c>
      <x:c r="P47" t="str">
        <x:f>IF(AND(N47="Sí",O47="Sí",E47="Sí",F47="Sí",G47="Sí",OR(H47="Correcto",H47="Incorrecto"),L47&lt;&gt;""),"Sí","")</x:f>
      </x:c>
      <x:c r="Q47" t="str">
        <x:f>IF(AND(G47="Sí",P47&lt;&gt;"Sí"),"Revisar elegibilidad, rol, permisos, tarea, evidencia y resultado","")</x:f>
      </x:c>
    </x:row>
    <x:row r="48" ht="27" customHeight="1">
      <x:c r="A48" s="18"/>
      <x:c r="B48" s="18"/>
      <x:c r="C48" s="32"/>
      <x:c r="D48" s="32" t="str">
        <x:f>IF(B48="","",IFERROR(INDEX('02_PARTICIPANTES'!$B$6:$B$45,MATCH(B48,'02_PARTICIPANTES'!$A$6:$A$45,0)),""))</x:f>
      </x:c>
      <x:c r="E48" s="18"/>
      <x:c r="F48" s="18"/>
      <x:c r="G48" s="18"/>
      <x:c r="H48" s="18"/>
      <x:c r="I48" s="18"/>
      <x:c r="J48" s="18"/>
      <x:c r="K48" s="32"/>
      <x:c r="L48" s="32"/>
      <x:c r="M48" s="18"/>
      <x:c r="N48" t="str">
        <x:f>IF(B48="","",IF(COUNTIFS('02_PARTICIPANTES'!$A$6:$A$45,B48,'02_PARTICIPANTES'!$D$6:$D$45,"Sí",'02_PARTICIPANTES'!$E$6:$E$45,"&lt;&gt;",'02_PARTICIPANTES'!$I$6:$I$45,"Sí",'02_PARTICIPANTES'!$J$6:$J$45,"Sí",'02_PARTICIPANTES'!$K$6:$K$45,"Sí")&gt;0,"Sí",""))</x:f>
      </x:c>
      <x:c r="O48" t="str">
        <x:f>IF(OR(C48="",D48=""),"",IF(COUNTIFS('07_MATRIZ_PERMISOS'!$A$5:$A$50,C48,'07_MATRIZ_PERMISOS'!$B$5:$B$50,D48,'07_MATRIZ_PERMISOS'!$C$5:$C$50,"Sí")&gt;0,"Sí","No"))</x:f>
      </x:c>
      <x:c r="P48" t="str">
        <x:f>IF(AND(N48="Sí",O48="Sí",E48="Sí",F48="Sí",G48="Sí",OR(H48="Correcto",H48="Incorrecto"),L48&lt;&gt;""),"Sí","")</x:f>
      </x:c>
      <x:c r="Q48" t="str">
        <x:f>IF(AND(G48="Sí",P48&lt;&gt;"Sí"),"Revisar elegibilidad, rol, permisos, tarea, evidencia y resultado","")</x:f>
      </x:c>
    </x:row>
    <x:row r="49" ht="27" customHeight="1">
      <x:c r="A49" s="18"/>
      <x:c r="B49" s="18"/>
      <x:c r="C49" s="32"/>
      <x:c r="D49" s="32" t="str">
        <x:f>IF(B49="","",IFERROR(INDEX('02_PARTICIPANTES'!$B$6:$B$45,MATCH(B49,'02_PARTICIPANTES'!$A$6:$A$45,0)),""))</x:f>
      </x:c>
      <x:c r="E49" s="18"/>
      <x:c r="F49" s="18"/>
      <x:c r="G49" s="18"/>
      <x:c r="H49" s="18"/>
      <x:c r="I49" s="18"/>
      <x:c r="J49" s="18"/>
      <x:c r="K49" s="32"/>
      <x:c r="L49" s="32"/>
      <x:c r="M49" s="18"/>
      <x:c r="N49" t="str">
        <x:f>IF(B49="","",IF(COUNTIFS('02_PARTICIPANTES'!$A$6:$A$45,B49,'02_PARTICIPANTES'!$D$6:$D$45,"Sí",'02_PARTICIPANTES'!$E$6:$E$45,"&lt;&gt;",'02_PARTICIPANTES'!$I$6:$I$45,"Sí",'02_PARTICIPANTES'!$J$6:$J$45,"Sí",'02_PARTICIPANTES'!$K$6:$K$45,"Sí")&gt;0,"Sí",""))</x:f>
      </x:c>
      <x:c r="O49" t="str">
        <x:f>IF(OR(C49="",D49=""),"",IF(COUNTIFS('07_MATRIZ_PERMISOS'!$A$5:$A$50,C49,'07_MATRIZ_PERMISOS'!$B$5:$B$50,D49,'07_MATRIZ_PERMISOS'!$C$5:$C$50,"Sí")&gt;0,"Sí","No"))</x:f>
      </x:c>
      <x:c r="P49" t="str">
        <x:f>IF(AND(N49="Sí",O49="Sí",E49="Sí",F49="Sí",G49="Sí",OR(H49="Correcto",H49="Incorrecto"),L49&lt;&gt;""),"Sí","")</x:f>
      </x:c>
      <x:c r="Q49" t="str">
        <x:f>IF(AND(G49="Sí",P49&lt;&gt;"Sí"),"Revisar elegibilidad, rol, permisos, tarea, evidencia y resultado","")</x:f>
      </x:c>
    </x:row>
    <x:row r="50" ht="27" customHeight="1">
      <x:c r="A50" s="18"/>
      <x:c r="B50" s="18"/>
      <x:c r="C50" s="32"/>
      <x:c r="D50" s="32" t="str">
        <x:f>IF(B50="","",IFERROR(INDEX('02_PARTICIPANTES'!$B$6:$B$45,MATCH(B50,'02_PARTICIPANTES'!$A$6:$A$45,0)),""))</x:f>
      </x:c>
      <x:c r="E50" s="18"/>
      <x:c r="F50" s="18"/>
      <x:c r="G50" s="18"/>
      <x:c r="H50" s="18"/>
      <x:c r="I50" s="18"/>
      <x:c r="J50" s="18"/>
      <x:c r="K50" s="32"/>
      <x:c r="L50" s="32"/>
      <x:c r="M50" s="18"/>
      <x:c r="N50" t="str">
        <x:f>IF(B50="","",IF(COUNTIFS('02_PARTICIPANTES'!$A$6:$A$45,B50,'02_PARTICIPANTES'!$D$6:$D$45,"Sí",'02_PARTICIPANTES'!$E$6:$E$45,"&lt;&gt;",'02_PARTICIPANTES'!$I$6:$I$45,"Sí",'02_PARTICIPANTES'!$J$6:$J$45,"Sí",'02_PARTICIPANTES'!$K$6:$K$45,"Sí")&gt;0,"Sí",""))</x:f>
      </x:c>
      <x:c r="O50" t="str">
        <x:f>IF(OR(C50="",D50=""),"",IF(COUNTIFS('07_MATRIZ_PERMISOS'!$A$5:$A$50,C50,'07_MATRIZ_PERMISOS'!$B$5:$B$50,D50,'07_MATRIZ_PERMISOS'!$C$5:$C$50,"Sí")&gt;0,"Sí","No"))</x:f>
      </x:c>
      <x:c r="P50" t="str">
        <x:f>IF(AND(N50="Sí",O50="Sí",E50="Sí",F50="Sí",G50="Sí",OR(H50="Correcto",H50="Incorrecto"),L50&lt;&gt;""),"Sí","")</x:f>
      </x:c>
      <x:c r="Q50" t="str">
        <x:f>IF(AND(G50="Sí",P50&lt;&gt;"Sí"),"Revisar elegibilidad, rol, permisos, tarea, evidencia y resultado","")</x:f>
      </x:c>
    </x:row>
    <x:row r="51" ht="27" customHeight="1">
      <x:c r="A51" s="18"/>
      <x:c r="B51" s="18"/>
      <x:c r="C51" s="32"/>
      <x:c r="D51" s="32" t="str">
        <x:f>IF(B51="","",IFERROR(INDEX('02_PARTICIPANTES'!$B$6:$B$45,MATCH(B51,'02_PARTICIPANTES'!$A$6:$A$45,0)),""))</x:f>
      </x:c>
      <x:c r="E51" s="18"/>
      <x:c r="F51" s="18"/>
      <x:c r="G51" s="18"/>
      <x:c r="H51" s="18"/>
      <x:c r="I51" s="18"/>
      <x:c r="J51" s="18"/>
      <x:c r="K51" s="32"/>
      <x:c r="L51" s="32"/>
      <x:c r="M51" s="18"/>
      <x:c r="N51" t="str">
        <x:f>IF(B51="","",IF(COUNTIFS('02_PARTICIPANTES'!$A$6:$A$45,B51,'02_PARTICIPANTES'!$D$6:$D$45,"Sí",'02_PARTICIPANTES'!$E$6:$E$45,"&lt;&gt;",'02_PARTICIPANTES'!$I$6:$I$45,"Sí",'02_PARTICIPANTES'!$J$6:$J$45,"Sí",'02_PARTICIPANTES'!$K$6:$K$45,"Sí")&gt;0,"Sí",""))</x:f>
      </x:c>
      <x:c r="O51" t="str">
        <x:f>IF(OR(C51="",D51=""),"",IF(COUNTIFS('07_MATRIZ_PERMISOS'!$A$5:$A$50,C51,'07_MATRIZ_PERMISOS'!$B$5:$B$50,D51,'07_MATRIZ_PERMISOS'!$C$5:$C$50,"Sí")&gt;0,"Sí","No"))</x:f>
      </x:c>
      <x:c r="P51" t="str">
        <x:f>IF(AND(N51="Sí",O51="Sí",E51="Sí",F51="Sí",G51="Sí",OR(H51="Correcto",H51="Incorrecto"),L51&lt;&gt;""),"Sí","")</x:f>
      </x:c>
      <x:c r="Q51" t="str">
        <x:f>IF(AND(G51="Sí",P51&lt;&gt;"Sí"),"Revisar elegibilidad, rol, permisos, tarea, evidencia y resultado","")</x:f>
      </x:c>
    </x:row>
    <x:row r="52" ht="27" customHeight="1">
      <x:c r="A52" s="18"/>
      <x:c r="B52" s="18"/>
      <x:c r="C52" s="32"/>
      <x:c r="D52" s="32" t="str">
        <x:f>IF(B52="","",IFERROR(INDEX('02_PARTICIPANTES'!$B$6:$B$45,MATCH(B52,'02_PARTICIPANTES'!$A$6:$A$45,0)),""))</x:f>
      </x:c>
      <x:c r="E52" s="18"/>
      <x:c r="F52" s="18"/>
      <x:c r="G52" s="18"/>
      <x:c r="H52" s="18"/>
      <x:c r="I52" s="18"/>
      <x:c r="J52" s="18"/>
      <x:c r="K52" s="32"/>
      <x:c r="L52" s="32"/>
      <x:c r="M52" s="18"/>
      <x:c r="N52" t="str">
        <x:f>IF(B52="","",IF(COUNTIFS('02_PARTICIPANTES'!$A$6:$A$45,B52,'02_PARTICIPANTES'!$D$6:$D$45,"Sí",'02_PARTICIPANTES'!$E$6:$E$45,"&lt;&gt;",'02_PARTICIPANTES'!$I$6:$I$45,"Sí",'02_PARTICIPANTES'!$J$6:$J$45,"Sí",'02_PARTICIPANTES'!$K$6:$K$45,"Sí")&gt;0,"Sí",""))</x:f>
      </x:c>
      <x:c r="O52" t="str">
        <x:f>IF(OR(C52="",D52=""),"",IF(COUNTIFS('07_MATRIZ_PERMISOS'!$A$5:$A$50,C52,'07_MATRIZ_PERMISOS'!$B$5:$B$50,D52,'07_MATRIZ_PERMISOS'!$C$5:$C$50,"Sí")&gt;0,"Sí","No"))</x:f>
      </x:c>
      <x:c r="P52" t="str">
        <x:f>IF(AND(N52="Sí",O52="Sí",E52="Sí",F52="Sí",G52="Sí",OR(H52="Correcto",H52="Incorrecto"),L52&lt;&gt;""),"Sí","")</x:f>
      </x:c>
      <x:c r="Q52" t="str">
        <x:f>IF(AND(G52="Sí",P52&lt;&gt;"Sí"),"Revisar elegibilidad, rol, permisos, tarea, evidencia y resultado","")</x:f>
      </x:c>
    </x:row>
    <x:row r="53" ht="27" customHeight="1">
      <x:c r="A53" s="18"/>
      <x:c r="B53" s="18"/>
      <x:c r="C53" s="32"/>
      <x:c r="D53" s="32" t="str">
        <x:f>IF(B53="","",IFERROR(INDEX('02_PARTICIPANTES'!$B$6:$B$45,MATCH(B53,'02_PARTICIPANTES'!$A$6:$A$45,0)),""))</x:f>
      </x:c>
      <x:c r="E53" s="18"/>
      <x:c r="F53" s="18"/>
      <x:c r="G53" s="18"/>
      <x:c r="H53" s="18"/>
      <x:c r="I53" s="18"/>
      <x:c r="J53" s="18"/>
      <x:c r="K53" s="32"/>
      <x:c r="L53" s="32"/>
      <x:c r="M53" s="18"/>
      <x:c r="N53" t="str">
        <x:f>IF(B53="","",IF(COUNTIFS('02_PARTICIPANTES'!$A$6:$A$45,B53,'02_PARTICIPANTES'!$D$6:$D$45,"Sí",'02_PARTICIPANTES'!$E$6:$E$45,"&lt;&gt;",'02_PARTICIPANTES'!$I$6:$I$45,"Sí",'02_PARTICIPANTES'!$J$6:$J$45,"Sí",'02_PARTICIPANTES'!$K$6:$K$45,"Sí")&gt;0,"Sí",""))</x:f>
      </x:c>
      <x:c r="O53" t="str">
        <x:f>IF(OR(C53="",D53=""),"",IF(COUNTIFS('07_MATRIZ_PERMISOS'!$A$5:$A$50,C53,'07_MATRIZ_PERMISOS'!$B$5:$B$50,D53,'07_MATRIZ_PERMISOS'!$C$5:$C$50,"Sí")&gt;0,"Sí","No"))</x:f>
      </x:c>
      <x:c r="P53" t="str">
        <x:f>IF(AND(N53="Sí",O53="Sí",E53="Sí",F53="Sí",G53="Sí",OR(H53="Correcto",H53="Incorrecto"),L53&lt;&gt;""),"Sí","")</x:f>
      </x:c>
      <x:c r="Q53" t="str">
        <x:f>IF(AND(G53="Sí",P53&lt;&gt;"Sí"),"Revisar elegibilidad, rol, permisos, tarea, evidencia y resultado","")</x:f>
      </x:c>
    </x:row>
    <x:row r="54" ht="27" customHeight="1">
      <x:c r="A54" s="18"/>
      <x:c r="B54" s="18"/>
      <x:c r="C54" s="32"/>
      <x:c r="D54" s="32" t="str">
        <x:f>IF(B54="","",IFERROR(INDEX('02_PARTICIPANTES'!$B$6:$B$45,MATCH(B54,'02_PARTICIPANTES'!$A$6:$A$45,0)),""))</x:f>
      </x:c>
      <x:c r="E54" s="18"/>
      <x:c r="F54" s="18"/>
      <x:c r="G54" s="18"/>
      <x:c r="H54" s="18"/>
      <x:c r="I54" s="18"/>
      <x:c r="J54" s="18"/>
      <x:c r="K54" s="32"/>
      <x:c r="L54" s="32"/>
      <x:c r="M54" s="18"/>
      <x:c r="N54" t="str">
        <x:f>IF(B54="","",IF(COUNTIFS('02_PARTICIPANTES'!$A$6:$A$45,B54,'02_PARTICIPANTES'!$D$6:$D$45,"Sí",'02_PARTICIPANTES'!$E$6:$E$45,"&lt;&gt;",'02_PARTICIPANTES'!$I$6:$I$45,"Sí",'02_PARTICIPANTES'!$J$6:$J$45,"Sí",'02_PARTICIPANTES'!$K$6:$K$45,"Sí")&gt;0,"Sí",""))</x:f>
      </x:c>
      <x:c r="O54" t="str">
        <x:f>IF(OR(C54="",D54=""),"",IF(COUNTIFS('07_MATRIZ_PERMISOS'!$A$5:$A$50,C54,'07_MATRIZ_PERMISOS'!$B$5:$B$50,D54,'07_MATRIZ_PERMISOS'!$C$5:$C$50,"Sí")&gt;0,"Sí","No"))</x:f>
      </x:c>
      <x:c r="P54" t="str">
        <x:f>IF(AND(N54="Sí",O54="Sí",E54="Sí",F54="Sí",G54="Sí",OR(H54="Correcto",H54="Incorrecto"),L54&lt;&gt;""),"Sí","")</x:f>
      </x:c>
      <x:c r="Q54" t="str">
        <x:f>IF(AND(G54="Sí",P54&lt;&gt;"Sí"),"Revisar elegibilidad, rol, permisos, tarea, evidencia y resultado","")</x:f>
      </x:c>
    </x:row>
    <x:row r="55" ht="27" customHeight="1">
      <x:c r="A55" s="18"/>
      <x:c r="B55" s="18"/>
      <x:c r="C55" s="32"/>
      <x:c r="D55" s="32" t="str">
        <x:f>IF(B55="","",IFERROR(INDEX('02_PARTICIPANTES'!$B$6:$B$45,MATCH(B55,'02_PARTICIPANTES'!$A$6:$A$45,0)),""))</x:f>
      </x:c>
      <x:c r="E55" s="18"/>
      <x:c r="F55" s="18"/>
      <x:c r="G55" s="18"/>
      <x:c r="H55" s="18"/>
      <x:c r="I55" s="18"/>
      <x:c r="J55" s="18"/>
      <x:c r="K55" s="32"/>
      <x:c r="L55" s="32"/>
      <x:c r="M55" s="18"/>
      <x:c r="N55" t="str">
        <x:f>IF(B55="","",IF(COUNTIFS('02_PARTICIPANTES'!$A$6:$A$45,B55,'02_PARTICIPANTES'!$D$6:$D$45,"Sí",'02_PARTICIPANTES'!$E$6:$E$45,"&lt;&gt;",'02_PARTICIPANTES'!$I$6:$I$45,"Sí",'02_PARTICIPANTES'!$J$6:$J$45,"Sí",'02_PARTICIPANTES'!$K$6:$K$45,"Sí")&gt;0,"Sí",""))</x:f>
      </x:c>
      <x:c r="O55" t="str">
        <x:f>IF(OR(C55="",D55=""),"",IF(COUNTIFS('07_MATRIZ_PERMISOS'!$A$5:$A$50,C55,'07_MATRIZ_PERMISOS'!$B$5:$B$50,D55,'07_MATRIZ_PERMISOS'!$C$5:$C$50,"Sí")&gt;0,"Sí","No"))</x:f>
      </x:c>
      <x:c r="P55" t="str">
        <x:f>IF(AND(N55="Sí",O55="Sí",E55="Sí",F55="Sí",G55="Sí",OR(H55="Correcto",H55="Incorrecto"),L55&lt;&gt;""),"Sí","")</x:f>
      </x:c>
      <x:c r="Q55" t="str">
        <x:f>IF(AND(G55="Sí",P55&lt;&gt;"Sí"),"Revisar elegibilidad, rol, permisos, tarea, evidencia y resultado","")</x:f>
      </x:c>
    </x:row>
    <x:row r="56" ht="27" customHeight="1">
      <x:c r="A56" s="18"/>
      <x:c r="B56" s="18"/>
      <x:c r="C56" s="32"/>
      <x:c r="D56" s="32" t="str">
        <x:f>IF(B56="","",IFERROR(INDEX('02_PARTICIPANTES'!$B$6:$B$45,MATCH(B56,'02_PARTICIPANTES'!$A$6:$A$45,0)),""))</x:f>
      </x:c>
      <x:c r="E56" s="18"/>
      <x:c r="F56" s="18"/>
      <x:c r="G56" s="18"/>
      <x:c r="H56" s="18"/>
      <x:c r="I56" s="18"/>
      <x:c r="J56" s="18"/>
      <x:c r="K56" s="32"/>
      <x:c r="L56" s="32"/>
      <x:c r="M56" s="18"/>
      <x:c r="N56" t="str">
        <x:f>IF(B56="","",IF(COUNTIFS('02_PARTICIPANTES'!$A$6:$A$45,B56,'02_PARTICIPANTES'!$D$6:$D$45,"Sí",'02_PARTICIPANTES'!$E$6:$E$45,"&lt;&gt;",'02_PARTICIPANTES'!$I$6:$I$45,"Sí",'02_PARTICIPANTES'!$J$6:$J$45,"Sí",'02_PARTICIPANTES'!$K$6:$K$45,"Sí")&gt;0,"Sí",""))</x:f>
      </x:c>
      <x:c r="O56" t="str">
        <x:f>IF(OR(C56="",D56=""),"",IF(COUNTIFS('07_MATRIZ_PERMISOS'!$A$5:$A$50,C56,'07_MATRIZ_PERMISOS'!$B$5:$B$50,D56,'07_MATRIZ_PERMISOS'!$C$5:$C$50,"Sí")&gt;0,"Sí","No"))</x:f>
      </x:c>
      <x:c r="P56" t="str">
        <x:f>IF(AND(N56="Sí",O56="Sí",E56="Sí",F56="Sí",G56="Sí",OR(H56="Correcto",H56="Incorrecto"),L56&lt;&gt;""),"Sí","")</x:f>
      </x:c>
      <x:c r="Q56" t="str">
        <x:f>IF(AND(G56="Sí",P56&lt;&gt;"Sí"),"Revisar elegibilidad, rol, permisos, tarea, evidencia y resultado","")</x:f>
      </x:c>
    </x:row>
    <x:row r="57" ht="27" customHeight="1">
      <x:c r="A57" s="18"/>
      <x:c r="B57" s="18"/>
      <x:c r="C57" s="32"/>
      <x:c r="D57" s="32" t="str">
        <x:f>IF(B57="","",IFERROR(INDEX('02_PARTICIPANTES'!$B$6:$B$45,MATCH(B57,'02_PARTICIPANTES'!$A$6:$A$45,0)),""))</x:f>
      </x:c>
      <x:c r="E57" s="18"/>
      <x:c r="F57" s="18"/>
      <x:c r="G57" s="18"/>
      <x:c r="H57" s="18"/>
      <x:c r="I57" s="18"/>
      <x:c r="J57" s="18"/>
      <x:c r="K57" s="32"/>
      <x:c r="L57" s="32"/>
      <x:c r="M57" s="18"/>
      <x:c r="N57" t="str">
        <x:f>IF(B57="","",IF(COUNTIFS('02_PARTICIPANTES'!$A$6:$A$45,B57,'02_PARTICIPANTES'!$D$6:$D$45,"Sí",'02_PARTICIPANTES'!$E$6:$E$45,"&lt;&gt;",'02_PARTICIPANTES'!$I$6:$I$45,"Sí",'02_PARTICIPANTES'!$J$6:$J$45,"Sí",'02_PARTICIPANTES'!$K$6:$K$45,"Sí")&gt;0,"Sí",""))</x:f>
      </x:c>
      <x:c r="O57" t="str">
        <x:f>IF(OR(C57="",D57=""),"",IF(COUNTIFS('07_MATRIZ_PERMISOS'!$A$5:$A$50,C57,'07_MATRIZ_PERMISOS'!$B$5:$B$50,D57,'07_MATRIZ_PERMISOS'!$C$5:$C$50,"Sí")&gt;0,"Sí","No"))</x:f>
      </x:c>
      <x:c r="P57" t="str">
        <x:f>IF(AND(N57="Sí",O57="Sí",E57="Sí",F57="Sí",G57="Sí",OR(H57="Correcto",H57="Incorrecto"),L57&lt;&gt;""),"Sí","")</x:f>
      </x:c>
      <x:c r="Q57" t="str">
        <x:f>IF(AND(G57="Sí",P57&lt;&gt;"Sí"),"Revisar elegibilidad, rol, permisos, tarea, evidencia y resultado","")</x:f>
      </x:c>
    </x:row>
    <x:row r="58" ht="27" customHeight="1">
      <x:c r="A58" s="18"/>
      <x:c r="B58" s="18"/>
      <x:c r="C58" s="32"/>
      <x:c r="D58" s="32" t="str">
        <x:f>IF(B58="","",IFERROR(INDEX('02_PARTICIPANTES'!$B$6:$B$45,MATCH(B58,'02_PARTICIPANTES'!$A$6:$A$45,0)),""))</x:f>
      </x:c>
      <x:c r="E58" s="18"/>
      <x:c r="F58" s="18"/>
      <x:c r="G58" s="18"/>
      <x:c r="H58" s="18"/>
      <x:c r="I58" s="18"/>
      <x:c r="J58" s="18"/>
      <x:c r="K58" s="32"/>
      <x:c r="L58" s="32"/>
      <x:c r="M58" s="18"/>
      <x:c r="N58" t="str">
        <x:f>IF(B58="","",IF(COUNTIFS('02_PARTICIPANTES'!$A$6:$A$45,B58,'02_PARTICIPANTES'!$D$6:$D$45,"Sí",'02_PARTICIPANTES'!$E$6:$E$45,"&lt;&gt;",'02_PARTICIPANTES'!$I$6:$I$45,"Sí",'02_PARTICIPANTES'!$J$6:$J$45,"Sí",'02_PARTICIPANTES'!$K$6:$K$45,"Sí")&gt;0,"Sí",""))</x:f>
      </x:c>
      <x:c r="O58" t="str">
        <x:f>IF(OR(C58="",D58=""),"",IF(COUNTIFS('07_MATRIZ_PERMISOS'!$A$5:$A$50,C58,'07_MATRIZ_PERMISOS'!$B$5:$B$50,D58,'07_MATRIZ_PERMISOS'!$C$5:$C$50,"Sí")&gt;0,"Sí","No"))</x:f>
      </x:c>
      <x:c r="P58" t="str">
        <x:f>IF(AND(N58="Sí",O58="Sí",E58="Sí",F58="Sí",G58="Sí",OR(H58="Correcto",H58="Incorrecto"),L58&lt;&gt;""),"Sí","")</x:f>
      </x:c>
      <x:c r="Q58" t="str">
        <x:f>IF(AND(G58="Sí",P58&lt;&gt;"Sí"),"Revisar elegibilidad, rol, permisos, tarea, evidencia y resultado","")</x:f>
      </x:c>
    </x:row>
    <x:row r="59" ht="27" customHeight="1">
      <x:c r="A59" s="18"/>
      <x:c r="B59" s="18"/>
      <x:c r="C59" s="32"/>
      <x:c r="D59" s="32" t="str">
        <x:f>IF(B59="","",IFERROR(INDEX('02_PARTICIPANTES'!$B$6:$B$45,MATCH(B59,'02_PARTICIPANTES'!$A$6:$A$45,0)),""))</x:f>
      </x:c>
      <x:c r="E59" s="18"/>
      <x:c r="F59" s="18"/>
      <x:c r="G59" s="18"/>
      <x:c r="H59" s="18"/>
      <x:c r="I59" s="18"/>
      <x:c r="J59" s="18"/>
      <x:c r="K59" s="32"/>
      <x:c r="L59" s="32"/>
      <x:c r="M59" s="18"/>
      <x:c r="N59" t="str">
        <x:f>IF(B59="","",IF(COUNTIFS('02_PARTICIPANTES'!$A$6:$A$45,B59,'02_PARTICIPANTES'!$D$6:$D$45,"Sí",'02_PARTICIPANTES'!$E$6:$E$45,"&lt;&gt;",'02_PARTICIPANTES'!$I$6:$I$45,"Sí",'02_PARTICIPANTES'!$J$6:$J$45,"Sí",'02_PARTICIPANTES'!$K$6:$K$45,"Sí")&gt;0,"Sí",""))</x:f>
      </x:c>
      <x:c r="O59" t="str">
        <x:f>IF(OR(C59="",D59=""),"",IF(COUNTIFS('07_MATRIZ_PERMISOS'!$A$5:$A$50,C59,'07_MATRIZ_PERMISOS'!$B$5:$B$50,D59,'07_MATRIZ_PERMISOS'!$C$5:$C$50,"Sí")&gt;0,"Sí","No"))</x:f>
      </x:c>
      <x:c r="P59" t="str">
        <x:f>IF(AND(N59="Sí",O59="Sí",E59="Sí",F59="Sí",G59="Sí",OR(H59="Correcto",H59="Incorrecto"),L59&lt;&gt;""),"Sí","")</x:f>
      </x:c>
      <x:c r="Q59" t="str">
        <x:f>IF(AND(G59="Sí",P59&lt;&gt;"Sí"),"Revisar elegibilidad, rol, permisos, tarea, evidencia y resultado","")</x:f>
      </x:c>
    </x:row>
    <x:row r="60" ht="27" customHeight="1">
      <x:c r="A60" s="18"/>
      <x:c r="B60" s="18"/>
      <x:c r="C60" s="32"/>
      <x:c r="D60" s="32" t="str">
        <x:f>IF(B60="","",IFERROR(INDEX('02_PARTICIPANTES'!$B$6:$B$45,MATCH(B60,'02_PARTICIPANTES'!$A$6:$A$45,0)),""))</x:f>
      </x:c>
      <x:c r="E60" s="18"/>
      <x:c r="F60" s="18"/>
      <x:c r="G60" s="18"/>
      <x:c r="H60" s="18"/>
      <x:c r="I60" s="18"/>
      <x:c r="J60" s="18"/>
      <x:c r="K60" s="32"/>
      <x:c r="L60" s="32"/>
      <x:c r="M60" s="18"/>
      <x:c r="N60" t="str">
        <x:f>IF(B60="","",IF(COUNTIFS('02_PARTICIPANTES'!$A$6:$A$45,B60,'02_PARTICIPANTES'!$D$6:$D$45,"Sí",'02_PARTICIPANTES'!$E$6:$E$45,"&lt;&gt;",'02_PARTICIPANTES'!$I$6:$I$45,"Sí",'02_PARTICIPANTES'!$J$6:$J$45,"Sí",'02_PARTICIPANTES'!$K$6:$K$45,"Sí")&gt;0,"Sí",""))</x:f>
      </x:c>
      <x:c r="O60" t="str">
        <x:f>IF(OR(C60="",D60=""),"",IF(COUNTIFS('07_MATRIZ_PERMISOS'!$A$5:$A$50,C60,'07_MATRIZ_PERMISOS'!$B$5:$B$50,D60,'07_MATRIZ_PERMISOS'!$C$5:$C$50,"Sí")&gt;0,"Sí","No"))</x:f>
      </x:c>
      <x:c r="P60" t="str">
        <x:f>IF(AND(N60="Sí",O60="Sí",E60="Sí",F60="Sí",G60="Sí",OR(H60="Correcto",H60="Incorrecto"),L60&lt;&gt;""),"Sí","")</x:f>
      </x:c>
      <x:c r="Q60" t="str">
        <x:f>IF(AND(G60="Sí",P60&lt;&gt;"Sí"),"Revisar elegibilidad, rol, permisos, tarea, evidencia y resultado","")</x:f>
      </x:c>
    </x:row>
    <x:row r="61" ht="27" customHeight="1">
      <x:c r="A61" s="18"/>
      <x:c r="B61" s="18"/>
      <x:c r="C61" s="32"/>
      <x:c r="D61" s="32" t="str">
        <x:f>IF(B61="","",IFERROR(INDEX('02_PARTICIPANTES'!$B$6:$B$45,MATCH(B61,'02_PARTICIPANTES'!$A$6:$A$45,0)),""))</x:f>
      </x:c>
      <x:c r="E61" s="18"/>
      <x:c r="F61" s="18"/>
      <x:c r="G61" s="18"/>
      <x:c r="H61" s="18"/>
      <x:c r="I61" s="18"/>
      <x:c r="J61" s="18"/>
      <x:c r="K61" s="32"/>
      <x:c r="L61" s="32"/>
      <x:c r="M61" s="18"/>
      <x:c r="N61" t="str">
        <x:f>IF(B61="","",IF(COUNTIFS('02_PARTICIPANTES'!$A$6:$A$45,B61,'02_PARTICIPANTES'!$D$6:$D$45,"Sí",'02_PARTICIPANTES'!$E$6:$E$45,"&lt;&gt;",'02_PARTICIPANTES'!$I$6:$I$45,"Sí",'02_PARTICIPANTES'!$J$6:$J$45,"Sí",'02_PARTICIPANTES'!$K$6:$K$45,"Sí")&gt;0,"Sí",""))</x:f>
      </x:c>
      <x:c r="O61" t="str">
        <x:f>IF(OR(C61="",D61=""),"",IF(COUNTIFS('07_MATRIZ_PERMISOS'!$A$5:$A$50,C61,'07_MATRIZ_PERMISOS'!$B$5:$B$50,D61,'07_MATRIZ_PERMISOS'!$C$5:$C$50,"Sí")&gt;0,"Sí","No"))</x:f>
      </x:c>
      <x:c r="P61" t="str">
        <x:f>IF(AND(N61="Sí",O61="Sí",E61="Sí",F61="Sí",G61="Sí",OR(H61="Correcto",H61="Incorrecto"),L61&lt;&gt;""),"Sí","")</x:f>
      </x:c>
      <x:c r="Q61" t="str">
        <x:f>IF(AND(G61="Sí",P61&lt;&gt;"Sí"),"Revisar elegibilidad, rol, permisos, tarea, evidencia y resultado","")</x:f>
      </x:c>
    </x:row>
    <x:row r="62" ht="27" customHeight="1">
      <x:c r="A62" s="18"/>
      <x:c r="B62" s="18"/>
      <x:c r="C62" s="32"/>
      <x:c r="D62" s="32" t="str">
        <x:f>IF(B62="","",IFERROR(INDEX('02_PARTICIPANTES'!$B$6:$B$45,MATCH(B62,'02_PARTICIPANTES'!$A$6:$A$45,0)),""))</x:f>
      </x:c>
      <x:c r="E62" s="18"/>
      <x:c r="F62" s="18"/>
      <x:c r="G62" s="18"/>
      <x:c r="H62" s="18"/>
      <x:c r="I62" s="18"/>
      <x:c r="J62" s="18"/>
      <x:c r="K62" s="32"/>
      <x:c r="L62" s="32"/>
      <x:c r="M62" s="18"/>
      <x:c r="N62" t="str">
        <x:f>IF(B62="","",IF(COUNTIFS('02_PARTICIPANTES'!$A$6:$A$45,B62,'02_PARTICIPANTES'!$D$6:$D$45,"Sí",'02_PARTICIPANTES'!$E$6:$E$45,"&lt;&gt;",'02_PARTICIPANTES'!$I$6:$I$45,"Sí",'02_PARTICIPANTES'!$J$6:$J$45,"Sí",'02_PARTICIPANTES'!$K$6:$K$45,"Sí")&gt;0,"Sí",""))</x:f>
      </x:c>
      <x:c r="O62" t="str">
        <x:f>IF(OR(C62="",D62=""),"",IF(COUNTIFS('07_MATRIZ_PERMISOS'!$A$5:$A$50,C62,'07_MATRIZ_PERMISOS'!$B$5:$B$50,D62,'07_MATRIZ_PERMISOS'!$C$5:$C$50,"Sí")&gt;0,"Sí","No"))</x:f>
      </x:c>
      <x:c r="P62" t="str">
        <x:f>IF(AND(N62="Sí",O62="Sí",E62="Sí",F62="Sí",G62="Sí",OR(H62="Correcto",H62="Incorrecto"),L62&lt;&gt;""),"Sí","")</x:f>
      </x:c>
      <x:c r="Q62" t="str">
        <x:f>IF(AND(G62="Sí",P62&lt;&gt;"Sí"),"Revisar elegibilidad, rol, permisos, tarea, evidencia y resultado","")</x:f>
      </x:c>
    </x:row>
    <x:row r="63" ht="27" customHeight="1">
      <x:c r="A63" s="18"/>
      <x:c r="B63" s="18"/>
      <x:c r="C63" s="32"/>
      <x:c r="D63" s="32" t="str">
        <x:f>IF(B63="","",IFERROR(INDEX('02_PARTICIPANTES'!$B$6:$B$45,MATCH(B63,'02_PARTICIPANTES'!$A$6:$A$45,0)),""))</x:f>
      </x:c>
      <x:c r="E63" s="18"/>
      <x:c r="F63" s="18"/>
      <x:c r="G63" s="18"/>
      <x:c r="H63" s="18"/>
      <x:c r="I63" s="18"/>
      <x:c r="J63" s="18"/>
      <x:c r="K63" s="32"/>
      <x:c r="L63" s="32"/>
      <x:c r="M63" s="18"/>
      <x:c r="N63" t="str">
        <x:f>IF(B63="","",IF(COUNTIFS('02_PARTICIPANTES'!$A$6:$A$45,B63,'02_PARTICIPANTES'!$D$6:$D$45,"Sí",'02_PARTICIPANTES'!$E$6:$E$45,"&lt;&gt;",'02_PARTICIPANTES'!$I$6:$I$45,"Sí",'02_PARTICIPANTES'!$J$6:$J$45,"Sí",'02_PARTICIPANTES'!$K$6:$K$45,"Sí")&gt;0,"Sí",""))</x:f>
      </x:c>
      <x:c r="O63" t="str">
        <x:f>IF(OR(C63="",D63=""),"",IF(COUNTIFS('07_MATRIZ_PERMISOS'!$A$5:$A$50,C63,'07_MATRIZ_PERMISOS'!$B$5:$B$50,D63,'07_MATRIZ_PERMISOS'!$C$5:$C$50,"Sí")&gt;0,"Sí","No"))</x:f>
      </x:c>
      <x:c r="P63" t="str">
        <x:f>IF(AND(N63="Sí",O63="Sí",E63="Sí",F63="Sí",G63="Sí",OR(H63="Correcto",H63="Incorrecto"),L63&lt;&gt;""),"Sí","")</x:f>
      </x:c>
      <x:c r="Q63" t="str">
        <x:f>IF(AND(G63="Sí",P63&lt;&gt;"Sí"),"Revisar elegibilidad, rol, permisos, tarea, evidencia y resultado","")</x:f>
      </x:c>
    </x:row>
    <x:row r="64" ht="27" customHeight="1">
      <x:c r="A64" s="18"/>
      <x:c r="B64" s="18"/>
      <x:c r="C64" s="32"/>
      <x:c r="D64" s="32" t="str">
        <x:f>IF(B64="","",IFERROR(INDEX('02_PARTICIPANTES'!$B$6:$B$45,MATCH(B64,'02_PARTICIPANTES'!$A$6:$A$45,0)),""))</x:f>
      </x:c>
      <x:c r="E64" s="18"/>
      <x:c r="F64" s="18"/>
      <x:c r="G64" s="18"/>
      <x:c r="H64" s="18"/>
      <x:c r="I64" s="18"/>
      <x:c r="J64" s="18"/>
      <x:c r="K64" s="32"/>
      <x:c r="L64" s="32"/>
      <x:c r="M64" s="18"/>
      <x:c r="N64" t="str">
        <x:f>IF(B64="","",IF(COUNTIFS('02_PARTICIPANTES'!$A$6:$A$45,B64,'02_PARTICIPANTES'!$D$6:$D$45,"Sí",'02_PARTICIPANTES'!$E$6:$E$45,"&lt;&gt;",'02_PARTICIPANTES'!$I$6:$I$45,"Sí",'02_PARTICIPANTES'!$J$6:$J$45,"Sí",'02_PARTICIPANTES'!$K$6:$K$45,"Sí")&gt;0,"Sí",""))</x:f>
      </x:c>
      <x:c r="O64" t="str">
        <x:f>IF(OR(C64="",D64=""),"",IF(COUNTIFS('07_MATRIZ_PERMISOS'!$A$5:$A$50,C64,'07_MATRIZ_PERMISOS'!$B$5:$B$50,D64,'07_MATRIZ_PERMISOS'!$C$5:$C$50,"Sí")&gt;0,"Sí","No"))</x:f>
      </x:c>
      <x:c r="P64" t="str">
        <x:f>IF(AND(N64="Sí",O64="Sí",E64="Sí",F64="Sí",G64="Sí",OR(H64="Correcto",H64="Incorrecto"),L64&lt;&gt;""),"Sí","")</x:f>
      </x:c>
      <x:c r="Q64" t="str">
        <x:f>IF(AND(G64="Sí",P64&lt;&gt;"Sí"),"Revisar elegibilidad, rol, permisos, tarea, evidencia y resultado","")</x:f>
      </x:c>
    </x:row>
    <x:row r="65" ht="27" customHeight="1">
      <x:c r="A65" s="18"/>
      <x:c r="B65" s="18"/>
      <x:c r="C65" s="32"/>
      <x:c r="D65" s="32" t="str">
        <x:f>IF(B65="","",IFERROR(INDEX('02_PARTICIPANTES'!$B$6:$B$45,MATCH(B65,'02_PARTICIPANTES'!$A$6:$A$45,0)),""))</x:f>
      </x:c>
      <x:c r="E65" s="18"/>
      <x:c r="F65" s="18"/>
      <x:c r="G65" s="18"/>
      <x:c r="H65" s="18"/>
      <x:c r="I65" s="18"/>
      <x:c r="J65" s="18"/>
      <x:c r="K65" s="32"/>
      <x:c r="L65" s="32"/>
      <x:c r="M65" s="18"/>
      <x:c r="N65" t="str">
        <x:f>IF(B65="","",IF(COUNTIFS('02_PARTICIPANTES'!$A$6:$A$45,B65,'02_PARTICIPANTES'!$D$6:$D$45,"Sí",'02_PARTICIPANTES'!$E$6:$E$45,"&lt;&gt;",'02_PARTICIPANTES'!$I$6:$I$45,"Sí",'02_PARTICIPANTES'!$J$6:$J$45,"Sí",'02_PARTICIPANTES'!$K$6:$K$45,"Sí")&gt;0,"Sí",""))</x:f>
      </x:c>
      <x:c r="O65" t="str">
        <x:f>IF(OR(C65="",D65=""),"",IF(COUNTIFS('07_MATRIZ_PERMISOS'!$A$5:$A$50,C65,'07_MATRIZ_PERMISOS'!$B$5:$B$50,D65,'07_MATRIZ_PERMISOS'!$C$5:$C$50,"Sí")&gt;0,"Sí","No"))</x:f>
      </x:c>
      <x:c r="P65" t="str">
        <x:f>IF(AND(N65="Sí",O65="Sí",E65="Sí",F65="Sí",G65="Sí",OR(H65="Correcto",H65="Incorrecto"),L65&lt;&gt;""),"Sí","")</x:f>
      </x:c>
      <x:c r="Q65" t="str">
        <x:f>IF(AND(G65="Sí",P65&lt;&gt;"Sí"),"Revisar elegibilidad, rol, permisos, tarea, evidencia y resultado","")</x:f>
      </x:c>
    </x:row>
    <x:row r="66" ht="27" customHeight="1">
      <x:c r="A66" s="18"/>
      <x:c r="B66" s="18"/>
      <x:c r="C66" s="32"/>
      <x:c r="D66" s="32" t="str">
        <x:f>IF(B66="","",IFERROR(INDEX('02_PARTICIPANTES'!$B$6:$B$45,MATCH(B66,'02_PARTICIPANTES'!$A$6:$A$45,0)),""))</x:f>
      </x:c>
      <x:c r="E66" s="18"/>
      <x:c r="F66" s="18"/>
      <x:c r="G66" s="18"/>
      <x:c r="H66" s="18"/>
      <x:c r="I66" s="18"/>
      <x:c r="J66" s="18"/>
      <x:c r="K66" s="32"/>
      <x:c r="L66" s="32"/>
      <x:c r="M66" s="18"/>
      <x:c r="N66" t="str">
        <x:f>IF(B66="","",IF(COUNTIFS('02_PARTICIPANTES'!$A$6:$A$45,B66,'02_PARTICIPANTES'!$D$6:$D$45,"Sí",'02_PARTICIPANTES'!$E$6:$E$45,"&lt;&gt;",'02_PARTICIPANTES'!$I$6:$I$45,"Sí",'02_PARTICIPANTES'!$J$6:$J$45,"Sí",'02_PARTICIPANTES'!$K$6:$K$45,"Sí")&gt;0,"Sí",""))</x:f>
      </x:c>
      <x:c r="O66" t="str">
        <x:f>IF(OR(C66="",D66=""),"",IF(COUNTIFS('07_MATRIZ_PERMISOS'!$A$5:$A$50,C66,'07_MATRIZ_PERMISOS'!$B$5:$B$50,D66,'07_MATRIZ_PERMISOS'!$C$5:$C$50,"Sí")&gt;0,"Sí","No"))</x:f>
      </x:c>
      <x:c r="P66" t="str">
        <x:f>IF(AND(N66="Sí",O66="Sí",E66="Sí",F66="Sí",G66="Sí",OR(H66="Correcto",H66="Incorrecto"),L66&lt;&gt;""),"Sí","")</x:f>
      </x:c>
      <x:c r="Q66" t="str">
        <x:f>IF(AND(G66="Sí",P66&lt;&gt;"Sí"),"Revisar elegibilidad, rol, permisos, tarea, evidencia y resultado","")</x:f>
      </x:c>
    </x:row>
    <x:row r="67" ht="27" customHeight="1">
      <x:c r="A67" s="18"/>
      <x:c r="B67" s="18"/>
      <x:c r="C67" s="32"/>
      <x:c r="D67" s="32" t="str">
        <x:f>IF(B67="","",IFERROR(INDEX('02_PARTICIPANTES'!$B$6:$B$45,MATCH(B67,'02_PARTICIPANTES'!$A$6:$A$45,0)),""))</x:f>
      </x:c>
      <x:c r="E67" s="18"/>
      <x:c r="F67" s="18"/>
      <x:c r="G67" s="18"/>
      <x:c r="H67" s="18"/>
      <x:c r="I67" s="18"/>
      <x:c r="J67" s="18"/>
      <x:c r="K67" s="32"/>
      <x:c r="L67" s="32"/>
      <x:c r="M67" s="18"/>
      <x:c r="N67" t="str">
        <x:f>IF(B67="","",IF(COUNTIFS('02_PARTICIPANTES'!$A$6:$A$45,B67,'02_PARTICIPANTES'!$D$6:$D$45,"Sí",'02_PARTICIPANTES'!$E$6:$E$45,"&lt;&gt;",'02_PARTICIPANTES'!$I$6:$I$45,"Sí",'02_PARTICIPANTES'!$J$6:$J$45,"Sí",'02_PARTICIPANTES'!$K$6:$K$45,"Sí")&gt;0,"Sí",""))</x:f>
      </x:c>
      <x:c r="O67" t="str">
        <x:f>IF(OR(C67="",D67=""),"",IF(COUNTIFS('07_MATRIZ_PERMISOS'!$A$5:$A$50,C67,'07_MATRIZ_PERMISOS'!$B$5:$B$50,D67,'07_MATRIZ_PERMISOS'!$C$5:$C$50,"Sí")&gt;0,"Sí","No"))</x:f>
      </x:c>
      <x:c r="P67" t="str">
        <x:f>IF(AND(N67="Sí",O67="Sí",E67="Sí",F67="Sí",G67="Sí",OR(H67="Correcto",H67="Incorrecto"),L67&lt;&gt;""),"Sí","")</x:f>
      </x:c>
      <x:c r="Q67" t="str">
        <x:f>IF(AND(G67="Sí",P67&lt;&gt;"Sí"),"Revisar elegibilidad, rol, permisos, tarea, evidencia y resultado","")</x:f>
      </x:c>
    </x:row>
    <x:row r="68" ht="27" customHeight="1">
      <x:c r="A68" s="18"/>
      <x:c r="B68" s="18"/>
      <x:c r="C68" s="32"/>
      <x:c r="D68" s="32" t="str">
        <x:f>IF(B68="","",IFERROR(INDEX('02_PARTICIPANTES'!$B$6:$B$45,MATCH(B68,'02_PARTICIPANTES'!$A$6:$A$45,0)),""))</x:f>
      </x:c>
      <x:c r="E68" s="18"/>
      <x:c r="F68" s="18"/>
      <x:c r="G68" s="18"/>
      <x:c r="H68" s="18"/>
      <x:c r="I68" s="18"/>
      <x:c r="J68" s="18"/>
      <x:c r="K68" s="32"/>
      <x:c r="L68" s="32"/>
      <x:c r="M68" s="18"/>
      <x:c r="N68" t="str">
        <x:f>IF(B68="","",IF(COUNTIFS('02_PARTICIPANTES'!$A$6:$A$45,B68,'02_PARTICIPANTES'!$D$6:$D$45,"Sí",'02_PARTICIPANTES'!$E$6:$E$45,"&lt;&gt;",'02_PARTICIPANTES'!$I$6:$I$45,"Sí",'02_PARTICIPANTES'!$J$6:$J$45,"Sí",'02_PARTICIPANTES'!$K$6:$K$45,"Sí")&gt;0,"Sí",""))</x:f>
      </x:c>
      <x:c r="O68" t="str">
        <x:f>IF(OR(C68="",D68=""),"",IF(COUNTIFS('07_MATRIZ_PERMISOS'!$A$5:$A$50,C68,'07_MATRIZ_PERMISOS'!$B$5:$B$50,D68,'07_MATRIZ_PERMISOS'!$C$5:$C$50,"Sí")&gt;0,"Sí","No"))</x:f>
      </x:c>
      <x:c r="P68" t="str">
        <x:f>IF(AND(N68="Sí",O68="Sí",E68="Sí",F68="Sí",G68="Sí",OR(H68="Correcto",H68="Incorrecto"),L68&lt;&gt;""),"Sí","")</x:f>
      </x:c>
      <x:c r="Q68" t="str">
        <x:f>IF(AND(G68="Sí",P68&lt;&gt;"Sí"),"Revisar elegibilidad, rol, permisos, tarea, evidencia y resultado","")</x:f>
      </x:c>
    </x:row>
    <x:row r="69" ht="27" customHeight="1">
      <x:c r="A69" s="18"/>
      <x:c r="B69" s="18"/>
      <x:c r="C69" s="32"/>
      <x:c r="D69" s="32" t="str">
        <x:f>IF(B69="","",IFERROR(INDEX('02_PARTICIPANTES'!$B$6:$B$45,MATCH(B69,'02_PARTICIPANTES'!$A$6:$A$45,0)),""))</x:f>
      </x:c>
      <x:c r="E69" s="18"/>
      <x:c r="F69" s="18"/>
      <x:c r="G69" s="18"/>
      <x:c r="H69" s="18"/>
      <x:c r="I69" s="18"/>
      <x:c r="J69" s="18"/>
      <x:c r="K69" s="32"/>
      <x:c r="L69" s="32"/>
      <x:c r="M69" s="18"/>
      <x:c r="N69" t="str">
        <x:f>IF(B69="","",IF(COUNTIFS('02_PARTICIPANTES'!$A$6:$A$45,B69,'02_PARTICIPANTES'!$D$6:$D$45,"Sí",'02_PARTICIPANTES'!$E$6:$E$45,"&lt;&gt;",'02_PARTICIPANTES'!$I$6:$I$45,"Sí",'02_PARTICIPANTES'!$J$6:$J$45,"Sí",'02_PARTICIPANTES'!$K$6:$K$45,"Sí")&gt;0,"Sí",""))</x:f>
      </x:c>
      <x:c r="O69" t="str">
        <x:f>IF(OR(C69="",D69=""),"",IF(COUNTIFS('07_MATRIZ_PERMISOS'!$A$5:$A$50,C69,'07_MATRIZ_PERMISOS'!$B$5:$B$50,D69,'07_MATRIZ_PERMISOS'!$C$5:$C$50,"Sí")&gt;0,"Sí","No"))</x:f>
      </x:c>
      <x:c r="P69" t="str">
        <x:f>IF(AND(N69="Sí",O69="Sí",E69="Sí",F69="Sí",G69="Sí",OR(H69="Correcto",H69="Incorrecto"),L69&lt;&gt;""),"Sí","")</x:f>
      </x:c>
      <x:c r="Q69" t="str">
        <x:f>IF(AND(G69="Sí",P69&lt;&gt;"Sí"),"Revisar elegibilidad, rol, permisos, tarea, evidencia y resultado","")</x:f>
      </x:c>
    </x:row>
    <x:row r="70" ht="27" customHeight="1">
      <x:c r="A70" s="18"/>
      <x:c r="B70" s="18"/>
      <x:c r="C70" s="32"/>
      <x:c r="D70" s="32" t="str">
        <x:f>IF(B70="","",IFERROR(INDEX('02_PARTICIPANTES'!$B$6:$B$45,MATCH(B70,'02_PARTICIPANTES'!$A$6:$A$45,0)),""))</x:f>
      </x:c>
      <x:c r="E70" s="18"/>
      <x:c r="F70" s="18"/>
      <x:c r="G70" s="18"/>
      <x:c r="H70" s="18"/>
      <x:c r="I70" s="18"/>
      <x:c r="J70" s="18"/>
      <x:c r="K70" s="32"/>
      <x:c r="L70" s="32"/>
      <x:c r="M70" s="18"/>
      <x:c r="N70" t="str">
        <x:f>IF(B70="","",IF(COUNTIFS('02_PARTICIPANTES'!$A$6:$A$45,B70,'02_PARTICIPANTES'!$D$6:$D$45,"Sí",'02_PARTICIPANTES'!$E$6:$E$45,"&lt;&gt;",'02_PARTICIPANTES'!$I$6:$I$45,"Sí",'02_PARTICIPANTES'!$J$6:$J$45,"Sí",'02_PARTICIPANTES'!$K$6:$K$45,"Sí")&gt;0,"Sí",""))</x:f>
      </x:c>
      <x:c r="O70" t="str">
        <x:f>IF(OR(C70="",D70=""),"",IF(COUNTIFS('07_MATRIZ_PERMISOS'!$A$5:$A$50,C70,'07_MATRIZ_PERMISOS'!$B$5:$B$50,D70,'07_MATRIZ_PERMISOS'!$C$5:$C$50,"Sí")&gt;0,"Sí","No"))</x:f>
      </x:c>
      <x:c r="P70" t="str">
        <x:f>IF(AND(N70="Sí",O70="Sí",E70="Sí",F70="Sí",G70="Sí",OR(H70="Correcto",H70="Incorrecto"),L70&lt;&gt;""),"Sí","")</x:f>
      </x:c>
      <x:c r="Q70" t="str">
        <x:f>IF(AND(G70="Sí",P70&lt;&gt;"Sí"),"Revisar elegibilidad, rol, permisos, tarea, evidencia y resultado","")</x:f>
      </x:c>
    </x:row>
    <x:row r="71" ht="27" customHeight="1">
      <x:c r="A71" s="18"/>
      <x:c r="B71" s="18"/>
      <x:c r="C71" s="32"/>
      <x:c r="D71" s="32" t="str">
        <x:f>IF(B71="","",IFERROR(INDEX('02_PARTICIPANTES'!$B$6:$B$45,MATCH(B71,'02_PARTICIPANTES'!$A$6:$A$45,0)),""))</x:f>
      </x:c>
      <x:c r="E71" s="18"/>
      <x:c r="F71" s="18"/>
      <x:c r="G71" s="18"/>
      <x:c r="H71" s="18"/>
      <x:c r="I71" s="18"/>
      <x:c r="J71" s="18"/>
      <x:c r="K71" s="32"/>
      <x:c r="L71" s="32"/>
      <x:c r="M71" s="18"/>
      <x:c r="N71" t="str">
        <x:f>IF(B71="","",IF(COUNTIFS('02_PARTICIPANTES'!$A$6:$A$45,B71,'02_PARTICIPANTES'!$D$6:$D$45,"Sí",'02_PARTICIPANTES'!$E$6:$E$45,"&lt;&gt;",'02_PARTICIPANTES'!$I$6:$I$45,"Sí",'02_PARTICIPANTES'!$J$6:$J$45,"Sí",'02_PARTICIPANTES'!$K$6:$K$45,"Sí")&gt;0,"Sí",""))</x:f>
      </x:c>
      <x:c r="O71" t="str">
        <x:f>IF(OR(C71="",D71=""),"",IF(COUNTIFS('07_MATRIZ_PERMISOS'!$A$5:$A$50,C71,'07_MATRIZ_PERMISOS'!$B$5:$B$50,D71,'07_MATRIZ_PERMISOS'!$C$5:$C$50,"Sí")&gt;0,"Sí","No"))</x:f>
      </x:c>
      <x:c r="P71" t="str">
        <x:f>IF(AND(N71="Sí",O71="Sí",E71="Sí",F71="Sí",G71="Sí",OR(H71="Correcto",H71="Incorrecto"),L71&lt;&gt;""),"Sí","")</x:f>
      </x:c>
      <x:c r="Q71" t="str">
        <x:f>IF(AND(G71="Sí",P71&lt;&gt;"Sí"),"Revisar elegibilidad, rol, permisos, tarea, evidencia y resultado","")</x:f>
      </x:c>
    </x:row>
    <x:row r="72" ht="27" customHeight="1">
      <x:c r="A72" s="18"/>
      <x:c r="B72" s="18"/>
      <x:c r="C72" s="32"/>
      <x:c r="D72" s="32" t="str">
        <x:f>IF(B72="","",IFERROR(INDEX('02_PARTICIPANTES'!$B$6:$B$45,MATCH(B72,'02_PARTICIPANTES'!$A$6:$A$45,0)),""))</x:f>
      </x:c>
      <x:c r="E72" s="18"/>
      <x:c r="F72" s="18"/>
      <x:c r="G72" s="18"/>
      <x:c r="H72" s="18"/>
      <x:c r="I72" s="18"/>
      <x:c r="J72" s="18"/>
      <x:c r="K72" s="32"/>
      <x:c r="L72" s="32"/>
      <x:c r="M72" s="18"/>
      <x:c r="N72" t="str">
        <x:f>IF(B72="","",IF(COUNTIFS('02_PARTICIPANTES'!$A$6:$A$45,B72,'02_PARTICIPANTES'!$D$6:$D$45,"Sí",'02_PARTICIPANTES'!$E$6:$E$45,"&lt;&gt;",'02_PARTICIPANTES'!$I$6:$I$45,"Sí",'02_PARTICIPANTES'!$J$6:$J$45,"Sí",'02_PARTICIPANTES'!$K$6:$K$45,"Sí")&gt;0,"Sí",""))</x:f>
      </x:c>
      <x:c r="O72" t="str">
        <x:f>IF(OR(C72="",D72=""),"",IF(COUNTIFS('07_MATRIZ_PERMISOS'!$A$5:$A$50,C72,'07_MATRIZ_PERMISOS'!$B$5:$B$50,D72,'07_MATRIZ_PERMISOS'!$C$5:$C$50,"Sí")&gt;0,"Sí","No"))</x:f>
      </x:c>
      <x:c r="P72" t="str">
        <x:f>IF(AND(N72="Sí",O72="Sí",E72="Sí",F72="Sí",G72="Sí",OR(H72="Correcto",H72="Incorrecto"),L72&lt;&gt;""),"Sí","")</x:f>
      </x:c>
      <x:c r="Q72" t="str">
        <x:f>IF(AND(G72="Sí",P72&lt;&gt;"Sí"),"Revisar elegibilidad, rol, permisos, tarea, evidencia y resultado","")</x:f>
      </x:c>
    </x:row>
    <x:row r="73" ht="27" customHeight="1">
      <x:c r="A73" s="18"/>
      <x:c r="B73" s="18"/>
      <x:c r="C73" s="32"/>
      <x:c r="D73" s="32" t="str">
        <x:f>IF(B73="","",IFERROR(INDEX('02_PARTICIPANTES'!$B$6:$B$45,MATCH(B73,'02_PARTICIPANTES'!$A$6:$A$45,0)),""))</x:f>
      </x:c>
      <x:c r="E73" s="18"/>
      <x:c r="F73" s="18"/>
      <x:c r="G73" s="18"/>
      <x:c r="H73" s="18"/>
      <x:c r="I73" s="18"/>
      <x:c r="J73" s="18"/>
      <x:c r="K73" s="32"/>
      <x:c r="L73" s="32"/>
      <x:c r="M73" s="18"/>
      <x:c r="N73" t="str">
        <x:f>IF(B73="","",IF(COUNTIFS('02_PARTICIPANTES'!$A$6:$A$45,B73,'02_PARTICIPANTES'!$D$6:$D$45,"Sí",'02_PARTICIPANTES'!$E$6:$E$45,"&lt;&gt;",'02_PARTICIPANTES'!$I$6:$I$45,"Sí",'02_PARTICIPANTES'!$J$6:$J$45,"Sí",'02_PARTICIPANTES'!$K$6:$K$45,"Sí")&gt;0,"Sí",""))</x:f>
      </x:c>
      <x:c r="O73" t="str">
        <x:f>IF(OR(C73="",D73=""),"",IF(COUNTIFS('07_MATRIZ_PERMISOS'!$A$5:$A$50,C73,'07_MATRIZ_PERMISOS'!$B$5:$B$50,D73,'07_MATRIZ_PERMISOS'!$C$5:$C$50,"Sí")&gt;0,"Sí","No"))</x:f>
      </x:c>
      <x:c r="P73" t="str">
        <x:f>IF(AND(N73="Sí",O73="Sí",E73="Sí",F73="Sí",G73="Sí",OR(H73="Correcto",H73="Incorrecto"),L73&lt;&gt;""),"Sí","")</x:f>
      </x:c>
      <x:c r="Q73" t="str">
        <x:f>IF(AND(G73="Sí",P73&lt;&gt;"Sí"),"Revisar elegibilidad, rol, permisos, tarea, evidencia y resultado","")</x:f>
      </x:c>
    </x:row>
    <x:row r="74" ht="27" customHeight="1">
      <x:c r="A74" s="18"/>
      <x:c r="B74" s="18"/>
      <x:c r="C74" s="32"/>
      <x:c r="D74" s="32" t="str">
        <x:f>IF(B74="","",IFERROR(INDEX('02_PARTICIPANTES'!$B$6:$B$45,MATCH(B74,'02_PARTICIPANTES'!$A$6:$A$45,0)),""))</x:f>
      </x:c>
      <x:c r="E74" s="18"/>
      <x:c r="F74" s="18"/>
      <x:c r="G74" s="18"/>
      <x:c r="H74" s="18"/>
      <x:c r="I74" s="18"/>
      <x:c r="J74" s="18"/>
      <x:c r="K74" s="32"/>
      <x:c r="L74" s="32"/>
      <x:c r="M74" s="18"/>
      <x:c r="N74" t="str">
        <x:f>IF(B74="","",IF(COUNTIFS('02_PARTICIPANTES'!$A$6:$A$45,B74,'02_PARTICIPANTES'!$D$6:$D$45,"Sí",'02_PARTICIPANTES'!$E$6:$E$45,"&lt;&gt;",'02_PARTICIPANTES'!$I$6:$I$45,"Sí",'02_PARTICIPANTES'!$J$6:$J$45,"Sí",'02_PARTICIPANTES'!$K$6:$K$45,"Sí")&gt;0,"Sí",""))</x:f>
      </x:c>
      <x:c r="O74" t="str">
        <x:f>IF(OR(C74="",D74=""),"",IF(COUNTIFS('07_MATRIZ_PERMISOS'!$A$5:$A$50,C74,'07_MATRIZ_PERMISOS'!$B$5:$B$50,D74,'07_MATRIZ_PERMISOS'!$C$5:$C$50,"Sí")&gt;0,"Sí","No"))</x:f>
      </x:c>
      <x:c r="P74" t="str">
        <x:f>IF(AND(N74="Sí",O74="Sí",E74="Sí",F74="Sí",G74="Sí",OR(H74="Correcto",H74="Incorrecto"),L74&lt;&gt;""),"Sí","")</x:f>
      </x:c>
      <x:c r="Q74" t="str">
        <x:f>IF(AND(G74="Sí",P74&lt;&gt;"Sí"),"Revisar elegibilidad, rol, permisos, tarea, evidencia y resultado","")</x:f>
      </x:c>
    </x:row>
    <x:row r="75" ht="27" customHeight="1">
      <x:c r="A75" s="18"/>
      <x:c r="B75" s="18"/>
      <x:c r="C75" s="32"/>
      <x:c r="D75" s="32" t="str">
        <x:f>IF(B75="","",IFERROR(INDEX('02_PARTICIPANTES'!$B$6:$B$45,MATCH(B75,'02_PARTICIPANTES'!$A$6:$A$45,0)),""))</x:f>
      </x:c>
      <x:c r="E75" s="18"/>
      <x:c r="F75" s="18"/>
      <x:c r="G75" s="18"/>
      <x:c r="H75" s="18"/>
      <x:c r="I75" s="18"/>
      <x:c r="J75" s="18"/>
      <x:c r="K75" s="32"/>
      <x:c r="L75" s="32"/>
      <x:c r="M75" s="18"/>
      <x:c r="N75" t="str">
        <x:f>IF(B75="","",IF(COUNTIFS('02_PARTICIPANTES'!$A$6:$A$45,B75,'02_PARTICIPANTES'!$D$6:$D$45,"Sí",'02_PARTICIPANTES'!$E$6:$E$45,"&lt;&gt;",'02_PARTICIPANTES'!$I$6:$I$45,"Sí",'02_PARTICIPANTES'!$J$6:$J$45,"Sí",'02_PARTICIPANTES'!$K$6:$K$45,"Sí")&gt;0,"Sí",""))</x:f>
      </x:c>
      <x:c r="O75" t="str">
        <x:f>IF(OR(C75="",D75=""),"",IF(COUNTIFS('07_MATRIZ_PERMISOS'!$A$5:$A$50,C75,'07_MATRIZ_PERMISOS'!$B$5:$B$50,D75,'07_MATRIZ_PERMISOS'!$C$5:$C$50,"Sí")&gt;0,"Sí","No"))</x:f>
      </x:c>
      <x:c r="P75" t="str">
        <x:f>IF(AND(N75="Sí",O75="Sí",E75="Sí",F75="Sí",G75="Sí",OR(H75="Correcto",H75="Incorrecto"),L75&lt;&gt;""),"Sí","")</x:f>
      </x:c>
      <x:c r="Q75" t="str">
        <x:f>IF(AND(G75="Sí",P75&lt;&gt;"Sí"),"Revisar elegibilidad, rol, permisos, tarea, evidencia y resultado","")</x:f>
      </x:c>
    </x:row>
    <x:row r="76" ht="27" customHeight="1">
      <x:c r="A76" s="18"/>
      <x:c r="B76" s="18"/>
      <x:c r="C76" s="32"/>
      <x:c r="D76" s="32" t="str">
        <x:f>IF(B76="","",IFERROR(INDEX('02_PARTICIPANTES'!$B$6:$B$45,MATCH(B76,'02_PARTICIPANTES'!$A$6:$A$45,0)),""))</x:f>
      </x:c>
      <x:c r="E76" s="18"/>
      <x:c r="F76" s="18"/>
      <x:c r="G76" s="18"/>
      <x:c r="H76" s="18"/>
      <x:c r="I76" s="18"/>
      <x:c r="J76" s="18"/>
      <x:c r="K76" s="32"/>
      <x:c r="L76" s="32"/>
      <x:c r="M76" s="18"/>
      <x:c r="N76" t="str">
        <x:f>IF(B76="","",IF(COUNTIFS('02_PARTICIPANTES'!$A$6:$A$45,B76,'02_PARTICIPANTES'!$D$6:$D$45,"Sí",'02_PARTICIPANTES'!$E$6:$E$45,"&lt;&gt;",'02_PARTICIPANTES'!$I$6:$I$45,"Sí",'02_PARTICIPANTES'!$J$6:$J$45,"Sí",'02_PARTICIPANTES'!$K$6:$K$45,"Sí")&gt;0,"Sí",""))</x:f>
      </x:c>
      <x:c r="O76" t="str">
        <x:f>IF(OR(C76="",D76=""),"",IF(COUNTIFS('07_MATRIZ_PERMISOS'!$A$5:$A$50,C76,'07_MATRIZ_PERMISOS'!$B$5:$B$50,D76,'07_MATRIZ_PERMISOS'!$C$5:$C$50,"Sí")&gt;0,"Sí","No"))</x:f>
      </x:c>
      <x:c r="P76" t="str">
        <x:f>IF(AND(N76="Sí",O76="Sí",E76="Sí",F76="Sí",G76="Sí",OR(H76="Correcto",H76="Incorrecto"),L76&lt;&gt;""),"Sí","")</x:f>
      </x:c>
      <x:c r="Q76" t="str">
        <x:f>IF(AND(G76="Sí",P76&lt;&gt;"Sí"),"Revisar elegibilidad, rol, permisos, tarea, evidencia y resultado","")</x:f>
      </x:c>
    </x:row>
    <x:row r="77" ht="27" customHeight="1">
      <x:c r="A77" s="18"/>
      <x:c r="B77" s="18"/>
      <x:c r="C77" s="32"/>
      <x:c r="D77" s="32" t="str">
        <x:f>IF(B77="","",IFERROR(INDEX('02_PARTICIPANTES'!$B$6:$B$45,MATCH(B77,'02_PARTICIPANTES'!$A$6:$A$45,0)),""))</x:f>
      </x:c>
      <x:c r="E77" s="18"/>
      <x:c r="F77" s="18"/>
      <x:c r="G77" s="18"/>
      <x:c r="H77" s="18"/>
      <x:c r="I77" s="18"/>
      <x:c r="J77" s="18"/>
      <x:c r="K77" s="32"/>
      <x:c r="L77" s="32"/>
      <x:c r="M77" s="18"/>
      <x:c r="N77" t="str">
        <x:f>IF(B77="","",IF(COUNTIFS('02_PARTICIPANTES'!$A$6:$A$45,B77,'02_PARTICIPANTES'!$D$6:$D$45,"Sí",'02_PARTICIPANTES'!$E$6:$E$45,"&lt;&gt;",'02_PARTICIPANTES'!$I$6:$I$45,"Sí",'02_PARTICIPANTES'!$J$6:$J$45,"Sí",'02_PARTICIPANTES'!$K$6:$K$45,"Sí")&gt;0,"Sí",""))</x:f>
      </x:c>
      <x:c r="O77" t="str">
        <x:f>IF(OR(C77="",D77=""),"",IF(COUNTIFS('07_MATRIZ_PERMISOS'!$A$5:$A$50,C77,'07_MATRIZ_PERMISOS'!$B$5:$B$50,D77,'07_MATRIZ_PERMISOS'!$C$5:$C$50,"Sí")&gt;0,"Sí","No"))</x:f>
      </x:c>
      <x:c r="P77" t="str">
        <x:f>IF(AND(N77="Sí",O77="Sí",E77="Sí",F77="Sí",G77="Sí",OR(H77="Correcto",H77="Incorrecto"),L77&lt;&gt;""),"Sí","")</x:f>
      </x:c>
      <x:c r="Q77" t="str">
        <x:f>IF(AND(G77="Sí",P77&lt;&gt;"Sí"),"Revisar elegibilidad, rol, permisos, tarea, evidencia y resultado","")</x:f>
      </x:c>
    </x:row>
    <x:row r="78" ht="27" customHeight="1">
      <x:c r="A78" s="18"/>
      <x:c r="B78" s="18"/>
      <x:c r="C78" s="32"/>
      <x:c r="D78" s="32" t="str">
        <x:f>IF(B78="","",IFERROR(INDEX('02_PARTICIPANTES'!$B$6:$B$45,MATCH(B78,'02_PARTICIPANTES'!$A$6:$A$45,0)),""))</x:f>
      </x:c>
      <x:c r="E78" s="18"/>
      <x:c r="F78" s="18"/>
      <x:c r="G78" s="18"/>
      <x:c r="H78" s="18"/>
      <x:c r="I78" s="18"/>
      <x:c r="J78" s="18"/>
      <x:c r="K78" s="32"/>
      <x:c r="L78" s="32"/>
      <x:c r="M78" s="18"/>
      <x:c r="N78" t="str">
        <x:f>IF(B78="","",IF(COUNTIFS('02_PARTICIPANTES'!$A$6:$A$45,B78,'02_PARTICIPANTES'!$D$6:$D$45,"Sí",'02_PARTICIPANTES'!$E$6:$E$45,"&lt;&gt;",'02_PARTICIPANTES'!$I$6:$I$45,"Sí",'02_PARTICIPANTES'!$J$6:$J$45,"Sí",'02_PARTICIPANTES'!$K$6:$K$45,"Sí")&gt;0,"Sí",""))</x:f>
      </x:c>
      <x:c r="O78" t="str">
        <x:f>IF(OR(C78="",D78=""),"",IF(COUNTIFS('07_MATRIZ_PERMISOS'!$A$5:$A$50,C78,'07_MATRIZ_PERMISOS'!$B$5:$B$50,D78,'07_MATRIZ_PERMISOS'!$C$5:$C$50,"Sí")&gt;0,"Sí","No"))</x:f>
      </x:c>
      <x:c r="P78" t="str">
        <x:f>IF(AND(N78="Sí",O78="Sí",E78="Sí",F78="Sí",G78="Sí",OR(H78="Correcto",H78="Incorrecto"),L78&lt;&gt;""),"Sí","")</x:f>
      </x:c>
      <x:c r="Q78" t="str">
        <x:f>IF(AND(G78="Sí",P78&lt;&gt;"Sí"),"Revisar elegibilidad, rol, permisos, tarea, evidencia y resultado","")</x:f>
      </x:c>
    </x:row>
    <x:row r="79" ht="27" customHeight="1">
      <x:c r="A79" s="18"/>
      <x:c r="B79" s="18"/>
      <x:c r="C79" s="32"/>
      <x:c r="D79" s="32" t="str">
        <x:f>IF(B79="","",IFERROR(INDEX('02_PARTICIPANTES'!$B$6:$B$45,MATCH(B79,'02_PARTICIPANTES'!$A$6:$A$45,0)),""))</x:f>
      </x:c>
      <x:c r="E79" s="18"/>
      <x:c r="F79" s="18"/>
      <x:c r="G79" s="18"/>
      <x:c r="H79" s="18"/>
      <x:c r="I79" s="18"/>
      <x:c r="J79" s="18"/>
      <x:c r="K79" s="32"/>
      <x:c r="L79" s="32"/>
      <x:c r="M79" s="18"/>
      <x:c r="N79" t="str">
        <x:f>IF(B79="","",IF(COUNTIFS('02_PARTICIPANTES'!$A$6:$A$45,B79,'02_PARTICIPANTES'!$D$6:$D$45,"Sí",'02_PARTICIPANTES'!$E$6:$E$45,"&lt;&gt;",'02_PARTICIPANTES'!$I$6:$I$45,"Sí",'02_PARTICIPANTES'!$J$6:$J$45,"Sí",'02_PARTICIPANTES'!$K$6:$K$45,"Sí")&gt;0,"Sí",""))</x:f>
      </x:c>
      <x:c r="O79" t="str">
        <x:f>IF(OR(C79="",D79=""),"",IF(COUNTIFS('07_MATRIZ_PERMISOS'!$A$5:$A$50,C79,'07_MATRIZ_PERMISOS'!$B$5:$B$50,D79,'07_MATRIZ_PERMISOS'!$C$5:$C$50,"Sí")&gt;0,"Sí","No"))</x:f>
      </x:c>
      <x:c r="P79" t="str">
        <x:f>IF(AND(N79="Sí",O79="Sí",E79="Sí",F79="Sí",G79="Sí",OR(H79="Correcto",H79="Incorrecto"),L79&lt;&gt;""),"Sí","")</x:f>
      </x:c>
      <x:c r="Q79" t="str">
        <x:f>IF(AND(G79="Sí",P79&lt;&gt;"Sí"),"Revisar elegibilidad, rol, permisos, tarea, evidencia y resultado","")</x:f>
      </x:c>
    </x:row>
    <x:row r="80" ht="27" customHeight="1">
      <x:c r="A80" s="18"/>
      <x:c r="B80" s="18"/>
      <x:c r="C80" s="32"/>
      <x:c r="D80" s="32" t="str">
        <x:f>IF(B80="","",IFERROR(INDEX('02_PARTICIPANTES'!$B$6:$B$45,MATCH(B80,'02_PARTICIPANTES'!$A$6:$A$45,0)),""))</x:f>
      </x:c>
      <x:c r="E80" s="18"/>
      <x:c r="F80" s="18"/>
      <x:c r="G80" s="18"/>
      <x:c r="H80" s="18"/>
      <x:c r="I80" s="18"/>
      <x:c r="J80" s="18"/>
      <x:c r="K80" s="32"/>
      <x:c r="L80" s="32"/>
      <x:c r="M80" s="18"/>
      <x:c r="N80" t="str">
        <x:f>IF(B80="","",IF(COUNTIFS('02_PARTICIPANTES'!$A$6:$A$45,B80,'02_PARTICIPANTES'!$D$6:$D$45,"Sí",'02_PARTICIPANTES'!$E$6:$E$45,"&lt;&gt;",'02_PARTICIPANTES'!$I$6:$I$45,"Sí",'02_PARTICIPANTES'!$J$6:$J$45,"Sí",'02_PARTICIPANTES'!$K$6:$K$45,"Sí")&gt;0,"Sí",""))</x:f>
      </x:c>
      <x:c r="O80" t="str">
        <x:f>IF(OR(C80="",D80=""),"",IF(COUNTIFS('07_MATRIZ_PERMISOS'!$A$5:$A$50,C80,'07_MATRIZ_PERMISOS'!$B$5:$B$50,D80,'07_MATRIZ_PERMISOS'!$C$5:$C$50,"Sí")&gt;0,"Sí","No"))</x:f>
      </x:c>
      <x:c r="P80" t="str">
        <x:f>IF(AND(N80="Sí",O80="Sí",E80="Sí",F80="Sí",G80="Sí",OR(H80="Correcto",H80="Incorrecto"),L80&lt;&gt;""),"Sí","")</x:f>
      </x:c>
      <x:c r="Q80" t="str">
        <x:f>IF(AND(G80="Sí",P80&lt;&gt;"Sí"),"Revisar elegibilidad, rol, permisos, tarea, evidencia y resultado","")</x:f>
      </x:c>
    </x:row>
    <x:row r="81" ht="27" customHeight="1">
      <x:c r="A81" s="18"/>
      <x:c r="B81" s="18"/>
      <x:c r="C81" s="32"/>
      <x:c r="D81" s="32" t="str">
        <x:f>IF(B81="","",IFERROR(INDEX('02_PARTICIPANTES'!$B$6:$B$45,MATCH(B81,'02_PARTICIPANTES'!$A$6:$A$45,0)),""))</x:f>
      </x:c>
      <x:c r="E81" s="18"/>
      <x:c r="F81" s="18"/>
      <x:c r="G81" s="18"/>
      <x:c r="H81" s="18"/>
      <x:c r="I81" s="18"/>
      <x:c r="J81" s="18"/>
      <x:c r="K81" s="32"/>
      <x:c r="L81" s="32"/>
      <x:c r="M81" s="18"/>
      <x:c r="N81" t="str">
        <x:f>IF(B81="","",IF(COUNTIFS('02_PARTICIPANTES'!$A$6:$A$45,B81,'02_PARTICIPANTES'!$D$6:$D$45,"Sí",'02_PARTICIPANTES'!$E$6:$E$45,"&lt;&gt;",'02_PARTICIPANTES'!$I$6:$I$45,"Sí",'02_PARTICIPANTES'!$J$6:$J$45,"Sí",'02_PARTICIPANTES'!$K$6:$K$45,"Sí")&gt;0,"Sí",""))</x:f>
      </x:c>
      <x:c r="O81" t="str">
        <x:f>IF(OR(C81="",D81=""),"",IF(COUNTIFS('07_MATRIZ_PERMISOS'!$A$5:$A$50,C81,'07_MATRIZ_PERMISOS'!$B$5:$B$50,D81,'07_MATRIZ_PERMISOS'!$C$5:$C$50,"Sí")&gt;0,"Sí","No"))</x:f>
      </x:c>
      <x:c r="P81" t="str">
        <x:f>IF(AND(N81="Sí",O81="Sí",E81="Sí",F81="Sí",G81="Sí",OR(H81="Correcto",H81="Incorrecto"),L81&lt;&gt;""),"Sí","")</x:f>
      </x:c>
      <x:c r="Q81" t="str">
        <x:f>IF(AND(G81="Sí",P81&lt;&gt;"Sí"),"Revisar elegibilidad, rol, permisos, tarea, evidencia y resultado","")</x:f>
      </x:c>
    </x:row>
    <x:row r="82" ht="27" customHeight="1">
      <x:c r="A82" s="18"/>
      <x:c r="B82" s="18"/>
      <x:c r="C82" s="32"/>
      <x:c r="D82" s="32" t="str">
        <x:f>IF(B82="","",IFERROR(INDEX('02_PARTICIPANTES'!$B$6:$B$45,MATCH(B82,'02_PARTICIPANTES'!$A$6:$A$45,0)),""))</x:f>
      </x:c>
      <x:c r="E82" s="18"/>
      <x:c r="F82" s="18"/>
      <x:c r="G82" s="18"/>
      <x:c r="H82" s="18"/>
      <x:c r="I82" s="18"/>
      <x:c r="J82" s="18"/>
      <x:c r="K82" s="32"/>
      <x:c r="L82" s="32"/>
      <x:c r="M82" s="18"/>
      <x:c r="N82" t="str">
        <x:f>IF(B82="","",IF(COUNTIFS('02_PARTICIPANTES'!$A$6:$A$45,B82,'02_PARTICIPANTES'!$D$6:$D$45,"Sí",'02_PARTICIPANTES'!$E$6:$E$45,"&lt;&gt;",'02_PARTICIPANTES'!$I$6:$I$45,"Sí",'02_PARTICIPANTES'!$J$6:$J$45,"Sí",'02_PARTICIPANTES'!$K$6:$K$45,"Sí")&gt;0,"Sí",""))</x:f>
      </x:c>
      <x:c r="O82" t="str">
        <x:f>IF(OR(C82="",D82=""),"",IF(COUNTIFS('07_MATRIZ_PERMISOS'!$A$5:$A$50,C82,'07_MATRIZ_PERMISOS'!$B$5:$B$50,D82,'07_MATRIZ_PERMISOS'!$C$5:$C$50,"Sí")&gt;0,"Sí","No"))</x:f>
      </x:c>
      <x:c r="P82" t="str">
        <x:f>IF(AND(N82="Sí",O82="Sí",E82="Sí",F82="Sí",G82="Sí",OR(H82="Correcto",H82="Incorrecto"),L82&lt;&gt;""),"Sí","")</x:f>
      </x:c>
      <x:c r="Q82" t="str">
        <x:f>IF(AND(G82="Sí",P82&lt;&gt;"Sí"),"Revisar elegibilidad, rol, permisos, tarea, evidencia y resultado","")</x:f>
      </x:c>
    </x:row>
    <x:row r="83" ht="27" customHeight="1">
      <x:c r="A83" s="18"/>
      <x:c r="B83" s="18"/>
      <x:c r="C83" s="32"/>
      <x:c r="D83" s="32" t="str">
        <x:f>IF(B83="","",IFERROR(INDEX('02_PARTICIPANTES'!$B$6:$B$45,MATCH(B83,'02_PARTICIPANTES'!$A$6:$A$45,0)),""))</x:f>
      </x:c>
      <x:c r="E83" s="18"/>
      <x:c r="F83" s="18"/>
      <x:c r="G83" s="18"/>
      <x:c r="H83" s="18"/>
      <x:c r="I83" s="18"/>
      <x:c r="J83" s="18"/>
      <x:c r="K83" s="32"/>
      <x:c r="L83" s="32"/>
      <x:c r="M83" s="18"/>
      <x:c r="N83" t="str">
        <x:f>IF(B83="","",IF(COUNTIFS('02_PARTICIPANTES'!$A$6:$A$45,B83,'02_PARTICIPANTES'!$D$6:$D$45,"Sí",'02_PARTICIPANTES'!$E$6:$E$45,"&lt;&gt;",'02_PARTICIPANTES'!$I$6:$I$45,"Sí",'02_PARTICIPANTES'!$J$6:$J$45,"Sí",'02_PARTICIPANTES'!$K$6:$K$45,"Sí")&gt;0,"Sí",""))</x:f>
      </x:c>
      <x:c r="O83" t="str">
        <x:f>IF(OR(C83="",D83=""),"",IF(COUNTIFS('07_MATRIZ_PERMISOS'!$A$5:$A$50,C83,'07_MATRIZ_PERMISOS'!$B$5:$B$50,D83,'07_MATRIZ_PERMISOS'!$C$5:$C$50,"Sí")&gt;0,"Sí","No"))</x:f>
      </x:c>
      <x:c r="P83" t="str">
        <x:f>IF(AND(N83="Sí",O83="Sí",E83="Sí",F83="Sí",G83="Sí",OR(H83="Correcto",H83="Incorrecto"),L83&lt;&gt;""),"Sí","")</x:f>
      </x:c>
      <x:c r="Q83" t="str">
        <x:f>IF(AND(G83="Sí",P83&lt;&gt;"Sí"),"Revisar elegibilidad, rol, permisos, tarea, evidencia y resultado","")</x:f>
      </x:c>
    </x:row>
    <x:row r="84" ht="27" customHeight="1">
      <x:c r="A84" s="18"/>
      <x:c r="B84" s="18"/>
      <x:c r="C84" s="32"/>
      <x:c r="D84" s="32" t="str">
        <x:f>IF(B84="","",IFERROR(INDEX('02_PARTICIPANTES'!$B$6:$B$45,MATCH(B84,'02_PARTICIPANTES'!$A$6:$A$45,0)),""))</x:f>
      </x:c>
      <x:c r="E84" s="18"/>
      <x:c r="F84" s="18"/>
      <x:c r="G84" s="18"/>
      <x:c r="H84" s="18"/>
      <x:c r="I84" s="18"/>
      <x:c r="J84" s="18"/>
      <x:c r="K84" s="32"/>
      <x:c r="L84" s="32"/>
      <x:c r="M84" s="18"/>
      <x:c r="N84" t="str">
        <x:f>IF(B84="","",IF(COUNTIFS('02_PARTICIPANTES'!$A$6:$A$45,B84,'02_PARTICIPANTES'!$D$6:$D$45,"Sí",'02_PARTICIPANTES'!$E$6:$E$45,"&lt;&gt;",'02_PARTICIPANTES'!$I$6:$I$45,"Sí",'02_PARTICIPANTES'!$J$6:$J$45,"Sí",'02_PARTICIPANTES'!$K$6:$K$45,"Sí")&gt;0,"Sí",""))</x:f>
      </x:c>
      <x:c r="O84" t="str">
        <x:f>IF(OR(C84="",D84=""),"",IF(COUNTIFS('07_MATRIZ_PERMISOS'!$A$5:$A$50,C84,'07_MATRIZ_PERMISOS'!$B$5:$B$50,D84,'07_MATRIZ_PERMISOS'!$C$5:$C$50,"Sí")&gt;0,"Sí","No"))</x:f>
      </x:c>
      <x:c r="P84" t="str">
        <x:f>IF(AND(N84="Sí",O84="Sí",E84="Sí",F84="Sí",G84="Sí",OR(H84="Correcto",H84="Incorrecto"),L84&lt;&gt;""),"Sí","")</x:f>
      </x:c>
      <x:c r="Q84" t="str">
        <x:f>IF(AND(G84="Sí",P84&lt;&gt;"Sí"),"Revisar elegibilidad, rol, permisos, tarea, evidencia y resultado","")</x:f>
      </x:c>
    </x:row>
    <x:row r="85" ht="27" customHeight="1">
      <x:c r="A85" s="18"/>
      <x:c r="B85" s="18"/>
      <x:c r="C85" s="32"/>
      <x:c r="D85" s="32" t="str">
        <x:f>IF(B85="","",IFERROR(INDEX('02_PARTICIPANTES'!$B$6:$B$45,MATCH(B85,'02_PARTICIPANTES'!$A$6:$A$45,0)),""))</x:f>
      </x:c>
      <x:c r="E85" s="18"/>
      <x:c r="F85" s="18"/>
      <x:c r="G85" s="18"/>
      <x:c r="H85" s="18"/>
      <x:c r="I85" s="18"/>
      <x:c r="J85" s="18"/>
      <x:c r="K85" s="32"/>
      <x:c r="L85" s="32"/>
      <x:c r="M85" s="18"/>
      <x:c r="N85" t="str">
        <x:f>IF(B85="","",IF(COUNTIFS('02_PARTICIPANTES'!$A$6:$A$45,B85,'02_PARTICIPANTES'!$D$6:$D$45,"Sí",'02_PARTICIPANTES'!$E$6:$E$45,"&lt;&gt;",'02_PARTICIPANTES'!$I$6:$I$45,"Sí",'02_PARTICIPANTES'!$J$6:$J$45,"Sí",'02_PARTICIPANTES'!$K$6:$K$45,"Sí")&gt;0,"Sí",""))</x:f>
      </x:c>
      <x:c r="O85" t="str">
        <x:f>IF(OR(C85="",D85=""),"",IF(COUNTIFS('07_MATRIZ_PERMISOS'!$A$5:$A$50,C85,'07_MATRIZ_PERMISOS'!$B$5:$B$50,D85,'07_MATRIZ_PERMISOS'!$C$5:$C$50,"Sí")&gt;0,"Sí","No"))</x:f>
      </x:c>
      <x:c r="P85" t="str">
        <x:f>IF(AND(N85="Sí",O85="Sí",E85="Sí",F85="Sí",G85="Sí",OR(H85="Correcto",H85="Incorrecto"),L85&lt;&gt;""),"Sí","")</x:f>
      </x:c>
      <x:c r="Q85" t="str">
        <x:f>IF(AND(G85="Sí",P85&lt;&gt;"Sí"),"Revisar elegibilidad, rol, permisos, tarea, evidencia y resultado","")</x:f>
      </x:c>
    </x:row>
    <x:row r="86" ht="27" customHeight="1">
      <x:c r="A86" s="18"/>
      <x:c r="B86" s="18"/>
      <x:c r="C86" s="32"/>
      <x:c r="D86" s="32" t="str">
        <x:f>IF(B86="","",IFERROR(INDEX('02_PARTICIPANTES'!$B$6:$B$45,MATCH(B86,'02_PARTICIPANTES'!$A$6:$A$45,0)),""))</x:f>
      </x:c>
      <x:c r="E86" s="18"/>
      <x:c r="F86" s="18"/>
      <x:c r="G86" s="18"/>
      <x:c r="H86" s="18"/>
      <x:c r="I86" s="18"/>
      <x:c r="J86" s="18"/>
      <x:c r="K86" s="32"/>
      <x:c r="L86" s="32"/>
      <x:c r="M86" s="18"/>
      <x:c r="N86" t="str">
        <x:f>IF(B86="","",IF(COUNTIFS('02_PARTICIPANTES'!$A$6:$A$45,B86,'02_PARTICIPANTES'!$D$6:$D$45,"Sí",'02_PARTICIPANTES'!$E$6:$E$45,"&lt;&gt;",'02_PARTICIPANTES'!$I$6:$I$45,"Sí",'02_PARTICIPANTES'!$J$6:$J$45,"Sí",'02_PARTICIPANTES'!$K$6:$K$45,"Sí")&gt;0,"Sí",""))</x:f>
      </x:c>
      <x:c r="O86" t="str">
        <x:f>IF(OR(C86="",D86=""),"",IF(COUNTIFS('07_MATRIZ_PERMISOS'!$A$5:$A$50,C86,'07_MATRIZ_PERMISOS'!$B$5:$B$50,D86,'07_MATRIZ_PERMISOS'!$C$5:$C$50,"Sí")&gt;0,"Sí","No"))</x:f>
      </x:c>
      <x:c r="P86" t="str">
        <x:f>IF(AND(N86="Sí",O86="Sí",E86="Sí",F86="Sí",G86="Sí",OR(H86="Correcto",H86="Incorrecto"),L86&lt;&gt;""),"Sí","")</x:f>
      </x:c>
      <x:c r="Q86" t="str">
        <x:f>IF(AND(G86="Sí",P86&lt;&gt;"Sí"),"Revisar elegibilidad, rol, permisos, tarea, evidencia y resultado","")</x:f>
      </x:c>
    </x:row>
    <x:row r="87" ht="27" customHeight="1">
      <x:c r="A87" s="18"/>
      <x:c r="B87" s="18"/>
      <x:c r="C87" s="32"/>
      <x:c r="D87" s="32" t="str">
        <x:f>IF(B87="","",IFERROR(INDEX('02_PARTICIPANTES'!$B$6:$B$45,MATCH(B87,'02_PARTICIPANTES'!$A$6:$A$45,0)),""))</x:f>
      </x:c>
      <x:c r="E87" s="18"/>
      <x:c r="F87" s="18"/>
      <x:c r="G87" s="18"/>
      <x:c r="H87" s="18"/>
      <x:c r="I87" s="18"/>
      <x:c r="J87" s="18"/>
      <x:c r="K87" s="32"/>
      <x:c r="L87" s="32"/>
      <x:c r="M87" s="18"/>
      <x:c r="N87" t="str">
        <x:f>IF(B87="","",IF(COUNTIFS('02_PARTICIPANTES'!$A$6:$A$45,B87,'02_PARTICIPANTES'!$D$6:$D$45,"Sí",'02_PARTICIPANTES'!$E$6:$E$45,"&lt;&gt;",'02_PARTICIPANTES'!$I$6:$I$45,"Sí",'02_PARTICIPANTES'!$J$6:$J$45,"Sí",'02_PARTICIPANTES'!$K$6:$K$45,"Sí")&gt;0,"Sí",""))</x:f>
      </x:c>
      <x:c r="O87" t="str">
        <x:f>IF(OR(C87="",D87=""),"",IF(COUNTIFS('07_MATRIZ_PERMISOS'!$A$5:$A$50,C87,'07_MATRIZ_PERMISOS'!$B$5:$B$50,D87,'07_MATRIZ_PERMISOS'!$C$5:$C$50,"Sí")&gt;0,"Sí","No"))</x:f>
      </x:c>
      <x:c r="P87" t="str">
        <x:f>IF(AND(N87="Sí",O87="Sí",E87="Sí",F87="Sí",G87="Sí",OR(H87="Correcto",H87="Incorrecto"),L87&lt;&gt;""),"Sí","")</x:f>
      </x:c>
      <x:c r="Q87" t="str">
        <x:f>IF(AND(G87="Sí",P87&lt;&gt;"Sí"),"Revisar elegibilidad, rol, permisos, tarea, evidencia y resultado","")</x:f>
      </x:c>
    </x:row>
    <x:row r="88" ht="27" customHeight="1">
      <x:c r="A88" s="18"/>
      <x:c r="B88" s="18"/>
      <x:c r="C88" s="32"/>
      <x:c r="D88" s="32" t="str">
        <x:f>IF(B88="","",IFERROR(INDEX('02_PARTICIPANTES'!$B$6:$B$45,MATCH(B88,'02_PARTICIPANTES'!$A$6:$A$45,0)),""))</x:f>
      </x:c>
      <x:c r="E88" s="18"/>
      <x:c r="F88" s="18"/>
      <x:c r="G88" s="18"/>
      <x:c r="H88" s="18"/>
      <x:c r="I88" s="18"/>
      <x:c r="J88" s="18"/>
      <x:c r="K88" s="32"/>
      <x:c r="L88" s="32"/>
      <x:c r="M88" s="18"/>
      <x:c r="N88" t="str">
        <x:f>IF(B88="","",IF(COUNTIFS('02_PARTICIPANTES'!$A$6:$A$45,B88,'02_PARTICIPANTES'!$D$6:$D$45,"Sí",'02_PARTICIPANTES'!$E$6:$E$45,"&lt;&gt;",'02_PARTICIPANTES'!$I$6:$I$45,"Sí",'02_PARTICIPANTES'!$J$6:$J$45,"Sí",'02_PARTICIPANTES'!$K$6:$K$45,"Sí")&gt;0,"Sí",""))</x:f>
      </x:c>
      <x:c r="O88" t="str">
        <x:f>IF(OR(C88="",D88=""),"",IF(COUNTIFS('07_MATRIZ_PERMISOS'!$A$5:$A$50,C88,'07_MATRIZ_PERMISOS'!$B$5:$B$50,D88,'07_MATRIZ_PERMISOS'!$C$5:$C$50,"Sí")&gt;0,"Sí","No"))</x:f>
      </x:c>
      <x:c r="P88" t="str">
        <x:f>IF(AND(N88="Sí",O88="Sí",E88="Sí",F88="Sí",G88="Sí",OR(H88="Correcto",H88="Incorrecto"),L88&lt;&gt;""),"Sí","")</x:f>
      </x:c>
      <x:c r="Q88" t="str">
        <x:f>IF(AND(G88="Sí",P88&lt;&gt;"Sí"),"Revisar elegibilidad, rol, permisos, tarea, evidencia y resultado","")</x:f>
      </x:c>
    </x:row>
    <x:row r="89" ht="27" customHeight="1">
      <x:c r="A89" s="18"/>
      <x:c r="B89" s="18"/>
      <x:c r="C89" s="32"/>
      <x:c r="D89" s="32" t="str">
        <x:f>IF(B89="","",IFERROR(INDEX('02_PARTICIPANTES'!$B$6:$B$45,MATCH(B89,'02_PARTICIPANTES'!$A$6:$A$45,0)),""))</x:f>
      </x:c>
      <x:c r="E89" s="18"/>
      <x:c r="F89" s="18"/>
      <x:c r="G89" s="18"/>
      <x:c r="H89" s="18"/>
      <x:c r="I89" s="18"/>
      <x:c r="J89" s="18"/>
      <x:c r="K89" s="32"/>
      <x:c r="L89" s="32"/>
      <x:c r="M89" s="18"/>
      <x:c r="N89" t="str">
        <x:f>IF(B89="","",IF(COUNTIFS('02_PARTICIPANTES'!$A$6:$A$45,B89,'02_PARTICIPANTES'!$D$6:$D$45,"Sí",'02_PARTICIPANTES'!$E$6:$E$45,"&lt;&gt;",'02_PARTICIPANTES'!$I$6:$I$45,"Sí",'02_PARTICIPANTES'!$J$6:$J$45,"Sí",'02_PARTICIPANTES'!$K$6:$K$45,"Sí")&gt;0,"Sí",""))</x:f>
      </x:c>
      <x:c r="O89" t="str">
        <x:f>IF(OR(C89="",D89=""),"",IF(COUNTIFS('07_MATRIZ_PERMISOS'!$A$5:$A$50,C89,'07_MATRIZ_PERMISOS'!$B$5:$B$50,D89,'07_MATRIZ_PERMISOS'!$C$5:$C$50,"Sí")&gt;0,"Sí","No"))</x:f>
      </x:c>
      <x:c r="P89" t="str">
        <x:f>IF(AND(N89="Sí",O89="Sí",E89="Sí",F89="Sí",G89="Sí",OR(H89="Correcto",H89="Incorrecto"),L89&lt;&gt;""),"Sí","")</x:f>
      </x:c>
      <x:c r="Q89" t="str">
        <x:f>IF(AND(G89="Sí",P89&lt;&gt;"Sí"),"Revisar elegibilidad, rol, permisos, tarea, evidencia y resultado","")</x:f>
      </x:c>
    </x:row>
    <x:row r="90" ht="27" customHeight="1">
      <x:c r="A90" s="18"/>
      <x:c r="B90" s="18"/>
      <x:c r="C90" s="32"/>
      <x:c r="D90" s="32" t="str">
        <x:f>IF(B90="","",IFERROR(INDEX('02_PARTICIPANTES'!$B$6:$B$45,MATCH(B90,'02_PARTICIPANTES'!$A$6:$A$45,0)),""))</x:f>
      </x:c>
      <x:c r="E90" s="18"/>
      <x:c r="F90" s="18"/>
      <x:c r="G90" s="18"/>
      <x:c r="H90" s="18"/>
      <x:c r="I90" s="18"/>
      <x:c r="J90" s="18"/>
      <x:c r="K90" s="32"/>
      <x:c r="L90" s="32"/>
      <x:c r="M90" s="18"/>
      <x:c r="N90" t="str">
        <x:f>IF(B90="","",IF(COUNTIFS('02_PARTICIPANTES'!$A$6:$A$45,B90,'02_PARTICIPANTES'!$D$6:$D$45,"Sí",'02_PARTICIPANTES'!$E$6:$E$45,"&lt;&gt;",'02_PARTICIPANTES'!$I$6:$I$45,"Sí",'02_PARTICIPANTES'!$J$6:$J$45,"Sí",'02_PARTICIPANTES'!$K$6:$K$45,"Sí")&gt;0,"Sí",""))</x:f>
      </x:c>
      <x:c r="O90" t="str">
        <x:f>IF(OR(C90="",D90=""),"",IF(COUNTIFS('07_MATRIZ_PERMISOS'!$A$5:$A$50,C90,'07_MATRIZ_PERMISOS'!$B$5:$B$50,D90,'07_MATRIZ_PERMISOS'!$C$5:$C$50,"Sí")&gt;0,"Sí","No"))</x:f>
      </x:c>
      <x:c r="P90" t="str">
        <x:f>IF(AND(N90="Sí",O90="Sí",E90="Sí",F90="Sí",G90="Sí",OR(H90="Correcto",H90="Incorrecto"),L90&lt;&gt;""),"Sí","")</x:f>
      </x:c>
      <x:c r="Q90" t="str">
        <x:f>IF(AND(G90="Sí",P90&lt;&gt;"Sí"),"Revisar elegibilidad, rol, permisos, tarea, evidencia y resultado","")</x:f>
      </x:c>
    </x:row>
    <x:row r="91" ht="27" customHeight="1">
      <x:c r="A91" s="18"/>
      <x:c r="B91" s="18"/>
      <x:c r="C91" s="32"/>
      <x:c r="D91" s="32" t="str">
        <x:f>IF(B91="","",IFERROR(INDEX('02_PARTICIPANTES'!$B$6:$B$45,MATCH(B91,'02_PARTICIPANTES'!$A$6:$A$45,0)),""))</x:f>
      </x:c>
      <x:c r="E91" s="18"/>
      <x:c r="F91" s="18"/>
      <x:c r="G91" s="18"/>
      <x:c r="H91" s="18"/>
      <x:c r="I91" s="18"/>
      <x:c r="J91" s="18"/>
      <x:c r="K91" s="32"/>
      <x:c r="L91" s="32"/>
      <x:c r="M91" s="18"/>
      <x:c r="N91" t="str">
        <x:f>IF(B91="","",IF(COUNTIFS('02_PARTICIPANTES'!$A$6:$A$45,B91,'02_PARTICIPANTES'!$D$6:$D$45,"Sí",'02_PARTICIPANTES'!$E$6:$E$45,"&lt;&gt;",'02_PARTICIPANTES'!$I$6:$I$45,"Sí",'02_PARTICIPANTES'!$J$6:$J$45,"Sí",'02_PARTICIPANTES'!$K$6:$K$45,"Sí")&gt;0,"Sí",""))</x:f>
      </x:c>
      <x:c r="O91" t="str">
        <x:f>IF(OR(C91="",D91=""),"",IF(COUNTIFS('07_MATRIZ_PERMISOS'!$A$5:$A$50,C91,'07_MATRIZ_PERMISOS'!$B$5:$B$50,D91,'07_MATRIZ_PERMISOS'!$C$5:$C$50,"Sí")&gt;0,"Sí","No"))</x:f>
      </x:c>
      <x:c r="P91" t="str">
        <x:f>IF(AND(N91="Sí",O91="Sí",E91="Sí",F91="Sí",G91="Sí",OR(H91="Correcto",H91="Incorrecto"),L91&lt;&gt;""),"Sí","")</x:f>
      </x:c>
      <x:c r="Q91" t="str">
        <x:f>IF(AND(G91="Sí",P91&lt;&gt;"Sí"),"Revisar elegibilidad, rol, permisos, tarea, evidencia y resultado","")</x:f>
      </x:c>
    </x:row>
    <x:row r="92" ht="27" customHeight="1">
      <x:c r="A92" s="18"/>
      <x:c r="B92" s="18"/>
      <x:c r="C92" s="32"/>
      <x:c r="D92" s="32" t="str">
        <x:f>IF(B92="","",IFERROR(INDEX('02_PARTICIPANTES'!$B$6:$B$45,MATCH(B92,'02_PARTICIPANTES'!$A$6:$A$45,0)),""))</x:f>
      </x:c>
      <x:c r="E92" s="18"/>
      <x:c r="F92" s="18"/>
      <x:c r="G92" s="18"/>
      <x:c r="H92" s="18"/>
      <x:c r="I92" s="18"/>
      <x:c r="J92" s="18"/>
      <x:c r="K92" s="32"/>
      <x:c r="L92" s="32"/>
      <x:c r="M92" s="18"/>
      <x:c r="N92" t="str">
        <x:f>IF(B92="","",IF(COUNTIFS('02_PARTICIPANTES'!$A$6:$A$45,B92,'02_PARTICIPANTES'!$D$6:$D$45,"Sí",'02_PARTICIPANTES'!$E$6:$E$45,"&lt;&gt;",'02_PARTICIPANTES'!$I$6:$I$45,"Sí",'02_PARTICIPANTES'!$J$6:$J$45,"Sí",'02_PARTICIPANTES'!$K$6:$K$45,"Sí")&gt;0,"Sí",""))</x:f>
      </x:c>
      <x:c r="O92" t="str">
        <x:f>IF(OR(C92="",D92=""),"",IF(COUNTIFS('07_MATRIZ_PERMISOS'!$A$5:$A$50,C92,'07_MATRIZ_PERMISOS'!$B$5:$B$50,D92,'07_MATRIZ_PERMISOS'!$C$5:$C$50,"Sí")&gt;0,"Sí","No"))</x:f>
      </x:c>
      <x:c r="P92" t="str">
        <x:f>IF(AND(N92="Sí",O92="Sí",E92="Sí",F92="Sí",G92="Sí",OR(H92="Correcto",H92="Incorrecto"),L92&lt;&gt;""),"Sí","")</x:f>
      </x:c>
      <x:c r="Q92" t="str">
        <x:f>IF(AND(G92="Sí",P92&lt;&gt;"Sí"),"Revisar elegibilidad, rol, permisos, tarea, evidencia y resultado","")</x:f>
      </x:c>
    </x:row>
    <x:row r="93" ht="27" customHeight="1">
      <x:c r="A93" s="18"/>
      <x:c r="B93" s="18"/>
      <x:c r="C93" s="32"/>
      <x:c r="D93" s="32" t="str">
        <x:f>IF(B93="","",IFERROR(INDEX('02_PARTICIPANTES'!$B$6:$B$45,MATCH(B93,'02_PARTICIPANTES'!$A$6:$A$45,0)),""))</x:f>
      </x:c>
      <x:c r="E93" s="18"/>
      <x:c r="F93" s="18"/>
      <x:c r="G93" s="18"/>
      <x:c r="H93" s="18"/>
      <x:c r="I93" s="18"/>
      <x:c r="J93" s="18"/>
      <x:c r="K93" s="32"/>
      <x:c r="L93" s="32"/>
      <x:c r="M93" s="18"/>
      <x:c r="N93" t="str">
        <x:f>IF(B93="","",IF(COUNTIFS('02_PARTICIPANTES'!$A$6:$A$45,B93,'02_PARTICIPANTES'!$D$6:$D$45,"Sí",'02_PARTICIPANTES'!$E$6:$E$45,"&lt;&gt;",'02_PARTICIPANTES'!$I$6:$I$45,"Sí",'02_PARTICIPANTES'!$J$6:$J$45,"Sí",'02_PARTICIPANTES'!$K$6:$K$45,"Sí")&gt;0,"Sí",""))</x:f>
      </x:c>
      <x:c r="O93" t="str">
        <x:f>IF(OR(C93="",D93=""),"",IF(COUNTIFS('07_MATRIZ_PERMISOS'!$A$5:$A$50,C93,'07_MATRIZ_PERMISOS'!$B$5:$B$50,D93,'07_MATRIZ_PERMISOS'!$C$5:$C$50,"Sí")&gt;0,"Sí","No"))</x:f>
      </x:c>
      <x:c r="P93" t="str">
        <x:f>IF(AND(N93="Sí",O93="Sí",E93="Sí",F93="Sí",G93="Sí",OR(H93="Correcto",H93="Incorrecto"),L93&lt;&gt;""),"Sí","")</x:f>
      </x:c>
      <x:c r="Q93" t="str">
        <x:f>IF(AND(G93="Sí",P93&lt;&gt;"Sí"),"Revisar elegibilidad, rol, permisos, tarea, evidencia y resultado","")</x:f>
      </x:c>
    </x:row>
    <x:row r="94" ht="27" customHeight="1">
      <x:c r="A94" s="18"/>
      <x:c r="B94" s="18"/>
      <x:c r="C94" s="32"/>
      <x:c r="D94" s="32" t="str">
        <x:f>IF(B94="","",IFERROR(INDEX('02_PARTICIPANTES'!$B$6:$B$45,MATCH(B94,'02_PARTICIPANTES'!$A$6:$A$45,0)),""))</x:f>
      </x:c>
      <x:c r="E94" s="18"/>
      <x:c r="F94" s="18"/>
      <x:c r="G94" s="18"/>
      <x:c r="H94" s="18"/>
      <x:c r="I94" s="18"/>
      <x:c r="J94" s="18"/>
      <x:c r="K94" s="32"/>
      <x:c r="L94" s="32"/>
      <x:c r="M94" s="18"/>
      <x:c r="N94" t="str">
        <x:f>IF(B94="","",IF(COUNTIFS('02_PARTICIPANTES'!$A$6:$A$45,B94,'02_PARTICIPANTES'!$D$6:$D$45,"Sí",'02_PARTICIPANTES'!$E$6:$E$45,"&lt;&gt;",'02_PARTICIPANTES'!$I$6:$I$45,"Sí",'02_PARTICIPANTES'!$J$6:$J$45,"Sí",'02_PARTICIPANTES'!$K$6:$K$45,"Sí")&gt;0,"Sí",""))</x:f>
      </x:c>
      <x:c r="O94" t="str">
        <x:f>IF(OR(C94="",D94=""),"",IF(COUNTIFS('07_MATRIZ_PERMISOS'!$A$5:$A$50,C94,'07_MATRIZ_PERMISOS'!$B$5:$B$50,D94,'07_MATRIZ_PERMISOS'!$C$5:$C$50,"Sí")&gt;0,"Sí","No"))</x:f>
      </x:c>
      <x:c r="P94" t="str">
        <x:f>IF(AND(N94="Sí",O94="Sí",E94="Sí",F94="Sí",G94="Sí",OR(H94="Correcto",H94="Incorrecto"),L94&lt;&gt;""),"Sí","")</x:f>
      </x:c>
      <x:c r="Q94" t="str">
        <x:f>IF(AND(G94="Sí",P94&lt;&gt;"Sí"),"Revisar elegibilidad, rol, permisos, tarea, evidencia y resultado","")</x:f>
      </x:c>
    </x:row>
    <x:row r="95" ht="27" customHeight="1">
      <x:c r="A95" s="18"/>
      <x:c r="B95" s="18"/>
      <x:c r="C95" s="32"/>
      <x:c r="D95" s="32" t="str">
        <x:f>IF(B95="","",IFERROR(INDEX('02_PARTICIPANTES'!$B$6:$B$45,MATCH(B95,'02_PARTICIPANTES'!$A$6:$A$45,0)),""))</x:f>
      </x:c>
      <x:c r="E95" s="18"/>
      <x:c r="F95" s="18"/>
      <x:c r="G95" s="18"/>
      <x:c r="H95" s="18"/>
      <x:c r="I95" s="18"/>
      <x:c r="J95" s="18"/>
      <x:c r="K95" s="32"/>
      <x:c r="L95" s="32"/>
      <x:c r="M95" s="18"/>
      <x:c r="N95" t="str">
        <x:f>IF(B95="","",IF(COUNTIFS('02_PARTICIPANTES'!$A$6:$A$45,B95,'02_PARTICIPANTES'!$D$6:$D$45,"Sí",'02_PARTICIPANTES'!$E$6:$E$45,"&lt;&gt;",'02_PARTICIPANTES'!$I$6:$I$45,"Sí",'02_PARTICIPANTES'!$J$6:$J$45,"Sí",'02_PARTICIPANTES'!$K$6:$K$45,"Sí")&gt;0,"Sí",""))</x:f>
      </x:c>
      <x:c r="O95" t="str">
        <x:f>IF(OR(C95="",D95=""),"",IF(COUNTIFS('07_MATRIZ_PERMISOS'!$A$5:$A$50,C95,'07_MATRIZ_PERMISOS'!$B$5:$B$50,D95,'07_MATRIZ_PERMISOS'!$C$5:$C$50,"Sí")&gt;0,"Sí","No"))</x:f>
      </x:c>
      <x:c r="P95" t="str">
        <x:f>IF(AND(N95="Sí",O95="Sí",E95="Sí",F95="Sí",G95="Sí",OR(H95="Correcto",H95="Incorrecto"),L95&lt;&gt;""),"Sí","")</x:f>
      </x:c>
      <x:c r="Q95" t="str">
        <x:f>IF(AND(G95="Sí",P95&lt;&gt;"Sí"),"Revisar elegibilidad, rol, permisos, tarea, evidencia y resultado","")</x:f>
      </x:c>
    </x:row>
    <x:row r="96" ht="27" customHeight="1">
      <x:c r="A96" s="18"/>
      <x:c r="B96" s="18"/>
      <x:c r="C96" s="32"/>
      <x:c r="D96" s="32" t="str">
        <x:f>IF(B96="","",IFERROR(INDEX('02_PARTICIPANTES'!$B$6:$B$45,MATCH(B96,'02_PARTICIPANTES'!$A$6:$A$45,0)),""))</x:f>
      </x:c>
      <x:c r="E96" s="18"/>
      <x:c r="F96" s="18"/>
      <x:c r="G96" s="18"/>
      <x:c r="H96" s="18"/>
      <x:c r="I96" s="18"/>
      <x:c r="J96" s="18"/>
      <x:c r="K96" s="32"/>
      <x:c r="L96" s="32"/>
      <x:c r="M96" s="18"/>
      <x:c r="N96" t="str">
        <x:f>IF(B96="","",IF(COUNTIFS('02_PARTICIPANTES'!$A$6:$A$45,B96,'02_PARTICIPANTES'!$D$6:$D$45,"Sí",'02_PARTICIPANTES'!$E$6:$E$45,"&lt;&gt;",'02_PARTICIPANTES'!$I$6:$I$45,"Sí",'02_PARTICIPANTES'!$J$6:$J$45,"Sí",'02_PARTICIPANTES'!$K$6:$K$45,"Sí")&gt;0,"Sí",""))</x:f>
      </x:c>
      <x:c r="O96" t="str">
        <x:f>IF(OR(C96="",D96=""),"",IF(COUNTIFS('07_MATRIZ_PERMISOS'!$A$5:$A$50,C96,'07_MATRIZ_PERMISOS'!$B$5:$B$50,D96,'07_MATRIZ_PERMISOS'!$C$5:$C$50,"Sí")&gt;0,"Sí","No"))</x:f>
      </x:c>
      <x:c r="P96" t="str">
        <x:f>IF(AND(N96="Sí",O96="Sí",E96="Sí",F96="Sí",G96="Sí",OR(H96="Correcto",H96="Incorrecto"),L96&lt;&gt;""),"Sí","")</x:f>
      </x:c>
      <x:c r="Q96" t="str">
        <x:f>IF(AND(G96="Sí",P96&lt;&gt;"Sí"),"Revisar elegibilidad, rol, permisos, tarea, evidencia y resultado","")</x:f>
      </x:c>
    </x:row>
    <x:row r="97" ht="27" customHeight="1">
      <x:c r="A97" s="18"/>
      <x:c r="B97" s="18"/>
      <x:c r="C97" s="32"/>
      <x:c r="D97" s="32" t="str">
        <x:f>IF(B97="","",IFERROR(INDEX('02_PARTICIPANTES'!$B$6:$B$45,MATCH(B97,'02_PARTICIPANTES'!$A$6:$A$45,0)),""))</x:f>
      </x:c>
      <x:c r="E97" s="18"/>
      <x:c r="F97" s="18"/>
      <x:c r="G97" s="18"/>
      <x:c r="H97" s="18"/>
      <x:c r="I97" s="18"/>
      <x:c r="J97" s="18"/>
      <x:c r="K97" s="32"/>
      <x:c r="L97" s="32"/>
      <x:c r="M97" s="18"/>
      <x:c r="N97" t="str">
        <x:f>IF(B97="","",IF(COUNTIFS('02_PARTICIPANTES'!$A$6:$A$45,B97,'02_PARTICIPANTES'!$D$6:$D$45,"Sí",'02_PARTICIPANTES'!$E$6:$E$45,"&lt;&gt;",'02_PARTICIPANTES'!$I$6:$I$45,"Sí",'02_PARTICIPANTES'!$J$6:$J$45,"Sí",'02_PARTICIPANTES'!$K$6:$K$45,"Sí")&gt;0,"Sí",""))</x:f>
      </x:c>
      <x:c r="O97" t="str">
        <x:f>IF(OR(C97="",D97=""),"",IF(COUNTIFS('07_MATRIZ_PERMISOS'!$A$5:$A$50,C97,'07_MATRIZ_PERMISOS'!$B$5:$B$50,D97,'07_MATRIZ_PERMISOS'!$C$5:$C$50,"Sí")&gt;0,"Sí","No"))</x:f>
      </x:c>
      <x:c r="P97" t="str">
        <x:f>IF(AND(N97="Sí",O97="Sí",E97="Sí",F97="Sí",G97="Sí",OR(H97="Correcto",H97="Incorrecto"),L97&lt;&gt;""),"Sí","")</x:f>
      </x:c>
      <x:c r="Q97" t="str">
        <x:f>IF(AND(G97="Sí",P97&lt;&gt;"Sí"),"Revisar elegibilidad, rol, permisos, tarea, evidencia y resultado","")</x:f>
      </x:c>
    </x:row>
    <x:row r="98" ht="27" customHeight="1">
      <x:c r="A98" s="18"/>
      <x:c r="B98" s="18"/>
      <x:c r="C98" s="32"/>
      <x:c r="D98" s="32" t="str">
        <x:f>IF(B98="","",IFERROR(INDEX('02_PARTICIPANTES'!$B$6:$B$45,MATCH(B98,'02_PARTICIPANTES'!$A$6:$A$45,0)),""))</x:f>
      </x:c>
      <x:c r="E98" s="18"/>
      <x:c r="F98" s="18"/>
      <x:c r="G98" s="18"/>
      <x:c r="H98" s="18"/>
      <x:c r="I98" s="18"/>
      <x:c r="J98" s="18"/>
      <x:c r="K98" s="32"/>
      <x:c r="L98" s="32"/>
      <x:c r="M98" s="18"/>
      <x:c r="N98" t="str">
        <x:f>IF(B98="","",IF(COUNTIFS('02_PARTICIPANTES'!$A$6:$A$45,B98,'02_PARTICIPANTES'!$D$6:$D$45,"Sí",'02_PARTICIPANTES'!$E$6:$E$45,"&lt;&gt;",'02_PARTICIPANTES'!$I$6:$I$45,"Sí",'02_PARTICIPANTES'!$J$6:$J$45,"Sí",'02_PARTICIPANTES'!$K$6:$K$45,"Sí")&gt;0,"Sí",""))</x:f>
      </x:c>
      <x:c r="O98" t="str">
        <x:f>IF(OR(C98="",D98=""),"",IF(COUNTIFS('07_MATRIZ_PERMISOS'!$A$5:$A$50,C98,'07_MATRIZ_PERMISOS'!$B$5:$B$50,D98,'07_MATRIZ_PERMISOS'!$C$5:$C$50,"Sí")&gt;0,"Sí","No"))</x:f>
      </x:c>
      <x:c r="P98" t="str">
        <x:f>IF(AND(N98="Sí",O98="Sí",E98="Sí",F98="Sí",G98="Sí",OR(H98="Correcto",H98="Incorrecto"),L98&lt;&gt;""),"Sí","")</x:f>
      </x:c>
      <x:c r="Q98" t="str">
        <x:f>IF(AND(G98="Sí",P98&lt;&gt;"Sí"),"Revisar elegibilidad, rol, permisos, tarea, evidencia y resultado","")</x:f>
      </x:c>
    </x:row>
    <x:row r="99" ht="27" customHeight="1">
      <x:c r="A99" s="18"/>
      <x:c r="B99" s="18"/>
      <x:c r="C99" s="32"/>
      <x:c r="D99" s="32" t="str">
        <x:f>IF(B99="","",IFERROR(INDEX('02_PARTICIPANTES'!$B$6:$B$45,MATCH(B99,'02_PARTICIPANTES'!$A$6:$A$45,0)),""))</x:f>
      </x:c>
      <x:c r="E99" s="18"/>
      <x:c r="F99" s="18"/>
      <x:c r="G99" s="18"/>
      <x:c r="H99" s="18"/>
      <x:c r="I99" s="18"/>
      <x:c r="J99" s="18"/>
      <x:c r="K99" s="32"/>
      <x:c r="L99" s="32"/>
      <x:c r="M99" s="18"/>
      <x:c r="N99" t="str">
        <x:f>IF(B99="","",IF(COUNTIFS('02_PARTICIPANTES'!$A$6:$A$45,B99,'02_PARTICIPANTES'!$D$6:$D$45,"Sí",'02_PARTICIPANTES'!$E$6:$E$45,"&lt;&gt;",'02_PARTICIPANTES'!$I$6:$I$45,"Sí",'02_PARTICIPANTES'!$J$6:$J$45,"Sí",'02_PARTICIPANTES'!$K$6:$K$45,"Sí")&gt;0,"Sí",""))</x:f>
      </x:c>
      <x:c r="O99" t="str">
        <x:f>IF(OR(C99="",D99=""),"",IF(COUNTIFS('07_MATRIZ_PERMISOS'!$A$5:$A$50,C99,'07_MATRIZ_PERMISOS'!$B$5:$B$50,D99,'07_MATRIZ_PERMISOS'!$C$5:$C$50,"Sí")&gt;0,"Sí","No"))</x:f>
      </x:c>
      <x:c r="P99" t="str">
        <x:f>IF(AND(N99="Sí",O99="Sí",E99="Sí",F99="Sí",G99="Sí",OR(H99="Correcto",H99="Incorrecto"),L99&lt;&gt;""),"Sí","")</x:f>
      </x:c>
      <x:c r="Q99" t="str">
        <x:f>IF(AND(G99="Sí",P99&lt;&gt;"Sí"),"Revisar elegibilidad, rol, permisos, tarea, evidencia y resultado","")</x:f>
      </x:c>
    </x:row>
    <x:row r="100" ht="27" customHeight="1">
      <x:c r="A100" s="18"/>
      <x:c r="B100" s="18"/>
      <x:c r="C100" s="32"/>
      <x:c r="D100" s="32" t="str">
        <x:f>IF(B100="","",IFERROR(INDEX('02_PARTICIPANTES'!$B$6:$B$45,MATCH(B100,'02_PARTICIPANTES'!$A$6:$A$45,0)),""))</x:f>
      </x:c>
      <x:c r="E100" s="18"/>
      <x:c r="F100" s="18"/>
      <x:c r="G100" s="18"/>
      <x:c r="H100" s="18"/>
      <x:c r="I100" s="18"/>
      <x:c r="J100" s="18"/>
      <x:c r="K100" s="32"/>
      <x:c r="L100" s="32"/>
      <x:c r="M100" s="18"/>
      <x:c r="N100" t="str">
        <x:f>IF(B100="","",IF(COUNTIFS('02_PARTICIPANTES'!$A$6:$A$45,B100,'02_PARTICIPANTES'!$D$6:$D$45,"Sí",'02_PARTICIPANTES'!$E$6:$E$45,"&lt;&gt;",'02_PARTICIPANTES'!$I$6:$I$45,"Sí",'02_PARTICIPANTES'!$J$6:$J$45,"Sí",'02_PARTICIPANTES'!$K$6:$K$45,"Sí")&gt;0,"Sí",""))</x:f>
      </x:c>
      <x:c r="O100" t="str">
        <x:f>IF(OR(C100="",D100=""),"",IF(COUNTIFS('07_MATRIZ_PERMISOS'!$A$5:$A$50,C100,'07_MATRIZ_PERMISOS'!$B$5:$B$50,D100,'07_MATRIZ_PERMISOS'!$C$5:$C$50,"Sí")&gt;0,"Sí","No"))</x:f>
      </x:c>
      <x:c r="P100" t="str">
        <x:f>IF(AND(N100="Sí",O100="Sí",E100="Sí",F100="Sí",G100="Sí",OR(H100="Correcto",H100="Incorrecto"),L100&lt;&gt;""),"Sí","")</x:f>
      </x:c>
      <x:c r="Q100" t="str">
        <x:f>IF(AND(G100="Sí",P100&lt;&gt;"Sí"),"Revisar elegibilidad, rol, permisos, tarea, evidencia y resultado","")</x:f>
      </x:c>
    </x:row>
    <x:row r="101" ht="27" customHeight="1">
      <x:c r="A101" s="18"/>
      <x:c r="B101" s="18"/>
      <x:c r="C101" s="32"/>
      <x:c r="D101" s="32" t="str">
        <x:f>IF(B101="","",IFERROR(INDEX('02_PARTICIPANTES'!$B$6:$B$45,MATCH(B101,'02_PARTICIPANTES'!$A$6:$A$45,0)),""))</x:f>
      </x:c>
      <x:c r="E101" s="18"/>
      <x:c r="F101" s="18"/>
      <x:c r="G101" s="18"/>
      <x:c r="H101" s="18"/>
      <x:c r="I101" s="18"/>
      <x:c r="J101" s="18"/>
      <x:c r="K101" s="32"/>
      <x:c r="L101" s="32"/>
      <x:c r="M101" s="18"/>
      <x:c r="N101" t="str">
        <x:f>IF(B101="","",IF(COUNTIFS('02_PARTICIPANTES'!$A$6:$A$45,B101,'02_PARTICIPANTES'!$D$6:$D$45,"Sí",'02_PARTICIPANTES'!$E$6:$E$45,"&lt;&gt;",'02_PARTICIPANTES'!$I$6:$I$45,"Sí",'02_PARTICIPANTES'!$J$6:$J$45,"Sí",'02_PARTICIPANTES'!$K$6:$K$45,"Sí")&gt;0,"Sí",""))</x:f>
      </x:c>
      <x:c r="O101" t="str">
        <x:f>IF(OR(C101="",D101=""),"",IF(COUNTIFS('07_MATRIZ_PERMISOS'!$A$5:$A$50,C101,'07_MATRIZ_PERMISOS'!$B$5:$B$50,D101,'07_MATRIZ_PERMISOS'!$C$5:$C$50,"Sí")&gt;0,"Sí","No"))</x:f>
      </x:c>
      <x:c r="P101" t="str">
        <x:f>IF(AND(N101="Sí",O101="Sí",E101="Sí",F101="Sí",G101="Sí",OR(H101="Correcto",H101="Incorrecto"),L101&lt;&gt;""),"Sí","")</x:f>
      </x:c>
      <x:c r="Q101" t="str">
        <x:f>IF(AND(G101="Sí",P101&lt;&gt;"Sí"),"Revisar elegibilidad, rol, permisos, tarea, evidencia y resultado","")</x:f>
      </x:c>
    </x:row>
    <x:row r="102" ht="27" customHeight="1">
      <x:c r="A102" s="18"/>
      <x:c r="B102" s="18"/>
      <x:c r="C102" s="32"/>
      <x:c r="D102" s="32" t="str">
        <x:f>IF(B102="","",IFERROR(INDEX('02_PARTICIPANTES'!$B$6:$B$45,MATCH(B102,'02_PARTICIPANTES'!$A$6:$A$45,0)),""))</x:f>
      </x:c>
      <x:c r="E102" s="18"/>
      <x:c r="F102" s="18"/>
      <x:c r="G102" s="18"/>
      <x:c r="H102" s="18"/>
      <x:c r="I102" s="18"/>
      <x:c r="J102" s="18"/>
      <x:c r="K102" s="32"/>
      <x:c r="L102" s="32"/>
      <x:c r="M102" s="18"/>
      <x:c r="N102" t="str">
        <x:f>IF(B102="","",IF(COUNTIFS('02_PARTICIPANTES'!$A$6:$A$45,B102,'02_PARTICIPANTES'!$D$6:$D$45,"Sí",'02_PARTICIPANTES'!$E$6:$E$45,"&lt;&gt;",'02_PARTICIPANTES'!$I$6:$I$45,"Sí",'02_PARTICIPANTES'!$J$6:$J$45,"Sí",'02_PARTICIPANTES'!$K$6:$K$45,"Sí")&gt;0,"Sí",""))</x:f>
      </x:c>
      <x:c r="O102" t="str">
        <x:f>IF(OR(C102="",D102=""),"",IF(COUNTIFS('07_MATRIZ_PERMISOS'!$A$5:$A$50,C102,'07_MATRIZ_PERMISOS'!$B$5:$B$50,D102,'07_MATRIZ_PERMISOS'!$C$5:$C$50,"Sí")&gt;0,"Sí","No"))</x:f>
      </x:c>
      <x:c r="P102" t="str">
        <x:f>IF(AND(N102="Sí",O102="Sí",E102="Sí",F102="Sí",G102="Sí",OR(H102="Correcto",H102="Incorrecto"),L102&lt;&gt;""),"Sí","")</x:f>
      </x:c>
      <x:c r="Q102" t="str">
        <x:f>IF(AND(G102="Sí",P102&lt;&gt;"Sí"),"Revisar elegibilidad, rol, permisos, tarea, evidencia y resultado","")</x:f>
      </x:c>
    </x:row>
    <x:row r="103" ht="27" customHeight="1">
      <x:c r="A103" s="18"/>
      <x:c r="B103" s="18"/>
      <x:c r="C103" s="32"/>
      <x:c r="D103" s="32" t="str">
        <x:f>IF(B103="","",IFERROR(INDEX('02_PARTICIPANTES'!$B$6:$B$45,MATCH(B103,'02_PARTICIPANTES'!$A$6:$A$45,0)),""))</x:f>
      </x:c>
      <x:c r="E103" s="18"/>
      <x:c r="F103" s="18"/>
      <x:c r="G103" s="18"/>
      <x:c r="H103" s="18"/>
      <x:c r="I103" s="18"/>
      <x:c r="J103" s="18"/>
      <x:c r="K103" s="32"/>
      <x:c r="L103" s="32"/>
      <x:c r="M103" s="18"/>
      <x:c r="N103" t="str">
        <x:f>IF(B103="","",IF(COUNTIFS('02_PARTICIPANTES'!$A$6:$A$45,B103,'02_PARTICIPANTES'!$D$6:$D$45,"Sí",'02_PARTICIPANTES'!$E$6:$E$45,"&lt;&gt;",'02_PARTICIPANTES'!$I$6:$I$45,"Sí",'02_PARTICIPANTES'!$J$6:$J$45,"Sí",'02_PARTICIPANTES'!$K$6:$K$45,"Sí")&gt;0,"Sí",""))</x:f>
      </x:c>
      <x:c r="O103" t="str">
        <x:f>IF(OR(C103="",D103=""),"",IF(COUNTIFS('07_MATRIZ_PERMISOS'!$A$5:$A$50,C103,'07_MATRIZ_PERMISOS'!$B$5:$B$50,D103,'07_MATRIZ_PERMISOS'!$C$5:$C$50,"Sí")&gt;0,"Sí","No"))</x:f>
      </x:c>
      <x:c r="P103" t="str">
        <x:f>IF(AND(N103="Sí",O103="Sí",E103="Sí",F103="Sí",G103="Sí",OR(H103="Correcto",H103="Incorrecto"),L103&lt;&gt;""),"Sí","")</x:f>
      </x:c>
      <x:c r="Q103" t="str">
        <x:f>IF(AND(G103="Sí",P103&lt;&gt;"Sí"),"Revisar elegibilidad, rol, permisos, tarea, evidencia y resultado","")</x:f>
      </x:c>
    </x:row>
    <x:row r="104" ht="27" customHeight="1">
      <x:c r="A104" s="18"/>
      <x:c r="B104" s="18"/>
      <x:c r="C104" s="32"/>
      <x:c r="D104" s="32" t="str">
        <x:f>IF(B104="","",IFERROR(INDEX('02_PARTICIPANTES'!$B$6:$B$45,MATCH(B104,'02_PARTICIPANTES'!$A$6:$A$45,0)),""))</x:f>
      </x:c>
      <x:c r="E104" s="18"/>
      <x:c r="F104" s="18"/>
      <x:c r="G104" s="18"/>
      <x:c r="H104" s="18"/>
      <x:c r="I104" s="18"/>
      <x:c r="J104" s="18"/>
      <x:c r="K104" s="32"/>
      <x:c r="L104" s="32"/>
      <x:c r="M104" s="18"/>
      <x:c r="N104" t="str">
        <x:f>IF(B104="","",IF(COUNTIFS('02_PARTICIPANTES'!$A$6:$A$45,B104,'02_PARTICIPANTES'!$D$6:$D$45,"Sí",'02_PARTICIPANTES'!$E$6:$E$45,"&lt;&gt;",'02_PARTICIPANTES'!$I$6:$I$45,"Sí",'02_PARTICIPANTES'!$J$6:$J$45,"Sí",'02_PARTICIPANTES'!$K$6:$K$45,"Sí")&gt;0,"Sí",""))</x:f>
      </x:c>
      <x:c r="O104" t="str">
        <x:f>IF(OR(C104="",D104=""),"",IF(COUNTIFS('07_MATRIZ_PERMISOS'!$A$5:$A$50,C104,'07_MATRIZ_PERMISOS'!$B$5:$B$50,D104,'07_MATRIZ_PERMISOS'!$C$5:$C$50,"Sí")&gt;0,"Sí","No"))</x:f>
      </x:c>
      <x:c r="P104" t="str">
        <x:f>IF(AND(N104="Sí",O104="Sí",E104="Sí",F104="Sí",G104="Sí",OR(H104="Correcto",H104="Incorrecto"),L104&lt;&gt;""),"Sí","")</x:f>
      </x:c>
      <x:c r="Q104" t="str">
        <x:f>IF(AND(G104="Sí",P104&lt;&gt;"Sí"),"Revisar elegibilidad, rol, permisos, tarea, evidencia y resultado","")</x:f>
      </x:c>
    </x:row>
    <x:row r="105" ht="27" customHeight="1">
      <x:c r="A105" s="18"/>
      <x:c r="B105" s="18"/>
      <x:c r="C105" s="32"/>
      <x:c r="D105" s="32" t="str">
        <x:f>IF(B105="","",IFERROR(INDEX('02_PARTICIPANTES'!$B$6:$B$45,MATCH(B105,'02_PARTICIPANTES'!$A$6:$A$45,0)),""))</x:f>
      </x:c>
      <x:c r="E105" s="18"/>
      <x:c r="F105" s="18"/>
      <x:c r="G105" s="18"/>
      <x:c r="H105" s="18"/>
      <x:c r="I105" s="18"/>
      <x:c r="J105" s="18"/>
      <x:c r="K105" s="32"/>
      <x:c r="L105" s="32"/>
      <x:c r="M105" s="18"/>
      <x:c r="N105" t="str">
        <x:f>IF(B105="","",IF(COUNTIFS('02_PARTICIPANTES'!$A$6:$A$45,B105,'02_PARTICIPANTES'!$D$6:$D$45,"Sí",'02_PARTICIPANTES'!$E$6:$E$45,"&lt;&gt;",'02_PARTICIPANTES'!$I$6:$I$45,"Sí",'02_PARTICIPANTES'!$J$6:$J$45,"Sí",'02_PARTICIPANTES'!$K$6:$K$45,"Sí")&gt;0,"Sí",""))</x:f>
      </x:c>
      <x:c r="O105" t="str">
        <x:f>IF(OR(C105="",D105=""),"",IF(COUNTIFS('07_MATRIZ_PERMISOS'!$A$5:$A$50,C105,'07_MATRIZ_PERMISOS'!$B$5:$B$50,D105,'07_MATRIZ_PERMISOS'!$C$5:$C$50,"Sí")&gt;0,"Sí","No"))</x:f>
      </x:c>
      <x:c r="P105" t="str">
        <x:f>IF(AND(N105="Sí",O105="Sí",E105="Sí",F105="Sí",G105="Sí",OR(H105="Correcto",H105="Incorrecto"),L105&lt;&gt;""),"Sí","")</x:f>
      </x:c>
      <x:c r="Q105" t="str">
        <x:f>IF(AND(G105="Sí",P105&lt;&gt;"Sí"),"Revisar elegibilidad, rol, permisos, tarea, evidencia y resultado","")</x:f>
      </x:c>
    </x:row>
  </x:sheetData>
  <x:mergeCells>
    <x:mergeCell ref="A1:M2"/>
    <x:mergeCell ref="A3:M3"/>
    <x:mergeCell ref="A4:M4"/>
  </x:mergeCells>
  <x:conditionalFormatting sqref="H6:H105">
    <x:cfRule type="expression" dxfId="0" priority="1">
      <x:formula>AND($H6="Correcto",$L6="")</x:formula>
    </x:cfRule>
  </x:conditionalFormatting>
  <x:dataValidations count="7">
    <x:dataValidation type="list" sqref="E6:E105">
      <x:formula1>"Sí,No,Pendiente"</x:formula1>
    </x:dataValidation>
    <x:dataValidation type="list" sqref="F6:F105">
      <x:formula1>"Sí,No,Pendiente"</x:formula1>
    </x:dataValidation>
    <x:dataValidation type="list" sqref="G6:G105">
      <x:formula1>"Sí,No,Pendiente"</x:formula1>
    </x:dataValidation>
    <x:dataValidation type="list" sqref="I6:I105">
      <x:formula1>"Sí,No,Pendiente"</x:formula1>
    </x:dataValidation>
    <x:dataValidation type="list" sqref="H6:H105">
      <x:formula1>"Correcto,Incorrecto,Interrumpido,Pendiente"</x:formula1>
    </x:dataValidation>
    <x:dataValidation type="list" sqref="C6:C105">
      <x:formula1>"T-US-01,T-US-02,T-US-03,T-US-04,T-US-05,T-US-06"</x:formula1>
    </x:dataValidation>
    <x:dataValidation type="whole" sqref="K6:K10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b36494b7fc4f2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5" customHeight="1">
      <x:c r="A1" s="34" t="str">
        <x:v>COBERTURA SUS Y TAREAS | SIN DATOS REALES</x:v>
      </x:c>
      <x:c r="B1" s="34"/>
      <x:c r="C1" s="34"/>
      <x:c r="D1" s="34"/>
      <x:c r="E1" s="34"/>
      <x:c r="F1" s="34"/>
    </x:row>
    <x:row r="2" ht="25" customHeight="1">
      <x:c r="A2" s="34"/>
      <x:c r="B2" s="34"/>
      <x:c r="C2" s="34"/>
      <x:c r="D2" s="34"/>
      <x:c r="E2" s="34"/>
      <x:c r="F2" s="34"/>
    </x:row>
    <x:row r="5" ht="29" customHeight="1">
      <x:c r="A5" s="13" t="str">
        <x:v>Indicador</x:v>
      </x:c>
      <x:c r="B5" s="13" t="str">
        <x:v>Resultado automático / por confirmar</x:v>
      </x:c>
    </x:row>
    <x:row r="6" ht="31" customHeight="1">
      <x:c r="A6" s="40" t="str">
        <x:v>Población prevista</x:v>
      </x:c>
      <x:c r="B6" s="18" t="n">
        <x:v>10</x:v>
      </x:c>
    </x:row>
    <x:row r="7" ht="31" customHeight="1">
      <x:c r="A7" s="40" t="str">
        <x:v>Participantes elegibles confirmados</x:v>
      </x:c>
      <x:c r="B7" s="18" t="n">
        <x:f>COUNTIFS('02_PARTICIPANTES'!D6:D45,"Sí",'02_PARTICIPANTES'!E6:E45,"&lt;&gt;")</x:f>
        <x:v>0</x:v>
      </x:c>
    </x:row>
    <x:row r="8" ht="31" customHeight="1">
      <x:c r="A8" s="40" t="str">
        <x:v>Sesiones realizadas</x:v>
      </x:c>
      <x:c r="B8" s="18" t="n">
        <x:f>COUNTIFS('02_PARTICIPANTES'!D6:D45,"Sí",'02_PARTICIPANTES'!E6:E45,"&lt;&gt;",'02_PARTICIPANTES'!I6:I45,"Sí",'02_PARTICIPANTES'!J6:J45,"Sí",'02_PARTICIPANTES'!K6:K45,"Sí",'02_PARTICIPANTES'!H6:H45,"&lt;&gt;",'02_PARTICIPANTES'!O6:O45,"&lt;&gt;")</x:f>
        <x:v>0</x:v>
      </x:c>
    </x:row>
    <x:row r="9" ht="31" customHeight="1">
      <x:c r="A9" s="40" t="str">
        <x:v>Cuestionarios SUS válidos</x:v>
      </x:c>
      <x:c r="B9" s="18" t="n">
        <x:f>COUNTIFS('02_PARTICIPANTES'!D6:D45,"Sí",'02_PARTICIPANTES'!E6:E45,"&lt;&gt;",'02_PARTICIPANTES'!I6:I45,"Sí",'02_PARTICIPANTES'!J6:J45,"Sí",'02_PARTICIPANTES'!K6:K45,"Sí",'02_PARTICIPANTES'!L6:L45,"Sí",'02_PARTICIPANTES'!M6:M45,"Sí")</x:f>
        <x:v>0</x:v>
      </x:c>
    </x:row>
    <x:row r="10" ht="31" customHeight="1">
      <x:c r="A10" s="40" t="str">
        <x:v>Personas con al menos una tarea finalizada</x:v>
      </x:c>
      <x:c r="B10" s="18" t="str">
        <x:f>IF(B11="","",SUM(B24:B33))</x:f>
      </x:c>
    </x:row>
    <x:row r="11" ht="31" customHeight="1">
      <x:c r="A11" s="40" t="str">
        <x:v>Intentos de tarea válidos</x:v>
      </x:c>
      <x:c r="B11" s="18" t="str">
        <x:f>IF(COUNTIF('04_ASIGNACION_TAREAS'!P6:P105,"Sí")=0,"",COUNTIF('04_ASIGNACION_TAREAS'!P6:P105,"Sí"))</x:f>
      </x:c>
    </x:row>
    <x:row r="12" ht="31" customHeight="1">
      <x:c r="A12" s="40" t="str">
        <x:v>Tareas completadas correctamente</x:v>
      </x:c>
      <x:c r="B12" s="18" t="str">
        <x:f>IF(B11="","",COUNTIFS('04_ASIGNACION_TAREAS'!P6:P105,"Sí",'04_ASIGNACION_TAREAS'!H6:H105,"Correcto"))</x:f>
      </x:c>
    </x:row>
    <x:row r="13" ht="31" customHeight="1">
      <x:c r="A13" s="40" t="str">
        <x:v>Cobertura efectiva de participantes</x:v>
      </x:c>
      <x:c r="B13" s="41" t="str">
        <x:f>IF(OR(B15="",B15&lt;=0),"",IFERROR(B8/B15,""))</x:f>
      </x:c>
    </x:row>
    <x:row r="14" ht="31" customHeight="1">
      <x:c r="A14" s="40" t="str">
        <x:v>Tasa de éxito de tareas</x:v>
      </x:c>
      <x:c r="B14" s="41" t="str">
        <x:f>IF(OR(B11="",B11&lt;=0),"",IFERROR(B12/B11,""))</x:f>
      </x:c>
    </x:row>
    <x:row r="15" ht="31" customHeight="1">
      <x:c r="A15" s="40" t="str">
        <x:v>Universo confirmado para cobertura</x:v>
      </x:c>
      <x:c r="B15" s="32"/>
    </x:row>
    <x:row r="16" ht="31" customHeight="1">
      <x:c r="A16" s="40" t="str">
        <x:v>Estado de mediciones</x:v>
      </x:c>
      <x:c r="B16" s="18" t="str">
        <x:v>SIN APLICAR — resultados SUS y tasas vacíos hasta contar con evidencia completa</x:v>
      </x:c>
    </x:row>
    <x:row r="17" ht="31" customHeight="1">
      <x:c r="A17" s="40" t="str">
        <x:v>Criterio de intento válido</x:v>
      </x:c>
      <x:c r="B17" s="18" t="str">
        <x:v>Intento realizado = Sí; resultado Correcto o Incorrecto</x:v>
      </x:c>
    </x:row>
    <x:row r="18" ht="31" customHeight="1">
      <x:c r="A18" s="40" t="str">
        <x:v>Fuente</x:v>
      </x:c>
      <x:c r="B18" s="18" t="str">
        <x:v>D-34-02; documento de factibilidad: 10 usuarios previstos</x:v>
      </x:c>
    </x:row>
    <x:row r="19">
      <x:c r="A19" t="str">
        <x:v>SUS medio (puntos, solo cuestionarios válidos)</x:v>
      </x:c>
      <x:c r="B19" t="str">
        <x:f>IF(B9=0,"",IFERROR(SUMIFS('06_CAPTURA_SUS'!$M$5:$M$44,'02_PARTICIPANTES'!$M$6:$M$45,"Sí")/B9,""))</x:f>
      </x:c>
    </x:row>
    <x:row r="20">
      <x:c r="A20" t="str">
        <x:v>Cumplimiento SUS ≥ 75 (si el protocolo se aprueba)</x:v>
      </x:c>
      <x:c r="B20" t="str">
        <x:f>IF(B19="","",IF(B19&gt;=75,"Cumple","No cumple"))</x:f>
      </x:c>
    </x:row>
    <x:row r="22">
      <x:c r="A22" s="13" t="str">
        <x:v>Código participante</x:v>
      </x:c>
      <x:c r="B22" s="13" t="str">
        <x:v>¿Al menos una tarea finalizada? (1 / 0)</x:v>
      </x:c>
    </x:row>
    <x:row r="24">
      <x:c r="A24" t="str">
        <x:v>P01</x:v>
      </x:c>
      <x:c r="B24" t="n">
        <x:f>IF(COUNTIFS('04_ASIGNACION_TAREAS'!$B$6:$B$105,A24,'04_ASIGNACION_TAREAS'!$P$6:$P$105,"Sí")&gt;0,1,0)</x:f>
        <x:v>0</x:v>
      </x:c>
    </x:row>
    <x:row r="25">
      <x:c r="A25" t="str">
        <x:v>P02</x:v>
      </x:c>
      <x:c r="B25" t="n">
        <x:f>IF(COUNTIFS('04_ASIGNACION_TAREAS'!$B$6:$B$105,A25,'04_ASIGNACION_TAREAS'!$P$6:$P$105,"Sí")&gt;0,1,0)</x:f>
        <x:v>0</x:v>
      </x:c>
    </x:row>
    <x:row r="26">
      <x:c r="A26" t="str">
        <x:v>P03</x:v>
      </x:c>
      <x:c r="B26" t="n">
        <x:f>IF(COUNTIFS('04_ASIGNACION_TAREAS'!$B$6:$B$105,A26,'04_ASIGNACION_TAREAS'!$P$6:$P$105,"Sí")&gt;0,1,0)</x:f>
        <x:v>0</x:v>
      </x:c>
    </x:row>
    <x:row r="27">
      <x:c r="A27" t="str">
        <x:v>P04</x:v>
      </x:c>
      <x:c r="B27" t="n">
        <x:f>IF(COUNTIFS('04_ASIGNACION_TAREAS'!$B$6:$B$105,A27,'04_ASIGNACION_TAREAS'!$P$6:$P$105,"Sí")&gt;0,1,0)</x:f>
        <x:v>0</x:v>
      </x:c>
    </x:row>
    <x:row r="28">
      <x:c r="A28" t="str">
        <x:v>P05</x:v>
      </x:c>
      <x:c r="B28" t="n">
        <x:f>IF(COUNTIFS('04_ASIGNACION_TAREAS'!$B$6:$B$105,A28,'04_ASIGNACION_TAREAS'!$P$6:$P$105,"Sí")&gt;0,1,0)</x:f>
        <x:v>0</x:v>
      </x:c>
    </x:row>
    <x:row r="29">
      <x:c r="A29" t="str">
        <x:v>P06</x:v>
      </x:c>
      <x:c r="B29" t="n">
        <x:f>IF(COUNTIFS('04_ASIGNACION_TAREAS'!$B$6:$B$105,A29,'04_ASIGNACION_TAREAS'!$P$6:$P$105,"Sí")&gt;0,1,0)</x:f>
        <x:v>0</x:v>
      </x:c>
    </x:row>
    <x:row r="30">
      <x:c r="A30" t="str">
        <x:v>P07</x:v>
      </x:c>
      <x:c r="B30" t="n">
        <x:f>IF(COUNTIFS('04_ASIGNACION_TAREAS'!$B$6:$B$105,A30,'04_ASIGNACION_TAREAS'!$P$6:$P$105,"Sí")&gt;0,1,0)</x:f>
        <x:v>0</x:v>
      </x:c>
    </x:row>
    <x:row r="31">
      <x:c r="A31" t="str">
        <x:v>P08</x:v>
      </x:c>
      <x:c r="B31" t="n">
        <x:f>IF(COUNTIFS('04_ASIGNACION_TAREAS'!$B$6:$B$105,A31,'04_ASIGNACION_TAREAS'!$P$6:$P$105,"Sí")&gt;0,1,0)</x:f>
        <x:v>0</x:v>
      </x:c>
    </x:row>
    <x:row r="32">
      <x:c r="A32" t="str">
        <x:v>P09</x:v>
      </x:c>
      <x:c r="B32" t="n">
        <x:f>IF(COUNTIFS('04_ASIGNACION_TAREAS'!$B$6:$B$105,A32,'04_ASIGNACION_TAREAS'!$P$6:$P$105,"Sí")&gt;0,1,0)</x:f>
        <x:v>0</x:v>
      </x:c>
    </x:row>
    <x:row r="33">
      <x:c r="A33" t="str">
        <x:v>P10</x:v>
      </x:c>
      <x:c r="B33" t="n">
        <x:f>IF(COUNTIFS('04_ASIGNACION_TAREAS'!$B$6:$B$105,A33,'04_ASIGNACION_TAREAS'!$P$6:$P$105,"Sí")&gt;0,1,0)</x:f>
        <x:v>0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20" hidden="0" customWidth="1"/>
    <x:col min="13" max="13" width="22" hidden="0" customWidth="1"/>
    <x:col min="14" max="14" width="28" hidden="0" customWidth="1"/>
    <x:col min="15" max="15" width="21" hidden="0" customWidth="1"/>
    <x:col min="16" max="16" width="42" hidden="0" customWidth="1"/>
  </x:cols>
  <x:sheetData>
    <x:row r="1" ht="35" customHeight="1">
      <x:c r="A1" s="45" t="str">
        <x:v>CAPTURA CONTROLADA — SYSTEM USABILITY SCALE (10 ÍTEMS)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</x:row>
    <x:row r="2" ht="30" customHeight="1">
      <x:c r="A2" s="48" t="str">
        <x:v>Los 10 ítems mantienen el orden y alternancia de SUS. Introducir valores enteros 1–5 de un cuestionario REAL; fórmula no calcula con respuestas incompletas.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</x:row>
    <x:row r="4" ht="37" customHeight="1">
      <x:c r="A4" s="52" t="str">
        <x:v>Código</x:v>
      </x:c>
      <x:c r="B4" s="52" t="str">
        <x:v>Q1</x:v>
      </x:c>
      <x:c r="C4" s="52" t="str">
        <x:v>Q2</x:v>
      </x:c>
      <x:c r="D4" s="52" t="str">
        <x:v>Q3</x:v>
      </x:c>
      <x:c r="E4" s="52" t="str">
        <x:v>Q4</x:v>
      </x:c>
      <x:c r="F4" s="52" t="str">
        <x:v>Q5</x:v>
      </x:c>
      <x:c r="G4" s="52" t="str">
        <x:v>Q6</x:v>
      </x:c>
      <x:c r="H4" s="52" t="str">
        <x:v>Q7</x:v>
      </x:c>
      <x:c r="I4" s="52" t="str">
        <x:v>Q8</x:v>
      </x:c>
      <x:c r="J4" s="52" t="str">
        <x:v>Q9</x:v>
      </x:c>
      <x:c r="K4" s="52" t="str">
        <x:v>Q10</x:v>
      </x:c>
      <x:c r="L4" s="52" t="str">
        <x:v>Respuestas válidas (1-5)</x:v>
      </x:c>
      <x:c r="M4" s="52" t="str">
        <x:v>Puntuación SUS (0-100)</x:v>
      </x:c>
      <x:c r="N4" s="52" t="str">
        <x:v>Código evidencia captura</x:v>
      </x:c>
      <x:c r="O4" s="52" t="str">
        <x:v>Control de revisión</x:v>
      </x:c>
      <x:c r="P4" s="52" t="str">
        <x:v>Observaciones</x:v>
      </x:c>
    </x:row>
    <x:row r="5" ht="46" customHeight="1">
      <x:c r="A5" s="18" t="str">
        <x:v>P01</x:v>
      </x:c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18" t="str">
        <x:f>IF(COUNTA(B5:K5)=0,"",IF(AND(COUNT(B5:K5)=10,COUNTIF(B5:K5,1)+COUNTIF(B5:K5,2)+COUNTIF(B5:K5,3)+COUNTIF(B5:K5,4)+COUNTIF(B5:K5,5)=10),"Sí","No"))</x:f>
      </x:c>
      <x:c r="M5" s="18" t="str">
        <x:f>IF(L5&lt;&gt;"Sí","",2.5*((B5-1)+(5-C5)+(D5-1)+(5-E5)+(F5-1)+(5-G5)+(H5-1)+(5-I5)+(J5-1)+(5-K5)))</x:f>
      </x:c>
      <x:c r="N5" s="18"/>
      <x:c r="O5" s="18"/>
      <x:c r="P5" s="18"/>
    </x:row>
    <x:row r="6" ht="46" customHeight="1">
      <x:c r="A6" s="18" t="str">
        <x:v>P02</x:v>
      </x:c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18" t="str">
        <x:f>IF(COUNTA(B6:K6)=0,"",IF(AND(COUNT(B6:K6)=10,COUNTIF(B6:K6,1)+COUNTIF(B6:K6,2)+COUNTIF(B6:K6,3)+COUNTIF(B6:K6,4)+COUNTIF(B6:K6,5)=10),"Sí","No"))</x:f>
      </x:c>
      <x:c r="M6" s="18" t="str">
        <x:f>IF(L6&lt;&gt;"Sí","",2.5*((B6-1)+(5-C6)+(D6-1)+(5-E6)+(F6-1)+(5-G6)+(H6-1)+(5-I6)+(J6-1)+(5-K6)))</x:f>
      </x:c>
      <x:c r="N6" s="18"/>
      <x:c r="O6" s="18"/>
      <x:c r="P6" s="18"/>
    </x:row>
    <x:row r="7" ht="46" customHeight="1">
      <x:c r="A7" s="18" t="str">
        <x:v>P03</x:v>
      </x:c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18" t="str">
        <x:f>IF(COUNTA(B7:K7)=0,"",IF(AND(COUNT(B7:K7)=10,COUNTIF(B7:K7,1)+COUNTIF(B7:K7,2)+COUNTIF(B7:K7,3)+COUNTIF(B7:K7,4)+COUNTIF(B7:K7,5)=10),"Sí","No"))</x:f>
      </x:c>
      <x:c r="M7" s="18" t="str">
        <x:f>IF(L7&lt;&gt;"Sí","",2.5*((B7-1)+(5-C7)+(D7-1)+(5-E7)+(F7-1)+(5-G7)+(H7-1)+(5-I7)+(J7-1)+(5-K7)))</x:f>
      </x:c>
      <x:c r="N7" s="18"/>
      <x:c r="O7" s="18"/>
      <x:c r="P7" s="18"/>
    </x:row>
    <x:row r="8" ht="46" customHeight="1">
      <x:c r="A8" s="18" t="str">
        <x:v>P04</x:v>
      </x:c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18" t="str">
        <x:f>IF(COUNTA(B8:K8)=0,"",IF(AND(COUNT(B8:K8)=10,COUNTIF(B8:K8,1)+COUNTIF(B8:K8,2)+COUNTIF(B8:K8,3)+COUNTIF(B8:K8,4)+COUNTIF(B8:K8,5)=10),"Sí","No"))</x:f>
      </x:c>
      <x:c r="M8" s="18" t="str">
        <x:f>IF(L8&lt;&gt;"Sí","",2.5*((B8-1)+(5-C8)+(D8-1)+(5-E8)+(F8-1)+(5-G8)+(H8-1)+(5-I8)+(J8-1)+(5-K8)))</x:f>
      </x:c>
      <x:c r="N8" s="18"/>
      <x:c r="O8" s="18"/>
      <x:c r="P8" s="18"/>
    </x:row>
    <x:row r="9" ht="46" customHeight="1">
      <x:c r="A9" s="18" t="str">
        <x:v>P05</x:v>
      </x:c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18" t="str">
        <x:f>IF(COUNTA(B9:K9)=0,"",IF(AND(COUNT(B9:K9)=10,COUNTIF(B9:K9,1)+COUNTIF(B9:K9,2)+COUNTIF(B9:K9,3)+COUNTIF(B9:K9,4)+COUNTIF(B9:K9,5)=10),"Sí","No"))</x:f>
      </x:c>
      <x:c r="M9" s="18" t="str">
        <x:f>IF(L9&lt;&gt;"Sí","",2.5*((B9-1)+(5-C9)+(D9-1)+(5-E9)+(F9-1)+(5-G9)+(H9-1)+(5-I9)+(J9-1)+(5-K9)))</x:f>
      </x:c>
      <x:c r="N9" s="18"/>
      <x:c r="O9" s="18"/>
      <x:c r="P9" s="18"/>
    </x:row>
    <x:row r="10" ht="46" customHeight="1">
      <x:c r="A10" s="18" t="str">
        <x:v>P06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18" t="str">
        <x:f>IF(COUNTA(B10:K10)=0,"",IF(AND(COUNT(B10:K10)=10,COUNTIF(B10:K10,1)+COUNTIF(B10:K10,2)+COUNTIF(B10:K10,3)+COUNTIF(B10:K10,4)+COUNTIF(B10:K10,5)=10),"Sí","No"))</x:f>
      </x:c>
      <x:c r="M10" s="18" t="str">
        <x:f>IF(L10&lt;&gt;"Sí","",2.5*((B10-1)+(5-C10)+(D10-1)+(5-E10)+(F10-1)+(5-G10)+(H10-1)+(5-I10)+(J10-1)+(5-K10)))</x:f>
      </x:c>
      <x:c r="N10" s="18"/>
      <x:c r="O10" s="18"/>
      <x:c r="P10" s="18"/>
    </x:row>
    <x:row r="11" ht="46" customHeight="1">
      <x:c r="A11" s="18" t="str">
        <x:v>P07</x:v>
      </x:c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18" t="str">
        <x:f>IF(COUNTA(B11:K11)=0,"",IF(AND(COUNT(B11:K11)=10,COUNTIF(B11:K11,1)+COUNTIF(B11:K11,2)+COUNTIF(B11:K11,3)+COUNTIF(B11:K11,4)+COUNTIF(B11:K11,5)=10),"Sí","No"))</x:f>
      </x:c>
      <x:c r="M11" s="18" t="str">
        <x:f>IF(L11&lt;&gt;"Sí","",2.5*((B11-1)+(5-C11)+(D11-1)+(5-E11)+(F11-1)+(5-G11)+(H11-1)+(5-I11)+(J11-1)+(5-K11)))</x:f>
      </x:c>
      <x:c r="N11" s="18"/>
      <x:c r="O11" s="18"/>
      <x:c r="P11" s="18"/>
    </x:row>
    <x:row r="12" ht="46" customHeight="1">
      <x:c r="A12" s="18" t="str">
        <x:v>P08</x:v>
      </x:c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18" t="str">
        <x:f>IF(COUNTA(B12:K12)=0,"",IF(AND(COUNT(B12:K12)=10,COUNTIF(B12:K12,1)+COUNTIF(B12:K12,2)+COUNTIF(B12:K12,3)+COUNTIF(B12:K12,4)+COUNTIF(B12:K12,5)=10),"Sí","No"))</x:f>
      </x:c>
      <x:c r="M12" s="18" t="str">
        <x:f>IF(L12&lt;&gt;"Sí","",2.5*((B12-1)+(5-C12)+(D12-1)+(5-E12)+(F12-1)+(5-G12)+(H12-1)+(5-I12)+(J12-1)+(5-K12)))</x:f>
      </x:c>
      <x:c r="N12" s="18"/>
      <x:c r="O12" s="18"/>
      <x:c r="P12" s="18"/>
    </x:row>
    <x:row r="13" ht="46" customHeight="1">
      <x:c r="A13" s="18" t="str">
        <x:v>P09</x:v>
      </x:c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18" t="str">
        <x:f>IF(COUNTA(B13:K13)=0,"",IF(AND(COUNT(B13:K13)=10,COUNTIF(B13:K13,1)+COUNTIF(B13:K13,2)+COUNTIF(B13:K13,3)+COUNTIF(B13:K13,4)+COUNTIF(B13:K13,5)=10),"Sí","No"))</x:f>
      </x:c>
      <x:c r="M13" s="18" t="str">
        <x:f>IF(L13&lt;&gt;"Sí","",2.5*((B13-1)+(5-C13)+(D13-1)+(5-E13)+(F13-1)+(5-G13)+(H13-1)+(5-I13)+(J13-1)+(5-K13)))</x:f>
      </x:c>
      <x:c r="N13" s="18"/>
      <x:c r="O13" s="18"/>
      <x:c r="P13" s="18"/>
    </x:row>
    <x:row r="14" ht="46" customHeight="1">
      <x:c r="A14" s="18" t="str">
        <x:v>P10</x:v>
      </x:c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18" t="str">
        <x:f>IF(COUNTA(B14:K14)=0,"",IF(AND(COUNT(B14:K14)=10,COUNTIF(B14:K14,1)+COUNTIF(B14:K14,2)+COUNTIF(B14:K14,3)+COUNTIF(B14:K14,4)+COUNTIF(B14:K14,5)=10),"Sí","No"))</x:f>
      </x:c>
      <x:c r="M14" s="18" t="str">
        <x:f>IF(L14&lt;&gt;"Sí","",2.5*((B14-1)+(5-C14)+(D14-1)+(5-E14)+(F14-1)+(5-G14)+(H14-1)+(5-I14)+(J14-1)+(5-K14)))</x:f>
      </x:c>
      <x:c r="N14" s="18"/>
      <x:c r="O14" s="18"/>
      <x:c r="P14" s="18"/>
    </x:row>
    <x:row r="15"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t="str">
        <x:f>IF(COUNTA(B15:K15)=0,"",IF(AND(COUNT(B15:K15)=10,COUNTIF(B15:K15,1)+COUNTIF(B15:K15,2)+COUNTIF(B15:K15,3)+COUNTIF(B15:K15,4)+COUNTIF(B15:K15,5)=10),"Sí","No"))</x:f>
      </x:c>
      <x:c r="M15" t="str">
        <x:f>IF(L15&lt;&gt;"Sí","",2.5*((B15-1)+(5-C15)+(D15-1)+(5-E15)+(F15-1)+(5-G15)+(H15-1)+(5-I15)+(J15-1)+(5-K15)))</x:f>
      </x:c>
    </x:row>
    <x:row r="16"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t="str">
        <x:f>IF(COUNTA(B16:K16)=0,"",IF(AND(COUNT(B16:K16)=10,COUNTIF(B16:K16,1)+COUNTIF(B16:K16,2)+COUNTIF(B16:K16,3)+COUNTIF(B16:K16,4)+COUNTIF(B16:K16,5)=10),"Sí","No"))</x:f>
      </x:c>
      <x:c r="M16" t="str">
        <x:f>IF(L16&lt;&gt;"Sí","",2.5*((B16-1)+(5-C16)+(D16-1)+(5-E16)+(F16-1)+(5-G16)+(H16-1)+(5-I16)+(J16-1)+(5-K16)))</x:f>
      </x:c>
    </x:row>
    <x:row r="17"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t="str">
        <x:f>IF(COUNTA(B17:K17)=0,"",IF(AND(COUNT(B17:K17)=10,COUNTIF(B17:K17,1)+COUNTIF(B17:K17,2)+COUNTIF(B17:K17,3)+COUNTIF(B17:K17,4)+COUNTIF(B17:K17,5)=10),"Sí","No"))</x:f>
      </x:c>
      <x:c r="M17" t="str">
        <x:f>IF(L17&lt;&gt;"Sí","",2.5*((B17-1)+(5-C17)+(D17-1)+(5-E17)+(F17-1)+(5-G17)+(H17-1)+(5-I17)+(J17-1)+(5-K17)))</x:f>
      </x:c>
    </x:row>
    <x:row r="18"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t="str">
        <x:f>IF(COUNTA(B18:K18)=0,"",IF(AND(COUNT(B18:K18)=10,COUNTIF(B18:K18,1)+COUNTIF(B18:K18,2)+COUNTIF(B18:K18,3)+COUNTIF(B18:K18,4)+COUNTIF(B18:K18,5)=10),"Sí","No"))</x:f>
      </x:c>
      <x:c r="M18" t="str">
        <x:f>IF(L18&lt;&gt;"Sí","",2.5*((B18-1)+(5-C18)+(D18-1)+(5-E18)+(F18-1)+(5-G18)+(H18-1)+(5-I18)+(J18-1)+(5-K18)))</x:f>
      </x:c>
    </x:row>
    <x:row r="19"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t="str">
        <x:f>IF(COUNTA(B19:K19)=0,"",IF(AND(COUNT(B19:K19)=10,COUNTIF(B19:K19,1)+COUNTIF(B19:K19,2)+COUNTIF(B19:K19,3)+COUNTIF(B19:K19,4)+COUNTIF(B19:K19,5)=10),"Sí","No"))</x:f>
      </x:c>
      <x:c r="M19" t="str">
        <x:f>IF(L19&lt;&gt;"Sí","",2.5*((B19-1)+(5-C19)+(D19-1)+(5-E19)+(F19-1)+(5-G19)+(H19-1)+(5-I19)+(J19-1)+(5-K19)))</x:f>
      </x:c>
    </x:row>
    <x:row r="20"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t="str">
        <x:f>IF(COUNTA(B20:K20)=0,"",IF(AND(COUNT(B20:K20)=10,COUNTIF(B20:K20,1)+COUNTIF(B20:K20,2)+COUNTIF(B20:K20,3)+COUNTIF(B20:K20,4)+COUNTIF(B20:K20,5)=10),"Sí","No"))</x:f>
      </x:c>
      <x:c r="M20" t="str">
        <x:f>IF(L20&lt;&gt;"Sí","",2.5*((B20-1)+(5-C20)+(D20-1)+(5-E20)+(F20-1)+(5-G20)+(H20-1)+(5-I20)+(J20-1)+(5-K20)))</x:f>
      </x:c>
    </x:row>
    <x:row r="21"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t="str">
        <x:f>IF(COUNTA(B21:K21)=0,"",IF(AND(COUNT(B21:K21)=10,COUNTIF(B21:K21,1)+COUNTIF(B21:K21,2)+COUNTIF(B21:K21,3)+COUNTIF(B21:K21,4)+COUNTIF(B21:K21,5)=10),"Sí","No"))</x:f>
      </x:c>
      <x:c r="M21" t="str">
        <x:f>IF(L21&lt;&gt;"Sí","",2.5*((B21-1)+(5-C21)+(D21-1)+(5-E21)+(F21-1)+(5-G21)+(H21-1)+(5-I21)+(J21-1)+(5-K21)))</x:f>
      </x:c>
    </x:row>
    <x:row r="22"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t="str">
        <x:f>IF(COUNTA(B22:K22)=0,"",IF(AND(COUNT(B22:K22)=10,COUNTIF(B22:K22,1)+COUNTIF(B22:K22,2)+COUNTIF(B22:K22,3)+COUNTIF(B22:K22,4)+COUNTIF(B22:K22,5)=10),"Sí","No"))</x:f>
      </x:c>
      <x:c r="M22" t="str">
        <x:f>IF(L22&lt;&gt;"Sí","",2.5*((B22-1)+(5-C22)+(D22-1)+(5-E22)+(F22-1)+(5-G22)+(H22-1)+(5-I22)+(J22-1)+(5-K22)))</x:f>
      </x:c>
    </x:row>
    <x:row r="23"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t="str">
        <x:f>IF(COUNTA(B23:K23)=0,"",IF(AND(COUNT(B23:K23)=10,COUNTIF(B23:K23,1)+COUNTIF(B23:K23,2)+COUNTIF(B23:K23,3)+COUNTIF(B23:K23,4)+COUNTIF(B23:K23,5)=10),"Sí","No"))</x:f>
      </x:c>
      <x:c r="M23" t="str">
        <x:f>IF(L23&lt;&gt;"Sí","",2.5*((B23-1)+(5-C23)+(D23-1)+(5-E23)+(F23-1)+(5-G23)+(H23-1)+(5-I23)+(J23-1)+(5-K23)))</x:f>
      </x:c>
    </x:row>
    <x:row r="24"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t="str">
        <x:f>IF(COUNTA(B24:K24)=0,"",IF(AND(COUNT(B24:K24)=10,COUNTIF(B24:K24,1)+COUNTIF(B24:K24,2)+COUNTIF(B24:K24,3)+COUNTIF(B24:K24,4)+COUNTIF(B24:K24,5)=10),"Sí","No"))</x:f>
      </x:c>
      <x:c r="M24" t="str">
        <x:f>IF(L24&lt;&gt;"Sí","",2.5*((B24-1)+(5-C24)+(D24-1)+(5-E24)+(F24-1)+(5-G24)+(H24-1)+(5-I24)+(J24-1)+(5-K24)))</x:f>
      </x:c>
    </x:row>
    <x:row r="25"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t="str">
        <x:f>IF(COUNTA(B25:K25)=0,"",IF(AND(COUNT(B25:K25)=10,COUNTIF(B25:K25,1)+COUNTIF(B25:K25,2)+COUNTIF(B25:K25,3)+COUNTIF(B25:K25,4)+COUNTIF(B25:K25,5)=10),"Sí","No"))</x:f>
      </x:c>
      <x:c r="M25" t="str">
        <x:f>IF(L25&lt;&gt;"Sí","",2.5*((B25-1)+(5-C25)+(D25-1)+(5-E25)+(F25-1)+(5-G25)+(H25-1)+(5-I25)+(J25-1)+(5-K25)))</x:f>
      </x:c>
    </x:row>
    <x:row r="26"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t="str">
        <x:f>IF(COUNTA(B26:K26)=0,"",IF(AND(COUNT(B26:K26)=10,COUNTIF(B26:K26,1)+COUNTIF(B26:K26,2)+COUNTIF(B26:K26,3)+COUNTIF(B26:K26,4)+COUNTIF(B26:K26,5)=10),"Sí","No"))</x:f>
      </x:c>
      <x:c r="M26" t="str">
        <x:f>IF(L26&lt;&gt;"Sí","",2.5*((B26-1)+(5-C26)+(D26-1)+(5-E26)+(F26-1)+(5-G26)+(H26-1)+(5-I26)+(J26-1)+(5-K26)))</x:f>
      </x:c>
    </x:row>
    <x:row r="27"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t="str">
        <x:f>IF(COUNTA(B27:K27)=0,"",IF(AND(COUNT(B27:K27)=10,COUNTIF(B27:K27,1)+COUNTIF(B27:K27,2)+COUNTIF(B27:K27,3)+COUNTIF(B27:K27,4)+COUNTIF(B27:K27,5)=10),"Sí","No"))</x:f>
      </x:c>
      <x:c r="M27" t="str">
        <x:f>IF(L27&lt;&gt;"Sí","",2.5*((B27-1)+(5-C27)+(D27-1)+(5-E27)+(F27-1)+(5-G27)+(H27-1)+(5-I27)+(J27-1)+(5-K27)))</x:f>
      </x:c>
    </x:row>
    <x:row r="28"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t="str">
        <x:f>IF(COUNTA(B28:K28)=0,"",IF(AND(COUNT(B28:K28)=10,COUNTIF(B28:K28,1)+COUNTIF(B28:K28,2)+COUNTIF(B28:K28,3)+COUNTIF(B28:K28,4)+COUNTIF(B28:K28,5)=10),"Sí","No"))</x:f>
      </x:c>
      <x:c r="M28" t="str">
        <x:f>IF(L28&lt;&gt;"Sí","",2.5*((B28-1)+(5-C28)+(D28-1)+(5-E28)+(F28-1)+(5-G28)+(H28-1)+(5-I28)+(J28-1)+(5-K28)))</x:f>
      </x:c>
    </x:row>
    <x:row r="29"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t="str">
        <x:f>IF(COUNTA(B29:K29)=0,"",IF(AND(COUNT(B29:K29)=10,COUNTIF(B29:K29,1)+COUNTIF(B29:K29,2)+COUNTIF(B29:K29,3)+COUNTIF(B29:K29,4)+COUNTIF(B29:K29,5)=10),"Sí","No"))</x:f>
      </x:c>
      <x:c r="M29" t="str">
        <x:f>IF(L29&lt;&gt;"Sí","",2.5*((B29-1)+(5-C29)+(D29-1)+(5-E29)+(F29-1)+(5-G29)+(H29-1)+(5-I29)+(J29-1)+(5-K29)))</x:f>
      </x:c>
    </x:row>
    <x:row r="30"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t="str">
        <x:f>IF(COUNTA(B30:K30)=0,"",IF(AND(COUNT(B30:K30)=10,COUNTIF(B30:K30,1)+COUNTIF(B30:K30,2)+COUNTIF(B30:K30,3)+COUNTIF(B30:K30,4)+COUNTIF(B30:K30,5)=10),"Sí","No"))</x:f>
      </x:c>
      <x:c r="M30" t="str">
        <x:f>IF(L30&lt;&gt;"Sí","",2.5*((B30-1)+(5-C30)+(D30-1)+(5-E30)+(F30-1)+(5-G30)+(H30-1)+(5-I30)+(J30-1)+(5-K30)))</x:f>
      </x:c>
    </x:row>
    <x:row r="31"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t="str">
        <x:f>IF(COUNTA(B31:K31)=0,"",IF(AND(COUNT(B31:K31)=10,COUNTIF(B31:K31,1)+COUNTIF(B31:K31,2)+COUNTIF(B31:K31,3)+COUNTIF(B31:K31,4)+COUNTIF(B31:K31,5)=10),"Sí","No"))</x:f>
      </x:c>
      <x:c r="M31" t="str">
        <x:f>IF(L31&lt;&gt;"Sí","",2.5*((B31-1)+(5-C31)+(D31-1)+(5-E31)+(F31-1)+(5-G31)+(H31-1)+(5-I31)+(J31-1)+(5-K31)))</x:f>
      </x:c>
    </x:row>
    <x:row r="32"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t="str">
        <x:f>IF(COUNTA(B32:K32)=0,"",IF(AND(COUNT(B32:K32)=10,COUNTIF(B32:K32,1)+COUNTIF(B32:K32,2)+COUNTIF(B32:K32,3)+COUNTIF(B32:K32,4)+COUNTIF(B32:K32,5)=10),"Sí","No"))</x:f>
      </x:c>
      <x:c r="M32" t="str">
        <x:f>IF(L32&lt;&gt;"Sí","",2.5*((B32-1)+(5-C32)+(D32-1)+(5-E32)+(F32-1)+(5-G32)+(H32-1)+(5-I32)+(J32-1)+(5-K32)))</x:f>
      </x:c>
    </x:row>
    <x:row r="33"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t="str">
        <x:f>IF(COUNTA(B33:K33)=0,"",IF(AND(COUNT(B33:K33)=10,COUNTIF(B33:K33,1)+COUNTIF(B33:K33,2)+COUNTIF(B33:K33,3)+COUNTIF(B33:K33,4)+COUNTIF(B33:K33,5)=10),"Sí","No"))</x:f>
      </x:c>
      <x:c r="M33" t="str">
        <x:f>IF(L33&lt;&gt;"Sí","",2.5*((B33-1)+(5-C33)+(D33-1)+(5-E33)+(F33-1)+(5-G33)+(H33-1)+(5-I33)+(J33-1)+(5-K33)))</x:f>
      </x:c>
    </x:row>
    <x:row r="34"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t="str">
        <x:f>IF(COUNTA(B34:K34)=0,"",IF(AND(COUNT(B34:K34)=10,COUNTIF(B34:K34,1)+COUNTIF(B34:K34,2)+COUNTIF(B34:K34,3)+COUNTIF(B34:K34,4)+COUNTIF(B34:K34,5)=10),"Sí","No"))</x:f>
      </x:c>
      <x:c r="M34" t="str">
        <x:f>IF(L34&lt;&gt;"Sí","",2.5*((B34-1)+(5-C34)+(D34-1)+(5-E34)+(F34-1)+(5-G34)+(H34-1)+(5-I34)+(J34-1)+(5-K34)))</x:f>
      </x:c>
    </x:row>
    <x:row r="35"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t="str">
        <x:f>IF(COUNTA(B35:K35)=0,"",IF(AND(COUNT(B35:K35)=10,COUNTIF(B35:K35,1)+COUNTIF(B35:K35,2)+COUNTIF(B35:K35,3)+COUNTIF(B35:K35,4)+COUNTIF(B35:K35,5)=10),"Sí","No"))</x:f>
      </x:c>
      <x:c r="M35" t="str">
        <x:f>IF(L35&lt;&gt;"Sí","",2.5*((B35-1)+(5-C35)+(D35-1)+(5-E35)+(F35-1)+(5-G35)+(H35-1)+(5-I35)+(J35-1)+(5-K35)))</x:f>
      </x:c>
    </x:row>
    <x:row r="36"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t="str">
        <x:f>IF(COUNTA(B36:K36)=0,"",IF(AND(COUNT(B36:K36)=10,COUNTIF(B36:K36,1)+COUNTIF(B36:K36,2)+COUNTIF(B36:K36,3)+COUNTIF(B36:K36,4)+COUNTIF(B36:K36,5)=10),"Sí","No"))</x:f>
      </x:c>
      <x:c r="M36" t="str">
        <x:f>IF(L36&lt;&gt;"Sí","",2.5*((B36-1)+(5-C36)+(D36-1)+(5-E36)+(F36-1)+(5-G36)+(H36-1)+(5-I36)+(J36-1)+(5-K36)))</x:f>
      </x:c>
    </x:row>
    <x:row r="37"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t="str">
        <x:f>IF(COUNTA(B37:K37)=0,"",IF(AND(COUNT(B37:K37)=10,COUNTIF(B37:K37,1)+COUNTIF(B37:K37,2)+COUNTIF(B37:K37,3)+COUNTIF(B37:K37,4)+COUNTIF(B37:K37,5)=10),"Sí","No"))</x:f>
      </x:c>
      <x:c r="M37" t="str">
        <x:f>IF(L37&lt;&gt;"Sí","",2.5*((B37-1)+(5-C37)+(D37-1)+(5-E37)+(F37-1)+(5-G37)+(H37-1)+(5-I37)+(J37-1)+(5-K37)))</x:f>
      </x:c>
    </x:row>
    <x:row r="38"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t="str">
        <x:f>IF(COUNTA(B38:K38)=0,"",IF(AND(COUNT(B38:K38)=10,COUNTIF(B38:K38,1)+COUNTIF(B38:K38,2)+COUNTIF(B38:K38,3)+COUNTIF(B38:K38,4)+COUNTIF(B38:K38,5)=10),"Sí","No"))</x:f>
      </x:c>
      <x:c r="M38" t="str">
        <x:f>IF(L38&lt;&gt;"Sí","",2.5*((B38-1)+(5-C38)+(D38-1)+(5-E38)+(F38-1)+(5-G38)+(H38-1)+(5-I38)+(J38-1)+(5-K38)))</x:f>
      </x:c>
    </x:row>
    <x:row r="39"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t="str">
        <x:f>IF(COUNTA(B39:K39)=0,"",IF(AND(COUNT(B39:K39)=10,COUNTIF(B39:K39,1)+COUNTIF(B39:K39,2)+COUNTIF(B39:K39,3)+COUNTIF(B39:K39,4)+COUNTIF(B39:K39,5)=10),"Sí","No"))</x:f>
      </x:c>
      <x:c r="M39" t="str">
        <x:f>IF(L39&lt;&gt;"Sí","",2.5*((B39-1)+(5-C39)+(D39-1)+(5-E39)+(F39-1)+(5-G39)+(H39-1)+(5-I39)+(J39-1)+(5-K39)))</x:f>
      </x:c>
    </x:row>
    <x:row r="40"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t="str">
        <x:f>IF(COUNTA(B40:K40)=0,"",IF(AND(COUNT(B40:K40)=10,COUNTIF(B40:K40,1)+COUNTIF(B40:K40,2)+COUNTIF(B40:K40,3)+COUNTIF(B40:K40,4)+COUNTIF(B40:K40,5)=10),"Sí","No"))</x:f>
      </x:c>
      <x:c r="M40" t="str">
        <x:f>IF(L40&lt;&gt;"Sí","",2.5*((B40-1)+(5-C40)+(D40-1)+(5-E40)+(F40-1)+(5-G40)+(H40-1)+(5-I40)+(J40-1)+(5-K40)))</x:f>
      </x:c>
    </x:row>
    <x:row r="41"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t="str">
        <x:f>IF(COUNTA(B41:K41)=0,"",IF(AND(COUNT(B41:K41)=10,COUNTIF(B41:K41,1)+COUNTIF(B41:K41,2)+COUNTIF(B41:K41,3)+COUNTIF(B41:K41,4)+COUNTIF(B41:K41,5)=10),"Sí","No"))</x:f>
      </x:c>
      <x:c r="M41" t="str">
        <x:f>IF(L41&lt;&gt;"Sí","",2.5*((B41-1)+(5-C41)+(D41-1)+(5-E41)+(F41-1)+(5-G41)+(H41-1)+(5-I41)+(J41-1)+(5-K41)))</x:f>
      </x:c>
    </x:row>
    <x:row r="42"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t="str">
        <x:f>IF(COUNTA(B42:K42)=0,"",IF(AND(COUNT(B42:K42)=10,COUNTIF(B42:K42,1)+COUNTIF(B42:K42,2)+COUNTIF(B42:K42,3)+COUNTIF(B42:K42,4)+COUNTIF(B42:K42,5)=10),"Sí","No"))</x:f>
      </x:c>
      <x:c r="M42" t="str">
        <x:f>IF(L42&lt;&gt;"Sí","",2.5*((B42-1)+(5-C42)+(D42-1)+(5-E42)+(F42-1)+(5-G42)+(H42-1)+(5-I42)+(J42-1)+(5-K42)))</x:f>
      </x:c>
    </x:row>
    <x:row r="43"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t="str">
        <x:f>IF(COUNTA(B43:K43)=0,"",IF(AND(COUNT(B43:K43)=10,COUNTIF(B43:K43,1)+COUNTIF(B43:K43,2)+COUNTIF(B43:K43,3)+COUNTIF(B43:K43,4)+COUNTIF(B43:K43,5)=10),"Sí","No"))</x:f>
      </x:c>
      <x:c r="M43" t="str">
        <x:f>IF(L43&lt;&gt;"Sí","",2.5*((B43-1)+(5-C43)+(D43-1)+(5-E43)+(F43-1)+(5-G43)+(H43-1)+(5-I43)+(J43-1)+(5-K43)))</x:f>
      </x:c>
    </x:row>
    <x:row r="44"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t="str">
        <x:f>IF(COUNTA(B44:K44)=0,"",IF(AND(COUNT(B44:K44)=10,COUNTIF(B44:K44,1)+COUNTIF(B44:K44,2)+COUNTIF(B44:K44,3)+COUNTIF(B44:K44,4)+COUNTIF(B44:K44,5)=10),"Sí","No"))</x:f>
      </x:c>
      <x:c r="M44" t="str">
        <x:f>IF(L44&lt;&gt;"Sí","",2.5*((B44-1)+(5-C44)+(D44-1)+(5-E44)+(F44-1)+(5-G44)+(H44-1)+(5-I44)+(J44-1)+(5-K44)))</x:f>
      </x:c>
    </x:row>
  </x:sheetData>
  <x:mergeCells>
    <x:mergeCell ref="A1:P1"/>
    <x:mergeCell ref="A2:P2"/>
  </x:mergeCells>
  <x:dataValidations count="2">
    <x:dataValidation type="list" sqref="B5:K44">
      <x:formula1>"1,2,3,4,5"</x:formula1>
    </x:dataValidation>
    <x:dataValidation type="list" sqref="O5:O44">
      <x:formula1>"Pendiente,Verificado,Rechazado"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68" hidden="0" customWidth="1"/>
    <x:col min="5" max="5" width="61" hidden="0" customWidth="1"/>
  </x:cols>
  <x:sheetData>
    <x:row r="1" ht="35" customHeight="1">
      <x:c r="A1" s="45" t="str">
        <x:v>PERFILES HABILITADOS POR ESCENARIO DE USABILIDAD</x:v>
      </x:c>
      <x:c r="B1" s="45"/>
      <x:c r="C1" s="45"/>
      <x:c r="D1" s="45"/>
      <x:c r="E1" s="45"/>
    </x:row>
    <x:row r="2" ht="30" customHeight="1">
      <x:c r="A2" s="48" t="str">
        <x:v>Referencia técnica del backend a 14/10/2026. No acredita la autorización real de una persona ni la ejecución de la tarea.</x:v>
      </x:c>
      <x:c r="B2" s="48"/>
      <x:c r="C2" s="48"/>
      <x:c r="D2" s="48"/>
      <x:c r="E2" s="48"/>
    </x:row>
    <x:row r="4" ht="37" customHeight="1">
      <x:c r="A4" s="52" t="str">
        <x:v>Tarea</x:v>
      </x:c>
      <x:c r="B4" s="52" t="str">
        <x:v>Rol canónico</x:v>
      </x:c>
      <x:c r="C4" s="52" t="str">
        <x:v>Autorización en ruta</x:v>
      </x:c>
      <x:c r="D4" s="52" t="str">
        <x:v>Fuente técnica</x:v>
      </x:c>
      <x:c r="E4" s="52" t="str">
        <x:v>Nota de comprobación</x:v>
      </x:c>
    </x:row>
    <x:row r="5" ht="46" customHeight="1">
      <x:c r="A5" s="18" t="str">
        <x:v>T-US-01</x:v>
      </x:c>
      <x:c r="B5" s="18" t="str">
        <x:v>Administrador del Sistema</x:v>
      </x:c>
      <x:c r="C5" s="18" t="str">
        <x:v>Sí</x:v>
      </x:c>
      <x:c r="D5" s="18" t="str">
        <x:v>https://github.com/SebastianCM020/Sistema_Gestion_Integral_Constructora/blob/main/backend/src/routes/users.routes.js</x:v>
      </x:c>
      <x:c r="E5" s="18" t="str">
        <x:v>Ruta/rol contrastado; validar navegación de la interfaz y cuentas efectivas.</x:v>
      </x:c>
    </x:row>
    <x:row r="6" ht="46" customHeight="1">
      <x:c r="A6" s="18" t="str">
        <x:v>T-US-02</x:v>
      </x:c>
      <x:c r="B6" s="18" t="str">
        <x:v>Administrador del Sistema</x:v>
      </x:c>
      <x:c r="C6" s="18" t="str">
        <x:v>Sí</x:v>
      </x:c>
      <x:c r="D6" s="18" t="str">
        <x:v>https://github.com/SebastianCM020/Sistema_Gestion_Integral_Constructora/blob/main/backend/src/routes/avances.routes.js</x:v>
      </x:c>
      <x:c r="E6" s="18" t="str">
        <x:v>Ruta/rol contrastado; validar navegación de la interfaz y cuentas efectivas.</x:v>
      </x:c>
    </x:row>
    <x:row r="7" ht="46" customHeight="1">
      <x:c r="A7" s="18" t="str">
        <x:v>T-US-02</x:v>
      </x:c>
      <x:c r="B7" s="18" t="str">
        <x:v>Residente</x:v>
      </x:c>
      <x:c r="C7" s="18" t="str">
        <x:v>Sí</x:v>
      </x:c>
      <x:c r="D7" s="18" t="str">
        <x:v>https://github.com/SebastianCM020/Sistema_Gestion_Integral_Constructora/blob/main/backend/src/routes/avances.routes.js</x:v>
      </x:c>
      <x:c r="E7" s="18" t="str">
        <x:v>Ruta/rol contrastado; validar navegación de la interfaz y cuentas efectivas.</x:v>
      </x:c>
    </x:row>
    <x:row r="8" ht="46" customHeight="1">
      <x:c r="A8" s="18" t="str">
        <x:v>T-US-03</x:v>
      </x:c>
      <x:c r="B8" s="18" t="str">
        <x:v>Administrador del Sistema</x:v>
      </x:c>
      <x:c r="C8" s="18" t="str">
        <x:v>Sí</x:v>
      </x:c>
      <x:c r="D8" s="18" t="str">
        <x:v>https://github.com/SebastianCM020/Sistema_Gestion_Integral_Constructora/blob/main/backend/src/routes/consumo.routes.js</x:v>
      </x:c>
      <x:c r="E8" s="18" t="str">
        <x:v>Ruta/rol contrastado; validar navegación de la interfaz y cuentas efectivas.</x:v>
      </x:c>
    </x:row>
    <x:row r="9" ht="46" customHeight="1">
      <x:c r="A9" s="18" t="str">
        <x:v>T-US-03</x:v>
      </x:c>
      <x:c r="B9" s="18" t="str">
        <x:v>Residente</x:v>
      </x:c>
      <x:c r="C9" s="18" t="str">
        <x:v>Sí</x:v>
      </x:c>
      <x:c r="D9" s="18" t="str">
        <x:v>https://github.com/SebastianCM020/Sistema_Gestion_Integral_Constructora/blob/main/backend/src/routes/consumo.routes.js</x:v>
      </x:c>
      <x:c r="E9" s="18" t="str">
        <x:v>Ruta/rol contrastado; validar navegación de la interfaz y cuentas efectivas.</x:v>
      </x:c>
    </x:row>
    <x:row r="10" ht="46" customHeight="1">
      <x:c r="A10" s="18" t="str">
        <x:v>T-US-04</x:v>
      </x:c>
      <x:c r="B10" s="18" t="str">
        <x:v>Administrador del Sistema</x:v>
      </x:c>
      <x:c r="C10" s="18" t="str">
        <x:v>Sí</x:v>
      </x:c>
      <x:c r="D10" s="18" t="str">
        <x:v>https://github.com/SebastianCM020/Sistema_Gestion_Integral_Constructora/blob/main/backend/src/routes/bodega.routes.js</x:v>
      </x:c>
      <x:c r="E10" s="18" t="str">
        <x:v>Ruta/rol contrastado; validar navegación de la interfaz y cuentas efectivas.</x:v>
      </x:c>
    </x:row>
    <x:row r="11" ht="46" customHeight="1">
      <x:c r="A11" s="18" t="str">
        <x:v>T-US-04</x:v>
      </x:c>
      <x:c r="B11" s="18" t="str">
        <x:v>Bodeguero</x:v>
      </x:c>
      <x:c r="C11" s="18" t="str">
        <x:v>Sí</x:v>
      </x:c>
      <x:c r="D11" s="18" t="str">
        <x:v>https://github.com/SebastianCM020/Sistema_Gestion_Integral_Constructora/blob/main/backend/src/routes/bodega.routes.js</x:v>
      </x:c>
      <x:c r="E11" s="18" t="str">
        <x:v>Ruta/rol contrastado; validar navegación de la interfaz y cuentas efectivas.</x:v>
      </x:c>
    </x:row>
    <x:row r="12" ht="46" customHeight="1">
      <x:c r="A12" s="18" t="str">
        <x:v>T-US-05</x:v>
      </x:c>
      <x:c r="B12" s="18" t="str">
        <x:v>Administrador del Sistema</x:v>
      </x:c>
      <x:c r="C12" s="18" t="str">
        <x:v>Sí</x:v>
      </x:c>
      <x:c r="D12" s="18" t="str">
        <x:v>https://github.com/SebastianCM020/Sistema_Gestion_Integral_Constructora/blob/main/backend/src/routes/cierresContables.routes.js</x:v>
      </x:c>
      <x:c r="E12" s="18" t="str">
        <x:v>Ruta/rol contrastado; validar navegación de la interfaz y cuentas efectivas.</x:v>
      </x:c>
    </x:row>
    <x:row r="13" ht="46" customHeight="1">
      <x:c r="A13" s="18" t="str">
        <x:v>T-US-05</x:v>
      </x:c>
      <x:c r="B13" s="18" t="str">
        <x:v>Contador</x:v>
      </x:c>
      <x:c r="C13" s="18" t="str">
        <x:v>Sí</x:v>
      </x:c>
      <x:c r="D13" s="18" t="str">
        <x:v>https://github.com/SebastianCM020/Sistema_Gestion_Integral_Constructora/blob/main/backend/src/routes/cierresContables.routes.js</x:v>
      </x:c>
      <x:c r="E13" s="18" t="str">
        <x:v>Ruta/rol contrastado; validar navegación de la interfaz y cuentas efectivas.</x:v>
      </x:c>
    </x:row>
    <x:row r="14" ht="46" customHeight="1">
      <x:c r="A14" s="18" t="str">
        <x:v>T-US-06</x:v>
      </x:c>
      <x:c r="B14" s="18" t="str">
        <x:v>Administrador del Sistema</x:v>
      </x:c>
      <x:c r="C14" s="18" t="str">
        <x:v>Sí</x:v>
      </x:c>
      <x:c r="D14" s="18" t="str">
        <x:v>https://github.com/SebastianCM020/Sistema_Gestion_Integral_Constructora/blob/main/backend/src/routes/reportes.routes.js</x:v>
      </x:c>
      <x:c r="E14" s="18" t="str">
        <x:v>Ruta/rol contrastado; validar navegación de la interfaz y cuentas efectivas.</x:v>
      </x:c>
    </x:row>
    <x:row r="15" ht="46" customHeight="1">
      <x:c r="A15" s="18" t="str">
        <x:v>T-US-06</x:v>
      </x:c>
      <x:c r="B15" s="18" t="str">
        <x:v>Presidente / Gerente</x:v>
      </x:c>
      <x:c r="C15" s="18" t="str">
        <x:v>Sí</x:v>
      </x:c>
      <x:c r="D15" s="18" t="str">
        <x:v>https://github.com/SebastianCM020/Sistema_Gestion_Integral_Constructora/blob/main/backend/src/routes/reportes.routes.js</x:v>
      </x:c>
      <x:c r="E15" s="18" t="str">
        <x:v>Ruta/rol contrastado; validar navegación de la interfaz y cuentas efectivas.</x:v>
      </x:c>
    </x:row>
    <x:row r="16" ht="46" customHeight="1">
      <x:c r="A16" s="18" t="str">
        <x:v>T-US-06</x:v>
      </x:c>
      <x:c r="B16" s="18" t="str">
        <x:v>Contador</x:v>
      </x:c>
      <x:c r="C16" s="18" t="str">
        <x:v>Sí</x:v>
      </x:c>
      <x:c r="D16" s="18" t="str">
        <x:v>https://github.com/SebastianCM020/Sistema_Gestion_Integral_Constructora/blob/main/backend/src/routes/reportes.routes.js</x:v>
      </x:c>
      <x:c r="E16" s="18" t="str">
        <x:v>Ruta/rol contrastado; validar navegación de la interfaz y cuentas efectivas.</x:v>
      </x:c>
    </x:row>
    <x:row r="17" ht="46" customHeight="1">
      <x:c r="A17" s="18" t="str">
        <x:v>T-US-06</x:v>
      </x:c>
      <x:c r="B17" s="18" t="str">
        <x:v>Auxiliar de Contabilidad</x:v>
      </x:c>
      <x:c r="C17" s="18" t="str">
        <x:v>Sí</x:v>
      </x:c>
      <x:c r="D17" s="18" t="str">
        <x:v>https://github.com/SebastianCM020/Sistema_Gestion_Integral_Constructora/blob/main/backend/src/routes/reportes.routes.js</x:v>
      </x:c>
      <x:c r="E17" s="18" t="str">
        <x:v>Ruta/rol contrastado; validar navegación de la interfaz y cuentas efectivas.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40" hidden="0" customWidth="1"/>
    <x:col min="4" max="4" width="64" hidden="0" customWidth="1"/>
    <x:col min="5" max="5" width="25" hidden="0" customWidth="1"/>
    <x:col min="6" max="6" width="48" hidden="0" customWidth="1"/>
    <x:col min="7" max="7" width="13" hidden="0" customWidth="1"/>
    <x:col min="8" max="8" width="15" hidden="0" customWidth="1"/>
    <x:col min="9" max="9" width="19" hidden="0" customWidth="1"/>
    <x:col min="10" max="10" width="52" hidden="0" customWidth="1"/>
  </x:cols>
  <x:sheetData>
    <x:row r="1" ht="35" customHeight="1">
      <x:c r="A1" s="45" t="str">
        <x:v>CONTROL DE ESPACIOS EN BLANCO Y DECISIONES PENDIENTES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30" customHeight="1">
      <x:c r="A2" s="48" t="str">
        <x:v>Cada línea explica un campo o conjunto homogéneo de celdas que debe continuar vacío hasta disponer de respaldo. No supone aprobación del director.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 ht="37" customHeight="1">
      <x:c r="A4" s="52" t="str">
        <x:v>ID</x:v>
      </x:c>
      <x:c r="B4" s="52" t="str">
        <x:v>Hoja y rango sin completar</x:v>
      </x:c>
      <x:c r="C4" s="52" t="str">
        <x:v>Dato/decisión pendiente</x:v>
      </x:c>
      <x:c r="D4" s="52" t="str">
        <x:v>Qué se necesita para rellenarlo</x:v>
      </x:c>
      <x:c r="E4" s="52" t="str">
        <x:v>Responsable de verificar</x:v>
      </x:c>
      <x:c r="F4" s="52" t="str">
        <x:v>Fuente/evidencia esperada</x:v>
      </x:c>
      <x:c r="G4" s="52" t="str">
        <x:v>Prioridad</x:v>
      </x:c>
      <x:c r="H4" s="52" t="str">
        <x:v>Estado</x:v>
      </x:c>
      <x:c r="I4" s="52" t="str">
        <x:v>Fecha de verificación</x:v>
      </x:c>
      <x:c r="J4" s="52" t="str">
        <x:v>Ruta o referencia de evidencia</x:v>
      </x:c>
    </x:row>
    <x:row r="5" ht="46" customHeight="1">
      <x:c r="A5" s="18" t="str">
        <x:v>P-01</x:v>
      </x:c>
      <x:c r="B5" s="18" t="str">
        <x:v>02_PARTICIPANTES!B6:C15</x:v>
      </x:c>
      <x:c r="C5" s="18" t="str">
        <x:v>Roles y área real de P01–P10</x:v>
      </x:c>
      <x:c r="D5" s="18" t="str">
        <x:v>Confirmar perfiles funcionales individuales y procesos reales de uso (sin nombres)</x:v>
      </x:c>
      <x:c r="E5" s="18" t="str">
        <x:v>Empresa ICARO</x:v>
      </x:c>
      <x:c r="F5" s="18" t="str">
        <x:v>Lista anonimizadas/acta de roles</x:v>
      </x:c>
      <x:c r="G5" s="18" t="str">
        <x:v>Alta</x:v>
      </x:c>
      <x:c r="H5" s="18" t="str">
        <x:v>Pendiente</x:v>
      </x:c>
      <x:c r="I5" s="18"/>
      <x:c r="J5" s="18"/>
    </x:row>
    <x:row r="6" ht="46" customHeight="1">
      <x:c r="A6" s="18" t="str">
        <x:v>P-02</x:v>
      </x:c>
      <x:c r="B6" s="18" t="str">
        <x:v>02_PARTICIPANTES!D6:E15</x:v>
      </x:c>
      <x:c r="C6" s="18" t="str">
        <x:v>Elegibilidad y justificación verificada</x:v>
      </x:c>
      <x:c r="D6" s="18" t="str">
        <x:v>Verificar que cada código pertenece a población objetivo y documentar criterio firmado</x:v>
      </x:c>
      <x:c r="E6" s="18" t="str">
        <x:v>Empresa + equipo</x:v>
      </x:c>
      <x:c r="F6" s="18" t="str">
        <x:v>Lista de elegibles y acta de selección</x:v>
      </x:c>
      <x:c r="G6" s="18" t="str">
        <x:v>Alta</x:v>
      </x:c>
      <x:c r="H6" s="18" t="str">
        <x:v>Pendiente</x:v>
      </x:c>
      <x:c r="I6" s="18"/>
      <x:c r="J6" s="18"/>
    </x:row>
    <x:row r="7" ht="46" customHeight="1">
      <x:c r="A7" s="18" t="str">
        <x:v>P-03</x:v>
      </x:c>
      <x:c r="B7" s="18" t="str">
        <x:v>02_PARTICIPANTES!F6:H15</x:v>
      </x:c>
      <x:c r="C7" s="18" t="str">
        <x:v>Modalidad, dispositivo y fecha de sesión</x:v>
      </x:c>
      <x:c r="D7" s="18" t="str">
        <x:v>Documentar qué se usó efectivamente en cada prueba</x:v>
      </x:c>
      <x:c r="E7" s="18" t="str">
        <x:v>Equipo de usabilidad</x:v>
      </x:c>
      <x:c r="F7" s="18" t="str">
        <x:v>Ficha de sesión y equipo</x:v>
      </x:c>
      <x:c r="G7" s="18" t="str">
        <x:v>Media</x:v>
      </x:c>
      <x:c r="H7" s="18" t="str">
        <x:v>Pendiente</x:v>
      </x:c>
      <x:c r="I7" s="18"/>
      <x:c r="J7" s="18"/>
    </x:row>
    <x:row r="8" ht="46" customHeight="1">
      <x:c r="A8" s="18" t="str">
        <x:v>P-04</x:v>
      </x:c>
      <x:c r="B8" s="18" t="str">
        <x:v>02_PARTICIPANTES!I6:L15</x:v>
      </x:c>
      <x:c r="C8" s="18" t="str">
        <x:v>Participación, consentimiento, sesión y recepción SUS</x:v>
      </x:c>
      <x:c r="D8" s="18" t="str">
        <x:v>Registrar evidencias efectivas de cada hito, conservando confidencialidad</x:v>
      </x:c>
      <x:c r="E8" s="18" t="str">
        <x:v>Equipo de usabilidad</x:v>
      </x:c>
      <x:c r="F8" s="18" t="str">
        <x:v>Consentimiento, sesión y acuse de respuesta</x:v>
      </x:c>
      <x:c r="G8" s="18" t="str">
        <x:v>Alta</x:v>
      </x:c>
      <x:c r="H8" s="18" t="str">
        <x:v>Pendiente</x:v>
      </x:c>
      <x:c r="I8" s="18"/>
      <x:c r="J8" s="18"/>
    </x:row>
    <x:row r="9" ht="46" customHeight="1">
      <x:c r="A9" s="18" t="str">
        <x:v>P-05</x:v>
      </x:c>
      <x:c r="B9" s="18" t="str">
        <x:v>02_PARTICIPANTES!O6:O15</x:v>
      </x:c>
      <x:c r="C9" s="18" t="str">
        <x:v>Código de evidencia por participante</x:v>
      </x:c>
      <x:c r="D9" s="18" t="str">
        <x:v>Localizar ficha o cuestionario recibido, sin nombres ni datos sensibles</x:v>
      </x:c>
      <x:c r="E9" s="18" t="str">
        <x:v>Equipo de usabilidad</x:v>
      </x:c>
      <x:c r="F9" s="18" t="str">
        <x:v>Repositorio privado de evidencias anonimizadas</x:v>
      </x:c>
      <x:c r="G9" s="18" t="str">
        <x:v>Alta</x:v>
      </x:c>
      <x:c r="H9" s="18" t="str">
        <x:v>Pendiente</x:v>
      </x:c>
      <x:c r="I9" s="18"/>
      <x:c r="J9" s="18"/>
    </x:row>
    <x:row r="10" ht="46" customHeight="1">
      <x:c r="A10" s="18" t="str">
        <x:v>P-06</x:v>
      </x:c>
      <x:c r="B10" s="18" t="str">
        <x:v>03_CATALOGO_TAREAS!F6:G11</x:v>
      </x:c>
      <x:c r="C10" s="18" t="str">
        <x:v>Criterios candidatos de logro redactados, falta aprobación y demostración</x:v>
      </x:c>
      <x:c r="D10" s="18" t="str">
        <x:v>Contrastar los resultados esperados y el umbral de éxito de cada tarea con el director y usuarios</x:v>
      </x:c>
      <x:c r="E10" s="18" t="str">
        <x:v>Director + empresa</x:v>
      </x:c>
      <x:c r="F10" s="18" t="str">
        <x:v>Acta, simulación y protocolo firmado</x:v>
      </x:c>
      <x:c r="G10" s="18" t="str">
        <x:v>Alta</x:v>
      </x:c>
      <x:c r="H10" s="18" t="str">
        <x:v>Pendiente</x:v>
      </x:c>
      <x:c r="I10" s="18"/>
      <x:c r="J10" s="18"/>
    </x:row>
    <x:row r="11" ht="46" customHeight="1">
      <x:c r="A11" s="18" t="str">
        <x:v>P-07</x:v>
      </x:c>
      <x:c r="B11" s="18" t="str">
        <x:v>03_CATALOGO_TAREAS!I6:I11</x:v>
      </x:c>
      <x:c r="C11" s="18" t="str">
        <x:v>Validación formal de seis tareas</x:v>
      </x:c>
      <x:c r="D11" s="18" t="str">
        <x:v>Confirmar operatividad y datos de prueba de cada flujo; cambiar estado sólo con evidencia</x:v>
      </x:c>
      <x:c r="E11" s="18" t="str">
        <x:v>Equipo técnico + director</x:v>
      </x:c>
      <x:c r="F11" s="18" t="str">
        <x:v>Prueba piloto y resultados de permisos</x:v>
      </x:c>
      <x:c r="G11" s="18" t="str">
        <x:v>Alta</x:v>
      </x:c>
      <x:c r="H11" s="18" t="str">
        <x:v>Pendiente</x:v>
      </x:c>
      <x:c r="I11" s="18"/>
      <x:c r="J11" s="18"/>
    </x:row>
    <x:row r="12" ht="46" customHeight="1">
      <x:c r="A12" s="18" t="str">
        <x:v>P-08</x:v>
      </x:c>
      <x:c r="B12" s="18" t="str">
        <x:v>04_ASIGNACION_TAREAS!C6:C105</x:v>
      </x:c>
      <x:c r="C12" s="18" t="str">
        <x:v>Asignación persona–tarea</x:v>
      </x:c>
      <x:c r="D12" s="18" t="str">
        <x:v>Elegir tarea según rol verificado y disponibilidad real; puede haber varias filas por persona</x:v>
      </x:c>
      <x:c r="E12" s="18" t="str">
        <x:v>Equipo de usabilidad</x:v>
      </x:c>
      <x:c r="F12" s="18" t="str">
        <x:v>Matriz de roles y agenda de sesiones</x:v>
      </x:c>
      <x:c r="G12" s="18" t="str">
        <x:v>Alta</x:v>
      </x:c>
      <x:c r="H12" s="18" t="str">
        <x:v>Pendiente</x:v>
      </x:c>
      <x:c r="I12" s="18"/>
      <x:c r="J12" s="18"/>
    </x:row>
    <x:row r="13" ht="46" customHeight="1">
      <x:c r="A13" s="18" t="str">
        <x:v>P-09</x:v>
      </x:c>
      <x:c r="B13" s="18" t="str">
        <x:v>04_ASIGNACION_TAREAS!E6:C105</x:v>
      </x:c>
      <x:c r="C13" s="18" t="str">
        <x:v>Autorización, asignación e intentos efectivos</x:v>
      </x:c>
      <x:c r="D13" s="18" t="str">
        <x:v>Verificar uso real, roles, autorización y registro por tarea (columnas E–L)</x:v>
      </x:c>
      <x:c r="E13" s="18" t="str">
        <x:v>Equipo de usabilidad</x:v>
      </x:c>
      <x:c r="F13" s="18" t="str">
        <x:v>Fichas de intento por tarea</x:v>
      </x:c>
      <x:c r="G13" s="18" t="str">
        <x:v>Alta</x:v>
      </x:c>
      <x:c r="H13" s="18" t="str">
        <x:v>Pendiente</x:v>
      </x:c>
      <x:c r="I13" s="18"/>
      <x:c r="J13" s="18"/>
    </x:row>
    <x:row r="14" ht="46" customHeight="1">
      <x:c r="A14" s="18" t="str">
        <x:v>P-10</x:v>
      </x:c>
      <x:c r="B14" s="18" t="str">
        <x:v>04_ASIGNACION_TAREAS!H6:L105</x:v>
      </x:c>
      <x:c r="C14" s="18" t="str">
        <x:v>Resultados observados, ayuda, latencia y evidencia</x:v>
      </x:c>
      <x:c r="D14" s="18" t="str">
        <x:v>Registrar correcto/incorrecto, asistencia y evidencia de cada intento</x:v>
      </x:c>
      <x:c r="E14" s="18" t="str">
        <x:v>Observador de tareas</x:v>
      </x:c>
      <x:c r="F14" s="18" t="str">
        <x:v>Bitácora de observación</x:v>
      </x:c>
      <x:c r="G14" s="18" t="str">
        <x:v>Alta</x:v>
      </x:c>
      <x:c r="H14" s="18" t="str">
        <x:v>Pendiente</x:v>
      </x:c>
      <x:c r="I14" s="18"/>
      <x:c r="J14" s="18"/>
    </x:row>
    <x:row r="15" ht="46" customHeight="1">
      <x:c r="A15" s="18" t="str">
        <x:v>P-11</x:v>
      </x:c>
      <x:c r="B15" s="18" t="str">
        <x:v>06_CAPTURA_SUS!B5:K14</x:v>
      </x:c>
      <x:c r="C15" s="18" t="str">
        <x:v>Diez respuestas reales de cada cuestionario</x:v>
      </x:c>
      <x:c r="D15" s="18" t="str">
        <x:v>Aplicar versión española validada y capturar exactamente 1–5 por pregunta</x:v>
      </x:c>
      <x:c r="E15" s="18" t="str">
        <x:v>Equipo de usabilidad</x:v>
      </x:c>
      <x:c r="F15" s="18" t="str">
        <x:v>Cuestionarios SUS anonimizados</x:v>
      </x:c>
      <x:c r="G15" s="18" t="str">
        <x:v>Alta</x:v>
      </x:c>
      <x:c r="H15" s="18" t="str">
        <x:v>Pendiente</x:v>
      </x:c>
      <x:c r="I15" s="18"/>
      <x:c r="J15" s="18"/>
    </x:row>
    <x:row r="16" ht="46" customHeight="1">
      <x:c r="A16" s="18" t="str">
        <x:v>P-12</x:v>
      </x:c>
      <x:c r="B16" s="18" t="str">
        <x:v>06_CAPTURA_SUS!N5:O14</x:v>
      </x:c>
      <x:c r="C16" s="18" t="str">
        <x:v>Fuente y revisión del cuestionario</x:v>
      </x:c>
      <x:c r="D16" s="18" t="str">
        <x:v>Vincular cada respuesta a soporte documental y supervisión del instrumento</x:v>
      </x:c>
      <x:c r="E16" s="18" t="str">
        <x:v>Equipo de usabilidad</x:v>
      </x:c>
      <x:c r="F16" s="18" t="str">
        <x:v>Cuestionario/acta/validación</x:v>
      </x:c>
      <x:c r="G16" s="18" t="str">
        <x:v>Alta</x:v>
      </x:c>
      <x:c r="H16" s="18" t="str">
        <x:v>Pendiente</x:v>
      </x:c>
      <x:c r="I16" s="18"/>
      <x:c r="J16" s="18"/>
    </x:row>
    <x:row r="17" ht="46" customHeight="1">
      <x:c r="A17" s="18" t="str">
        <x:v>P-13</x:v>
      </x:c>
      <x:c r="B17" s="18" t="str">
        <x:v>05_RESUMEN_COBERTURA!B15</x:v>
      </x:c>
      <x:c r="C17" s="18" t="str">
        <x:v>Tamaño elegible definitivo para cobertura</x:v>
      </x:c>
      <x:c r="D17" s="18" t="str">
        <x:v>Confirmar universo elegible real; no asumir que los 10 previstos fueron confirmados</x:v>
      </x:c>
      <x:c r="E17" s="18" t="str">
        <x:v>Empresa ICARO</x:v>
      </x:c>
      <x:c r="F17" s="18" t="str">
        <x:v>Acta de selección y elegibilidad</x:v>
      </x:c>
      <x:c r="G17" s="18" t="str">
        <x:v>Alta</x:v>
      </x:c>
      <x:c r="H17" s="18" t="str">
        <x:v>Pendiente</x:v>
      </x:c>
      <x:c r="I17" s="18"/>
      <x:c r="J17" s="18"/>
    </x:row>
    <x:row r="18" ht="46" customHeight="1">
      <x:c r="A18" s="18" t="str">
        <x:v>P-14</x:v>
      </x:c>
      <x:c r="B18" s="18" t="str">
        <x:v>05_RESUMEN_COBERTURA!B19:B20</x:v>
      </x:c>
      <x:c r="C18" s="18" t="str">
        <x:v>Media SUS y dictamen sin respuestas válidas</x:v>
      </x:c>
      <x:c r="D18" s="18" t="str">
        <x:v>Se calcularán automáticamente cuando existan registros completos y recibidos</x:v>
      </x:c>
      <x:c r="E18" s="18" t="str">
        <x:v>Equipo de usabilidad</x:v>
      </x:c>
      <x:c r="F18" s="18" t="str">
        <x:v>Cuestionarios de SUS completos</x:v>
      </x:c>
      <x:c r="G18" s="18" t="str">
        <x:v>Alta</x:v>
      </x:c>
      <x:c r="H18" s="18" t="str">
        <x:v>Pendiente</x:v>
      </x:c>
      <x:c r="I18" s="18"/>
      <x:c r="J18" s="18"/>
    </x:row>
    <x:row r="19" ht="46" customHeight="1">
      <x:c r="A19" s="18" t="str">
        <x:v>P-15</x:v>
      </x:c>
      <x:c r="B19" s="18" t="str">
        <x:v>07_MATRIZ_PERMISOS!A5:E19</x:v>
      </x:c>
      <x:c r="C19" s="18" t="str">
        <x:v>Permisos documentados que requieren ensayo real</x:v>
      </x:c>
      <x:c r="D19" s="18" t="str">
        <x:v>Contrastar autorización de frontend/backend y experiencia de cada rol con cuentas de prueba</x:v>
      </x:c>
      <x:c r="E19" s="18" t="str">
        <x:v>Equipo técnico</x:v>
      </x:c>
      <x:c r="F19" s="18" t="str">
        <x:v>Capturas de acceso 200/403, registros de navegación</x:v>
      </x:c>
      <x:c r="G19" s="18" t="str">
        <x:v>Media</x:v>
      </x:c>
      <x:c r="H19" s="18" t="str">
        <x:v>Pendiente</x:v>
      </x:c>
      <x:c r="I19" s="18"/>
      <x:c r="J19" s="18"/>
    </x:row>
    <x:row r="20" ht="46" customHeight="1">
      <x:c r="A20" s="18" t="str">
        <x:v>P-16</x:v>
      </x:c>
      <x:c r="B20" s="18" t="str">
        <x:v>02_PARTICIPANTES!M6:M15</x:v>
      </x:c>
      <x:c r="C20" s="18" t="str">
        <x:v>Validez del SUS no puede decidirse manualmente</x:v>
      </x:c>
      <x:c r="D20" s="18" t="str">
        <x:v>Se determina por fórmula tras elegibilidad, recepción, consentimiento y 10 respuestas válidas</x:v>
      </x:c>
      <x:c r="E20" s="18" t="str">
        <x:v>Equipo de usabilidad</x:v>
      </x:c>
      <x:c r="F20" s="18" t="str">
        <x:v>Hoja 06_CAPTURA_SUS y evidencia de sesión</x:v>
      </x:c>
      <x:c r="G20" s="18" t="str">
        <x:v>Alta</x:v>
      </x:c>
      <x:c r="H20" s="18" t="str">
        <x:v>Pendiente</x:v>
      </x:c>
      <x:c r="I20" s="18"/>
      <x:c r="J20" s="18"/>
    </x:row>
  </x:sheetData>
  <x:mergeCells>
    <x:mergeCell ref="A1:J1"/>
    <x:mergeCell ref="A2:J2"/>
  </x:mergeCells>
  <x:dataValidations count="2">
    <x:dataValidation type="list" sqref="H5:H20">
      <x:formula1>"Pendiente,En revisión,Validado,No aplica"</x:formula1>
    </x:dataValidation>
    <x:dataValidation type="list" sqref="G5:G20">
      <x:formula1>"Crítica,Alta,Media,Baja"</x:formula1>
    </x:dataValidation>
  </x:dataValidations>
  <x:pageMargins left="0.7" right="0.7" top="0.75" bottom="0.75" header="0.3" footer="0.3"/>
</x:worksheet>
</file>