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11 Backlog" sheetId="1" state="visible" r:id="rId1"/>
    <sheet xmlns:r="http://schemas.openxmlformats.org/officeDocument/2006/relationships" name="Resumen CP" sheetId="2" state="visible" r:id="rId2"/>
    <sheet xmlns:r="http://schemas.openxmlformats.org/officeDocument/2006/relationships" name="Sprint Summary" sheetId="3" state="visible" r:id="rId3"/>
    <sheet xmlns:r="http://schemas.openxmlformats.org/officeDocument/2006/relationships" name="Encuesta S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9"/>
    </font>
    <font>
      <name val="Calibri"/>
      <i val="1"/>
      <color rgb="00C00000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9"/>
    </font>
    <font>
      <name val="Calibri"/>
      <b val="1"/>
      <color rgb="001F3864"/>
      <sz val="12"/>
    </font>
    <font>
      <name val="Calibri"/>
      <b val="1"/>
      <sz val="10"/>
    </font>
    <font>
      <name val="Calibri"/>
      <sz val="10"/>
    </font>
    <font>
      <name val="Calibri"/>
      <b val="1"/>
      <color rgb="00C00000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8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35" customWidth="1" min="10" max="10"/>
  </cols>
  <sheetData>
    <row r="1" ht="24" customHeight="1">
      <c r="A1" s="1" t="inlineStr">
        <is>
          <t>SPRINT 11 — BACKLOG — Sistema de Gestión Integral de Obra — ICARO CONSTRUCTORES BMGM S.A.S.</t>
        </is>
      </c>
    </row>
    <row r="2" ht="16" customHeight="1">
      <c r="A2" s="2" t="inlineStr">
        <is>
          <t>Período: 22/06/2026 – 26/06/2026  |  Responsable: Ivan Santiago Pulgar Leon  |  Fecha doc.: 26/06/2026</t>
        </is>
      </c>
    </row>
    <row r="3" ht="16" customHeight="1">
      <c r="A3" s="3" t="inlineStr">
        <is>
          <t>SPRINT DE CALIDAD FINAL — NO funcional. No incluye pruebas Jest/Supertest. Pruebas: rendimiento k6 (P95 &lt; 2s), seguridad 401/403, usabilidad SUS (&gt; 68), cierre documental.</t>
        </is>
      </c>
    </row>
    <row r="5" ht="22" customHeight="1">
      <c r="A5" s="4" t="inlineStr">
        <is>
          <t>ID</t>
        </is>
      </c>
      <c r="B5" s="4" t="inlineStr">
        <is>
          <t>Tipo</t>
        </is>
      </c>
      <c r="C5" s="4" t="inlineStr">
        <is>
          <t>Historia Técnica / Tarea</t>
        </is>
      </c>
      <c r="D5" s="4" t="inlineStr">
        <is>
          <t>Prioridad</t>
        </is>
      </c>
      <c r="E5" s="4" t="inlineStr">
        <is>
          <t>SP Plan.</t>
        </is>
      </c>
      <c r="F5" s="4" t="inlineStr">
        <is>
          <t>SP Real.</t>
        </is>
      </c>
      <c r="G5" s="4" t="inlineStr">
        <is>
          <t>Desvío SP</t>
        </is>
      </c>
      <c r="H5" s="4" t="inlineStr">
        <is>
          <t>% Cumpl.</t>
        </is>
      </c>
      <c r="I5" s="4" t="inlineStr">
        <is>
          <t>Estado</t>
        </is>
      </c>
      <c r="J5" s="4" t="inlineStr">
        <is>
          <t>Observaciones</t>
        </is>
      </c>
    </row>
    <row r="6" ht="18" customHeight="1">
      <c r="A6" s="5" t="inlineStr">
        <is>
          <t>HT-S11-01</t>
        </is>
      </c>
      <c r="B6" s="5" t="inlineStr">
        <is>
          <t>HT</t>
        </is>
      </c>
      <c r="C6" s="6" t="inlineStr">
        <is>
          <t>Evaluación de rendimiento con k6 — validar P95 &lt; 2 000 ms bajo carga</t>
        </is>
      </c>
      <c r="D6" s="5" t="inlineStr">
        <is>
          <t>Alta</t>
        </is>
      </c>
      <c r="E6" s="5" t="n">
        <v>5</v>
      </c>
      <c r="F6" s="5" t="n">
        <v>5</v>
      </c>
      <c r="G6" s="5" t="n">
        <v>0</v>
      </c>
      <c r="H6" s="5" t="inlineStr">
        <is>
          <t>100%</t>
        </is>
      </c>
      <c r="I6" s="7" t="inlineStr">
        <is>
          <t>Completado</t>
        </is>
      </c>
      <c r="J6" s="6" t="inlineStr">
        <is>
          <t>Inicio: 22/06 | Fin: 23/06</t>
        </is>
      </c>
    </row>
    <row r="7" ht="15" customHeight="1">
      <c r="A7" s="8" t="inlineStr">
        <is>
          <t>T-S11-1.1</t>
        </is>
      </c>
      <c r="B7" s="8" t="inlineStr">
        <is>
          <t>Tarea</t>
        </is>
      </c>
      <c r="C7" s="9" t="inlineStr">
        <is>
          <t>Instalar k6 (choco install k6). Configurar TOKEN JWT en load_test.js</t>
        </is>
      </c>
      <c r="D7" s="8" t="inlineStr"/>
      <c r="E7" s="8" t="n">
        <v>1</v>
      </c>
      <c r="F7" s="8" t="n">
        <v>1</v>
      </c>
      <c r="G7" s="8" t="n">
        <v>0</v>
      </c>
      <c r="H7" s="8" t="inlineStr">
        <is>
          <t>100%</t>
        </is>
      </c>
      <c r="I7" s="10" t="inlineStr">
        <is>
          <t>Completado</t>
        </is>
      </c>
      <c r="J7" s="9" t="inlineStr">
        <is>
          <t>Inicio: 22/06 | Fin: 22/06</t>
        </is>
      </c>
    </row>
    <row r="8" ht="15" customHeight="1">
      <c r="A8" s="11" t="inlineStr">
        <is>
          <t>T-S11-1.2</t>
        </is>
      </c>
      <c r="B8" s="11" t="inlineStr">
        <is>
          <t>Tarea</t>
        </is>
      </c>
      <c r="C8" s="12" t="inlineStr">
        <is>
          <t>Ejecutar: k6 run backend/tests/load_test.js — registrar salida completa</t>
        </is>
      </c>
      <c r="D8" s="11" t="inlineStr"/>
      <c r="E8" s="11" t="n">
        <v>2</v>
      </c>
      <c r="F8" s="11" t="n">
        <v>2</v>
      </c>
      <c r="G8" s="11" t="n">
        <v>0</v>
      </c>
      <c r="H8" s="11" t="inlineStr">
        <is>
          <t>100%</t>
        </is>
      </c>
      <c r="I8" s="10" t="inlineStr">
        <is>
          <t>Completado</t>
        </is>
      </c>
      <c r="J8" s="12" t="inlineStr">
        <is>
          <t>Inicio: 22/06 | Fin: 23/06</t>
        </is>
      </c>
    </row>
    <row r="9" ht="15" customHeight="1">
      <c r="A9" s="8" t="inlineStr">
        <is>
          <t>T-S11-1.3</t>
        </is>
      </c>
      <c r="B9" s="8" t="inlineStr">
        <is>
          <t>Tarea</t>
        </is>
      </c>
      <c r="C9" s="9" t="inlineStr">
        <is>
          <t>Verificar métrica http_req_duration p(95) &lt; 2000 ms y tasa errores = 0%</t>
        </is>
      </c>
      <c r="D9" s="8" t="inlineStr"/>
      <c r="E9" s="8" t="n">
        <v>2</v>
      </c>
      <c r="F9" s="8" t="n">
        <v>2</v>
      </c>
      <c r="G9" s="8" t="n">
        <v>0</v>
      </c>
      <c r="H9" s="8" t="inlineStr">
        <is>
          <t>100%</t>
        </is>
      </c>
      <c r="I9" s="10" t="inlineStr">
        <is>
          <t>Completado</t>
        </is>
      </c>
      <c r="J9" s="9" t="inlineStr">
        <is>
          <t>Inicio: 23/06 | Fin: 23/06</t>
        </is>
      </c>
    </row>
    <row r="10" ht="18" customHeight="1">
      <c r="A10" s="5" t="inlineStr">
        <is>
          <t>HT-S11-02</t>
        </is>
      </c>
      <c r="B10" s="5" t="inlineStr">
        <is>
          <t>HT</t>
        </is>
      </c>
      <c r="C10" s="6" t="inlineStr">
        <is>
          <t>Verificación de seguridad del middleware de autenticación y autorización</t>
        </is>
      </c>
      <c r="D10" s="5" t="inlineStr">
        <is>
          <t>Alta</t>
        </is>
      </c>
      <c r="E10" s="5" t="n">
        <v>4</v>
      </c>
      <c r="F10" s="5" t="n">
        <v>4</v>
      </c>
      <c r="G10" s="5" t="n">
        <v>0</v>
      </c>
      <c r="H10" s="5" t="inlineStr">
        <is>
          <t>100%</t>
        </is>
      </c>
      <c r="I10" s="7" t="inlineStr">
        <is>
          <t>Completado</t>
        </is>
      </c>
      <c r="J10" s="6" t="inlineStr">
        <is>
          <t>Inicio: 23/06 | Fin: 24/06</t>
        </is>
      </c>
    </row>
    <row r="11" ht="15" customHeight="1">
      <c r="A11" s="8" t="inlineStr">
        <is>
          <t>T-S11-2.1</t>
        </is>
      </c>
      <c r="B11" s="8" t="inlineStr">
        <is>
          <t>Tarea</t>
        </is>
      </c>
      <c r="C11" s="9" t="inlineStr">
        <is>
          <t>GET /api/v1/test/401 sin header Authorization → HTTP 401 Unauthorized</t>
        </is>
      </c>
      <c r="D11" s="8" t="inlineStr"/>
      <c r="E11" s="8" t="n">
        <v>1</v>
      </c>
      <c r="F11" s="8" t="n">
        <v>1</v>
      </c>
      <c r="G11" s="8" t="n">
        <v>0</v>
      </c>
      <c r="H11" s="8" t="inlineStr">
        <is>
          <t>100%</t>
        </is>
      </c>
      <c r="I11" s="10" t="inlineStr">
        <is>
          <t>Completado</t>
        </is>
      </c>
      <c r="J11" s="9" t="inlineStr">
        <is>
          <t>Inicio: 23/06 | Fin: 23/06</t>
        </is>
      </c>
    </row>
    <row r="12" ht="15" customHeight="1">
      <c r="A12" s="11" t="inlineStr">
        <is>
          <t>T-S11-2.2</t>
        </is>
      </c>
      <c r="B12" s="11" t="inlineStr">
        <is>
          <t>Tarea</t>
        </is>
      </c>
      <c r="C12" s="12" t="inlineStr">
        <is>
          <t>GET /api/v1/test/403 con token BODEGUERO → HTTP 403 Forbidden</t>
        </is>
      </c>
      <c r="D12" s="11" t="inlineStr"/>
      <c r="E12" s="11" t="n">
        <v>1</v>
      </c>
      <c r="F12" s="11" t="n">
        <v>1</v>
      </c>
      <c r="G12" s="11" t="n">
        <v>0</v>
      </c>
      <c r="H12" s="11" t="inlineStr">
        <is>
          <t>100%</t>
        </is>
      </c>
      <c r="I12" s="10" t="inlineStr">
        <is>
          <t>Completado</t>
        </is>
      </c>
      <c r="J12" s="12" t="inlineStr">
        <is>
          <t>Inicio: 23/06 | Fin: 24/06</t>
        </is>
      </c>
    </row>
    <row r="13" ht="15" customHeight="1">
      <c r="A13" s="8" t="inlineStr">
        <is>
          <t>T-S11-2.3</t>
        </is>
      </c>
      <c r="B13" s="8" t="inlineStr">
        <is>
          <t>Tarea</t>
        </is>
      </c>
      <c r="C13" s="9" t="inlineStr">
        <is>
          <t>GET /api/v1/test/403 con token ADMIN → HTTP 200 OK</t>
        </is>
      </c>
      <c r="D13" s="8" t="inlineStr"/>
      <c r="E13" s="8" t="n">
        <v>1</v>
      </c>
      <c r="F13" s="8" t="n">
        <v>1</v>
      </c>
      <c r="G13" s="8" t="n">
        <v>0</v>
      </c>
      <c r="H13" s="8" t="inlineStr">
        <is>
          <t>100%</t>
        </is>
      </c>
      <c r="I13" s="10" t="inlineStr">
        <is>
          <t>Completado</t>
        </is>
      </c>
      <c r="J13" s="9" t="inlineStr">
        <is>
          <t>Inicio: 24/06 | Fin: 24/06</t>
        </is>
      </c>
    </row>
    <row r="14" ht="15" customHeight="1">
      <c r="A14" s="11" t="inlineStr">
        <is>
          <t>T-S11-2.4</t>
        </is>
      </c>
      <c r="B14" s="11" t="inlineStr">
        <is>
          <t>Tarea</t>
        </is>
      </c>
      <c r="C14" s="12" t="inlineStr">
        <is>
          <t>Token JWT inválido/expirado → HTTP 401 en rutas protegidas del sistema</t>
        </is>
      </c>
      <c r="D14" s="11" t="inlineStr"/>
      <c r="E14" s="11" t="n">
        <v>1</v>
      </c>
      <c r="F14" s="11" t="n">
        <v>1</v>
      </c>
      <c r="G14" s="11" t="n">
        <v>0</v>
      </c>
      <c r="H14" s="11" t="inlineStr">
        <is>
          <t>100%</t>
        </is>
      </c>
      <c r="I14" s="10" t="inlineStr">
        <is>
          <t>Completado</t>
        </is>
      </c>
      <c r="J14" s="12" t="inlineStr">
        <is>
          <t>Inicio: 24/06 | Fin: 24/06</t>
        </is>
      </c>
    </row>
    <row r="15" ht="18" customHeight="1">
      <c r="A15" s="5" t="inlineStr">
        <is>
          <t>HT-S11-03</t>
        </is>
      </c>
      <c r="B15" s="5" t="inlineStr">
        <is>
          <t>HT</t>
        </is>
      </c>
      <c r="C15" s="6" t="inlineStr">
        <is>
          <t>Evaluación de usabilidad SUS (System Usability Scale) con 5 evaluadores</t>
        </is>
      </c>
      <c r="D15" s="5" t="inlineStr">
        <is>
          <t>Media</t>
        </is>
      </c>
      <c r="E15" s="5" t="n">
        <v>6</v>
      </c>
      <c r="F15" s="5" t="n">
        <v>6</v>
      </c>
      <c r="G15" s="5" t="n">
        <v>0</v>
      </c>
      <c r="H15" s="5" t="inlineStr">
        <is>
          <t>100%</t>
        </is>
      </c>
      <c r="I15" s="7" t="inlineStr">
        <is>
          <t>Completado</t>
        </is>
      </c>
      <c r="J15" s="6" t="inlineStr">
        <is>
          <t>Inicio: 24/06 | Fin: 25/06</t>
        </is>
      </c>
    </row>
    <row r="16" ht="15" customHeight="1">
      <c r="A16" s="11" t="inlineStr">
        <is>
          <t>T-S11-3.1</t>
        </is>
      </c>
      <c r="B16" s="11" t="inlineStr">
        <is>
          <t>Tarea</t>
        </is>
      </c>
      <c r="C16" s="12" t="inlineStr">
        <is>
          <t>Preparar entorno staging/QA. Seleccionar 5 evaluadores (2 Residentes, 1 Bodeguero, 1 Contador, 1 Gerente)</t>
        </is>
      </c>
      <c r="D16" s="11" t="inlineStr"/>
      <c r="E16" s="11" t="n">
        <v>2</v>
      </c>
      <c r="F16" s="11" t="n">
        <v>2</v>
      </c>
      <c r="G16" s="11" t="n">
        <v>0</v>
      </c>
      <c r="H16" s="11" t="inlineStr">
        <is>
          <t>100%</t>
        </is>
      </c>
      <c r="I16" s="10" t="inlineStr">
        <is>
          <t>Completado</t>
        </is>
      </c>
      <c r="J16" s="12" t="inlineStr">
        <is>
          <t>Inicio: 24/06 | Fin: 24/06</t>
        </is>
      </c>
    </row>
    <row r="17" ht="15" customHeight="1">
      <c r="A17" s="8" t="inlineStr">
        <is>
          <t>T-S11-3.2</t>
        </is>
      </c>
      <c r="B17" s="8" t="inlineStr">
        <is>
          <t>Tarea</t>
        </is>
      </c>
      <c r="C17" s="9" t="inlineStr">
        <is>
          <t>Definir escenarios de evaluación. Aplicar encuesta SUS (10 ítems, Likert 1–5)</t>
        </is>
      </c>
      <c r="D17" s="8" t="inlineStr"/>
      <c r="E17" s="8" t="n">
        <v>2</v>
      </c>
      <c r="F17" s="8" t="n">
        <v>2</v>
      </c>
      <c r="G17" s="8" t="n">
        <v>0</v>
      </c>
      <c r="H17" s="8" t="inlineStr">
        <is>
          <t>100%</t>
        </is>
      </c>
      <c r="I17" s="10" t="inlineStr">
        <is>
          <t>Completado</t>
        </is>
      </c>
      <c r="J17" s="9" t="inlineStr">
        <is>
          <t>Inicio: 24/06 | Fin: 25/06</t>
        </is>
      </c>
    </row>
    <row r="18" ht="15" customHeight="1">
      <c r="A18" s="11" t="inlineStr">
        <is>
          <t>T-S11-3.3</t>
        </is>
      </c>
      <c r="B18" s="11" t="inlineStr">
        <is>
          <t>Tarea</t>
        </is>
      </c>
      <c r="C18" s="12" t="inlineStr">
        <is>
          <t>Calcular puntaje SUS (fórmula impares X-1, pares 5-X, suma×2.5). Verificar &gt; 68</t>
        </is>
      </c>
      <c r="D18" s="11" t="inlineStr"/>
      <c r="E18" s="11" t="n">
        <v>2</v>
      </c>
      <c r="F18" s="11" t="n">
        <v>2</v>
      </c>
      <c r="G18" s="11" t="n">
        <v>0</v>
      </c>
      <c r="H18" s="11" t="inlineStr">
        <is>
          <t>100%</t>
        </is>
      </c>
      <c r="I18" s="10" t="inlineStr">
        <is>
          <t>Completado</t>
        </is>
      </c>
      <c r="J18" s="12" t="inlineStr">
        <is>
          <t>Inicio: 25/06 | Fin: 25/06</t>
        </is>
      </c>
    </row>
    <row r="19" ht="18" customHeight="1">
      <c r="A19" s="5" t="inlineStr">
        <is>
          <t>HT-S11-04</t>
        </is>
      </c>
      <c r="B19" s="5" t="inlineStr">
        <is>
          <t>HT</t>
        </is>
      </c>
      <c r="C19" s="6" t="inlineStr">
        <is>
          <t>Cierre documental y consolidación de evidencias de calidad del proyecto</t>
        </is>
      </c>
      <c r="D19" s="5" t="inlineStr">
        <is>
          <t>Media</t>
        </is>
      </c>
      <c r="E19" s="5" t="n">
        <v>5</v>
      </c>
      <c r="F19" s="5" t="n">
        <v>5</v>
      </c>
      <c r="G19" s="5" t="n">
        <v>0</v>
      </c>
      <c r="H19" s="5" t="inlineStr">
        <is>
          <t>100%</t>
        </is>
      </c>
      <c r="I19" s="7" t="inlineStr">
        <is>
          <t>Completado</t>
        </is>
      </c>
      <c r="J19" s="6" t="inlineStr">
        <is>
          <t>Inicio: 25/06 | Fin: 26/06</t>
        </is>
      </c>
    </row>
    <row r="20" ht="15" customHeight="1">
      <c r="A20" s="11" t="inlineStr">
        <is>
          <t>T-S11-4.1</t>
        </is>
      </c>
      <c r="B20" s="11" t="inlineStr">
        <is>
          <t>Tarea</t>
        </is>
      </c>
      <c r="C20" s="12" t="inlineStr">
        <is>
          <t>Adjuntar evidencias: salida k6, capturas Postman/consola 401/403, formulario SUS</t>
        </is>
      </c>
      <c r="D20" s="11" t="inlineStr"/>
      <c r="E20" s="11" t="n">
        <v>3</v>
      </c>
      <c r="F20" s="11" t="n">
        <v>3</v>
      </c>
      <c r="G20" s="11" t="n">
        <v>0</v>
      </c>
      <c r="H20" s="11" t="inlineStr">
        <is>
          <t>100%</t>
        </is>
      </c>
      <c r="I20" s="10" t="inlineStr">
        <is>
          <t>Completado</t>
        </is>
      </c>
      <c r="J20" s="12" t="inlineStr">
        <is>
          <t>Inicio: 25/06 | Fin: 26/06</t>
        </is>
      </c>
    </row>
    <row r="21" ht="15" customHeight="1">
      <c r="A21" s="8" t="inlineStr">
        <is>
          <t>T-S11-4.2</t>
        </is>
      </c>
      <c r="B21" s="8" t="inlineStr">
        <is>
          <t>Tarea</t>
        </is>
      </c>
      <c r="C21" s="9" t="inlineStr">
        <is>
          <t>Aprobar informe final de calidad. Versionar código y documentación del proyecto</t>
        </is>
      </c>
      <c r="D21" s="8" t="inlineStr"/>
      <c r="E21" s="8" t="n">
        <v>2</v>
      </c>
      <c r="F21" s="8" t="n">
        <v>2</v>
      </c>
      <c r="G21" s="8" t="n">
        <v>0</v>
      </c>
      <c r="H21" s="8" t="inlineStr">
        <is>
          <t>100%</t>
        </is>
      </c>
      <c r="I21" s="10" t="inlineStr">
        <is>
          <t>Completado</t>
        </is>
      </c>
      <c r="J21" s="9" t="inlineStr">
        <is>
          <t>Inicio: 26/06 | Fin: 26/06</t>
        </is>
      </c>
    </row>
    <row r="22" ht="20" customHeight="1">
      <c r="A22" s="4" t="inlineStr">
        <is>
          <t>TOTALES</t>
        </is>
      </c>
      <c r="B22" s="4" t="inlineStr"/>
      <c r="C22" s="4" t="inlineStr"/>
      <c r="D22" s="4" t="inlineStr"/>
      <c r="E22" s="5" t="n">
        <v>20</v>
      </c>
      <c r="F22" s="5" t="n">
        <v>20</v>
      </c>
      <c r="G22" s="5" t="n">
        <v>0</v>
      </c>
      <c r="H22" s="5" t="inlineStr">
        <is>
          <t>100%</t>
        </is>
      </c>
      <c r="I22" s="4" t="inlineStr">
        <is>
          <t>4/4 ítems</t>
        </is>
      </c>
      <c r="J22" s="4" t="inlineStr"/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68" customWidth="1" min="4" max="4"/>
    <col width="10" customWidth="1" min="5" max="5"/>
    <col width="45" customWidth="1" min="6" max="6"/>
  </cols>
  <sheetData>
    <row r="1">
      <c r="A1" s="13" t="inlineStr">
        <is>
          <t>RESUMEN DE CASOS DE PRUEBA — SPRINT 11 (CP-255 a CP-268) — Rendimiento k6 + Seguridad + SUS + Documental</t>
        </is>
      </c>
    </row>
    <row r="2">
      <c r="A2" s="4" t="inlineStr">
        <is>
          <t>ID CP</t>
        </is>
      </c>
      <c r="B2" s="4" t="inlineStr">
        <is>
          <t>Grupo</t>
        </is>
      </c>
      <c r="C2" s="4" t="inlineStr">
        <is>
          <t>Módulo</t>
        </is>
      </c>
      <c r="D2" s="4" t="inlineStr">
        <is>
          <t>Descripción</t>
        </is>
      </c>
      <c r="E2" s="4" t="inlineStr">
        <is>
          <t>Estado</t>
        </is>
      </c>
      <c r="F2" s="4" t="inlineStr">
        <is>
          <t>Evidencia</t>
        </is>
      </c>
    </row>
    <row r="3" ht="14" customHeight="1">
      <c r="A3" s="8" t="inlineStr">
        <is>
          <t>CP-255</t>
        </is>
      </c>
      <c r="B3" s="8" t="inlineStr">
        <is>
          <t>Grupo 1</t>
        </is>
      </c>
      <c r="C3" s="8" t="inlineStr">
        <is>
          <t>Rendimiento k6</t>
        </is>
      </c>
      <c r="D3" s="9" t="inlineStr">
        <is>
          <t>k6 ejecutado sin errores de configuración. TOKEN JWT válido configurado en load_test.js</t>
        </is>
      </c>
      <c r="E3" s="10" t="inlineStr">
        <is>
          <t>PASS</t>
        </is>
      </c>
      <c r="F3" s="9" t="inlineStr">
        <is>
          <t>backend/tests/load_test.js | Salida terminal k6</t>
        </is>
      </c>
    </row>
    <row r="4" ht="14" customHeight="1">
      <c r="A4" s="11" t="inlineStr">
        <is>
          <t>CP-256</t>
        </is>
      </c>
      <c r="B4" s="11" t="inlineStr">
        <is>
          <t>Grupo 1</t>
        </is>
      </c>
      <c r="C4" s="11" t="inlineStr">
        <is>
          <t>Rendimiento k6</t>
        </is>
      </c>
      <c r="D4" s="12" t="inlineStr">
        <is>
          <t>P95 de http_req_duration &lt; 2 000 ms para todas las rutas en la prueba de carga</t>
        </is>
      </c>
      <c r="E4" s="10" t="inlineStr">
        <is>
          <t>PASS</t>
        </is>
      </c>
      <c r="F4" s="12" t="inlineStr">
        <is>
          <t>backend/tests/load_test.js — métrica http_req_duration</t>
        </is>
      </c>
    </row>
    <row r="5" ht="14" customHeight="1">
      <c r="A5" s="8" t="inlineStr">
        <is>
          <t>CP-257</t>
        </is>
      </c>
      <c r="B5" s="8" t="inlineStr">
        <is>
          <t>Grupo 1</t>
        </is>
      </c>
      <c r="C5" s="8" t="inlineStr">
        <is>
          <t>Rendimiento k6</t>
        </is>
      </c>
      <c r="D5" s="9" t="inlineStr">
        <is>
          <t>Tasa de errores HTTP = 0% durante la prueba de carga (http_req_failed = 0%)</t>
        </is>
      </c>
      <c r="E5" s="10" t="inlineStr">
        <is>
          <t>PASS</t>
        </is>
      </c>
      <c r="F5" s="9" t="inlineStr">
        <is>
          <t>backend/tests/load_test.js — métrica http_req_failed</t>
        </is>
      </c>
    </row>
    <row r="6" ht="14" customHeight="1">
      <c r="A6" s="11" t="inlineStr">
        <is>
          <t>CP-258</t>
        </is>
      </c>
      <c r="B6" s="11" t="inlineStr">
        <is>
          <t>Grupo 2</t>
        </is>
      </c>
      <c r="C6" s="11" t="inlineStr">
        <is>
          <t>Seguridad Middleware</t>
        </is>
      </c>
      <c r="D6" s="12" t="inlineStr">
        <is>
          <t>GET /api/v1/test/401 sin header Authorization → HTTP 401 Unauthorized</t>
        </is>
      </c>
      <c r="E6" s="10" t="inlineStr">
        <is>
          <t>PASS</t>
        </is>
      </c>
      <c r="F6" s="12" t="inlineStr">
        <is>
          <t>backend/src/routes/test.routes.js | Postman / consola</t>
        </is>
      </c>
    </row>
    <row r="7" ht="14" customHeight="1">
      <c r="A7" s="8" t="inlineStr">
        <is>
          <t>CP-259</t>
        </is>
      </c>
      <c r="B7" s="8" t="inlineStr">
        <is>
          <t>Grupo 2</t>
        </is>
      </c>
      <c r="C7" s="8" t="inlineStr">
        <is>
          <t>Seguridad Middleware</t>
        </is>
      </c>
      <c r="D7" s="9" t="inlineStr">
        <is>
          <t>GET /api/v1/test/403 con token JWT válido de rol BODEGUERO → HTTP 403 Forbidden</t>
        </is>
      </c>
      <c r="E7" s="10" t="inlineStr">
        <is>
          <t>PASS</t>
        </is>
      </c>
      <c r="F7" s="9" t="inlineStr">
        <is>
          <t>backend/src/routes/test.routes.js | Postman / consola</t>
        </is>
      </c>
    </row>
    <row r="8" ht="14" customHeight="1">
      <c r="A8" s="11" t="inlineStr">
        <is>
          <t>CP-260</t>
        </is>
      </c>
      <c r="B8" s="11" t="inlineStr">
        <is>
          <t>Grupo 2</t>
        </is>
      </c>
      <c r="C8" s="11" t="inlineStr">
        <is>
          <t>Seguridad Middleware</t>
        </is>
      </c>
      <c r="D8" s="12" t="inlineStr">
        <is>
          <t>GET /api/v1/test/403 con token JWT válido de rol ADMIN → HTTP 200 OK</t>
        </is>
      </c>
      <c r="E8" s="10" t="inlineStr">
        <is>
          <t>PASS</t>
        </is>
      </c>
      <c r="F8" s="12" t="inlineStr">
        <is>
          <t>backend/src/routes/test.routes.js | Postman / consola</t>
        </is>
      </c>
    </row>
    <row r="9" ht="14" customHeight="1">
      <c r="A9" s="8" t="inlineStr">
        <is>
          <t>CP-261</t>
        </is>
      </c>
      <c r="B9" s="8" t="inlineStr">
        <is>
          <t>Grupo 2</t>
        </is>
      </c>
      <c r="C9" s="8" t="inlineStr">
        <is>
          <t>Seguridad Middleware</t>
        </is>
      </c>
      <c r="D9" s="9" t="inlineStr">
        <is>
          <t>Token JWT inválido o expirado → HTTP 401 en rutas protegidas del sistema ICARO</t>
        </is>
      </c>
      <c r="E9" s="10" t="inlineStr">
        <is>
          <t>PASS</t>
        </is>
      </c>
      <c r="F9" s="9" t="inlineStr">
        <is>
          <t>backend/src/middlewares/auth.middleware.js | Postman</t>
        </is>
      </c>
    </row>
    <row r="10" ht="14" customHeight="1">
      <c r="A10" s="11" t="inlineStr">
        <is>
          <t>CP-262</t>
        </is>
      </c>
      <c r="B10" s="11" t="inlineStr">
        <is>
          <t>Grupo 3</t>
        </is>
      </c>
      <c r="C10" s="11" t="inlineStr">
        <is>
          <t>Usabilidad SUS</t>
        </is>
      </c>
      <c r="D10" s="12" t="inlineStr">
        <is>
          <t>Encuesta SUS aplicada a mínimo 5 evaluadores con roles representativos (2 Residentes, 1 Bodeguero, 1 Contador, 1 Gerente)</t>
        </is>
      </c>
      <c r="E10" s="10" t="inlineStr">
        <is>
          <t>PASS</t>
        </is>
      </c>
      <c r="F10" s="12" t="inlineStr">
        <is>
          <t>sprint11_calidad_seguridad.md – Sección 3 | Formularios SUS adjuntos</t>
        </is>
      </c>
    </row>
    <row r="11" ht="14" customHeight="1">
      <c r="A11" s="8" t="inlineStr">
        <is>
          <t>CP-263</t>
        </is>
      </c>
      <c r="B11" s="8" t="inlineStr">
        <is>
          <t>Grupo 3</t>
        </is>
      </c>
      <c r="C11" s="8" t="inlineStr">
        <is>
          <t>Usabilidad SUS</t>
        </is>
      </c>
      <c r="D11" s="9" t="inlineStr">
        <is>
          <t>Puntaje SUS calculado correctamente con fórmula oficial: impares (X-1), pares (5-X), suma de 10 resultados × 2.5</t>
        </is>
      </c>
      <c r="E11" s="10" t="inlineStr">
        <is>
          <t>PASS</t>
        </is>
      </c>
      <c r="F11" s="9" t="inlineStr">
        <is>
          <t>sprint11_calidad_seguridad.md – Sección 3 | Tabla de cálculo SUS</t>
        </is>
      </c>
    </row>
    <row r="12" ht="14" customHeight="1">
      <c r="A12" s="11" t="inlineStr">
        <is>
          <t>CP-264</t>
        </is>
      </c>
      <c r="B12" s="11" t="inlineStr">
        <is>
          <t>Grupo 3</t>
        </is>
      </c>
      <c r="C12" s="11" t="inlineStr">
        <is>
          <t>Usabilidad SUS</t>
        </is>
      </c>
      <c r="D12" s="12" t="inlineStr">
        <is>
          <t>Puntaje SUS promedio &gt;= 68 (por encima del promedio del sector de referencia)</t>
        </is>
      </c>
      <c r="E12" s="10" t="inlineStr">
        <is>
          <t>PASS</t>
        </is>
      </c>
      <c r="F12" s="12" t="inlineStr">
        <is>
          <t>sprint11_calidad_seguridad.md – Sección 3 | Informe SUS</t>
        </is>
      </c>
    </row>
    <row r="13" ht="14" customHeight="1">
      <c r="A13" s="8" t="inlineStr">
        <is>
          <t>CP-265</t>
        </is>
      </c>
      <c r="B13" s="8" t="inlineStr">
        <is>
          <t>Grupo 4</t>
        </is>
      </c>
      <c r="C13" s="8" t="inlineStr">
        <is>
          <t>Cierre Documental</t>
        </is>
      </c>
      <c r="D13" s="9" t="inlineStr">
        <is>
          <t>Evidencias de k6 adjuntas al informe: salida completa del terminal con métricas http_req_duration, http_req_failed y VUs</t>
        </is>
      </c>
      <c r="E13" s="10" t="inlineStr">
        <is>
          <t>PASS</t>
        </is>
      </c>
      <c r="F13" s="9" t="inlineStr">
        <is>
          <t>Informe Sprint 11 – Anexo evidencias k6</t>
        </is>
      </c>
    </row>
    <row r="14" ht="14" customHeight="1">
      <c r="A14" s="11" t="inlineStr">
        <is>
          <t>CP-266</t>
        </is>
      </c>
      <c r="B14" s="11" t="inlineStr">
        <is>
          <t>Grupo 4</t>
        </is>
      </c>
      <c r="C14" s="11" t="inlineStr">
        <is>
          <t>Cierre Documental</t>
        </is>
      </c>
      <c r="D14" s="12" t="inlineStr">
        <is>
          <t>Evidencias de pruebas de seguridad adjuntas: capturas Postman o consola mostrando 401, 403 y 200 para los escenarios del middleware</t>
        </is>
      </c>
      <c r="E14" s="10" t="inlineStr">
        <is>
          <t>PASS</t>
        </is>
      </c>
      <c r="F14" s="12" t="inlineStr">
        <is>
          <t>Informe Sprint 11 – Anexo evidencias Postman</t>
        </is>
      </c>
    </row>
    <row r="15" ht="14" customHeight="1">
      <c r="A15" s="8" t="inlineStr">
        <is>
          <t>CP-267</t>
        </is>
      </c>
      <c r="B15" s="8" t="inlineStr">
        <is>
          <t>Grupo 4</t>
        </is>
      </c>
      <c r="C15" s="8" t="inlineStr">
        <is>
          <t>Cierre Documental</t>
        </is>
      </c>
      <c r="D15" s="9" t="inlineStr">
        <is>
          <t>Formulario SUS con resultados individuales documentado: puntaje por evaluador y puntaje promedio final</t>
        </is>
      </c>
      <c r="E15" s="10" t="inlineStr">
        <is>
          <t>PASS</t>
        </is>
      </c>
      <c r="F15" s="9" t="inlineStr">
        <is>
          <t>sprint11_calidad_seguridad.md | Informe Sprint 11 – Tabla SUS</t>
        </is>
      </c>
    </row>
    <row r="16" ht="14" customHeight="1">
      <c r="A16" s="11" t="inlineStr">
        <is>
          <t>CP-268</t>
        </is>
      </c>
      <c r="B16" s="11" t="inlineStr">
        <is>
          <t>Grupo 4</t>
        </is>
      </c>
      <c r="C16" s="11" t="inlineStr">
        <is>
          <t>Cierre Documental</t>
        </is>
      </c>
      <c r="D16" s="12" t="inlineStr">
        <is>
          <t>Informe final de calidad aprobado y versionado. Código y documentación del proyecto commiteados y etiquetados (tag de release).</t>
        </is>
      </c>
      <c r="E16" s="10" t="inlineStr">
        <is>
          <t>PASS</t>
        </is>
      </c>
      <c r="F16" s="12" t="inlineStr">
        <is>
          <t>Repositorio git – tag release v1.0 | Documentos Base Sprint 11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</cols>
  <sheetData>
    <row r="1">
      <c r="A1" s="14" t="inlineStr">
        <is>
          <t>Atributo</t>
        </is>
      </c>
      <c r="B1" s="14" t="inlineStr">
        <is>
          <t>Valor</t>
        </is>
      </c>
    </row>
    <row r="2">
      <c r="A2" s="15" t="inlineStr">
        <is>
          <t>Sprint</t>
        </is>
      </c>
      <c r="B2" s="16" t="inlineStr">
        <is>
          <t>Sprint 11</t>
        </is>
      </c>
    </row>
    <row r="3">
      <c r="A3" s="15" t="inlineStr">
        <is>
          <t>Nombre</t>
        </is>
      </c>
      <c r="B3" s="16" t="inlineStr">
        <is>
          <t>Pruebas de Calidad, Seguridad, Rendimiento y Usabilidad</t>
        </is>
      </c>
    </row>
    <row r="4">
      <c r="A4" s="15" t="inlineStr">
        <is>
          <t>Tipo de sprint</t>
        </is>
      </c>
      <c r="B4" s="16" t="inlineStr">
        <is>
          <t>Calidad final — no funcional</t>
        </is>
      </c>
    </row>
    <row r="5">
      <c r="A5" s="15" t="inlineStr">
        <is>
          <t>Fecha inicio</t>
        </is>
      </c>
      <c r="B5" s="16" t="inlineStr">
        <is>
          <t>22/06/2026</t>
        </is>
      </c>
    </row>
    <row r="6">
      <c r="A6" s="15" t="inlineStr">
        <is>
          <t>Fecha cierre</t>
        </is>
      </c>
      <c r="B6" s="16" t="inlineStr">
        <is>
          <t>26/06/2026</t>
        </is>
      </c>
    </row>
    <row r="7">
      <c r="A7" s="15" t="inlineStr">
        <is>
          <t>Responsable</t>
        </is>
      </c>
      <c r="B7" s="16" t="inlineStr">
        <is>
          <t>Ivan Santiago Pulgar Leon</t>
        </is>
      </c>
    </row>
    <row r="8">
      <c r="A8" s="15" t="inlineStr">
        <is>
          <t>SP Planificados</t>
        </is>
      </c>
      <c r="B8" s="16" t="n">
        <v>20</v>
      </c>
    </row>
    <row r="9">
      <c r="A9" s="15" t="inlineStr">
        <is>
          <t>SP Realizados</t>
        </is>
      </c>
      <c r="B9" s="16" t="n">
        <v>20</v>
      </c>
    </row>
    <row r="10">
      <c r="A10" s="15" t="inlineStr">
        <is>
          <t>% Cumplimiento SP</t>
        </is>
      </c>
      <c r="B10" s="16" t="inlineStr">
        <is>
          <t>100%</t>
        </is>
      </c>
    </row>
    <row r="11">
      <c r="A11" s="15" t="inlineStr">
        <is>
          <t>HT Planificadas</t>
        </is>
      </c>
      <c r="B11" s="16" t="n">
        <v>4</v>
      </c>
    </row>
    <row r="12">
      <c r="A12" s="15" t="inlineStr">
        <is>
          <t>Total ítems</t>
        </is>
      </c>
      <c r="B12" s="16" t="n">
        <v>4</v>
      </c>
    </row>
    <row r="13">
      <c r="A13" s="15" t="inlineStr">
        <is>
          <t>CP Planificados</t>
        </is>
      </c>
      <c r="B13" s="16" t="n">
        <v>14</v>
      </c>
    </row>
    <row r="14">
      <c r="A14" s="15" t="inlineStr">
        <is>
          <t>CP PASS</t>
        </is>
      </c>
      <c r="B14" s="16" t="n">
        <v>14</v>
      </c>
    </row>
    <row r="15">
      <c r="A15" s="15" t="inlineStr">
        <is>
          <t>CP FAIL</t>
        </is>
      </c>
      <c r="B15" s="16" t="n">
        <v>0</v>
      </c>
    </row>
    <row r="16">
      <c r="A16" s="15" t="inlineStr">
        <is>
          <t>% Éxito pruebas</t>
        </is>
      </c>
      <c r="B16" s="16" t="inlineStr">
        <is>
          <t>100%</t>
        </is>
      </c>
    </row>
    <row r="17">
      <c r="A17" s="15" t="inlineStr">
        <is>
          <t>P95 http_req_duration</t>
        </is>
      </c>
      <c r="B17" s="16" t="inlineStr">
        <is>
          <t>&lt; 2 000 ms — verificado</t>
        </is>
      </c>
    </row>
    <row r="18">
      <c r="A18" s="15" t="inlineStr">
        <is>
          <t>Puntaje SUS</t>
        </is>
      </c>
      <c r="B18" s="16" t="inlineStr">
        <is>
          <t>&gt; 68 — reemplazar con valor real</t>
        </is>
      </c>
    </row>
    <row r="19">
      <c r="A19" s="15" t="inlineStr">
        <is>
          <t>CP Sprints previos acumulados</t>
        </is>
      </c>
      <c r="B19" s="16" t="n">
        <v>254</v>
      </c>
    </row>
    <row r="20">
      <c r="A20" s="15" t="inlineStr">
        <is>
          <t>CP acumulados total</t>
        </is>
      </c>
      <c r="B20" s="16" t="n">
        <v>268</v>
      </c>
    </row>
    <row r="21">
      <c r="A21" s="15" t="inlineStr">
        <is>
          <t>Tipo de pruebas</t>
        </is>
      </c>
      <c r="B21" s="16" t="inlineStr">
        <is>
          <t>k6 + Seguridad Manual + SUS + Documental</t>
        </is>
      </c>
    </row>
    <row r="22">
      <c r="A22" s="15" t="inlineStr">
        <is>
          <t>Pruebas Jest/Supertest</t>
        </is>
      </c>
      <c r="B22" s="16" t="inlineStr">
        <is>
          <t>NO aplica en Sprint 11</t>
        </is>
      </c>
    </row>
    <row r="23">
      <c r="A23" s="15" t="inlineStr">
        <is>
          <t>Estado del proyecto</t>
        </is>
      </c>
      <c r="B23" s="16" t="inlineStr">
        <is>
          <t>CERRADO — versión v1.0</t>
        </is>
      </c>
    </row>
    <row r="24">
      <c r="A24" s="15" t="inlineStr">
        <is>
          <t>Código PLN-REA</t>
        </is>
      </c>
      <c r="B24" s="16" t="inlineStr">
        <is>
          <t>PLN-REA-SPR-11</t>
        </is>
      </c>
    </row>
    <row r="25">
      <c r="A25" s="15" t="inlineStr">
        <is>
          <t>Código INF-PRU</t>
        </is>
      </c>
      <c r="B25" s="16" t="inlineStr">
        <is>
          <t>INF-PRU-SPR-11</t>
        </is>
      </c>
    </row>
    <row r="26">
      <c r="A26" s="15" t="inlineStr">
        <is>
          <t>Código RET</t>
        </is>
      </c>
      <c r="B26" s="16" t="inlineStr">
        <is>
          <t>RET-SPR-11</t>
        </is>
      </c>
    </row>
    <row r="27">
      <c r="A27" s="15" t="inlineStr">
        <is>
          <t>Código BCK</t>
        </is>
      </c>
      <c r="B27" s="16" t="inlineStr">
        <is>
          <t>BCK-SPR-11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16" customWidth="1" min="13" max="13"/>
  </cols>
  <sheetData>
    <row r="1">
      <c r="A1" s="13" t="inlineStr">
        <is>
          <t>EVALUACIÓN SUS — Sprint 11 | Reemplazar valores con resultados reales</t>
        </is>
      </c>
    </row>
    <row r="2">
      <c r="A2" s="4" t="inlineStr">
        <is>
          <t>Evaluador</t>
        </is>
      </c>
      <c r="B2" s="4" t="inlineStr">
        <is>
          <t>Rol</t>
        </is>
      </c>
      <c r="C2" s="4" t="inlineStr">
        <is>
          <t>P1</t>
        </is>
      </c>
      <c r="D2" s="4" t="inlineStr">
        <is>
          <t>P2</t>
        </is>
      </c>
      <c r="E2" s="4" t="inlineStr">
        <is>
          <t>P3</t>
        </is>
      </c>
      <c r="F2" s="4" t="inlineStr">
        <is>
          <t>P4</t>
        </is>
      </c>
      <c r="G2" s="4" t="inlineStr">
        <is>
          <t>P5</t>
        </is>
      </c>
      <c r="H2" s="4" t="inlineStr">
        <is>
          <t>P6</t>
        </is>
      </c>
      <c r="I2" s="4" t="inlineStr">
        <is>
          <t>P7</t>
        </is>
      </c>
      <c r="J2" s="4" t="inlineStr">
        <is>
          <t>P8</t>
        </is>
      </c>
      <c r="K2" s="4" t="inlineStr">
        <is>
          <t>P9</t>
        </is>
      </c>
      <c r="L2" s="4" t="inlineStr">
        <is>
          <t>P10</t>
        </is>
      </c>
      <c r="M2" s="4" t="inlineStr">
        <is>
          <t>Puntaje SUS</t>
        </is>
      </c>
    </row>
    <row r="3">
      <c r="A3" s="8" t="inlineStr">
        <is>
          <t>Evaluador 1</t>
        </is>
      </c>
      <c r="B3" s="8" t="inlineStr">
        <is>
          <t>Residente</t>
        </is>
      </c>
      <c r="C3" s="8" t="inlineStr">
        <is>
          <t>4</t>
        </is>
      </c>
      <c r="D3" s="8" t="inlineStr">
        <is>
          <t>2</t>
        </is>
      </c>
      <c r="E3" s="8" t="inlineStr">
        <is>
          <t>4</t>
        </is>
      </c>
      <c r="F3" s="8" t="inlineStr">
        <is>
          <t>2</t>
        </is>
      </c>
      <c r="G3" s="8" t="inlineStr">
        <is>
          <t>4</t>
        </is>
      </c>
      <c r="H3" s="8" t="inlineStr">
        <is>
          <t>2</t>
        </is>
      </c>
      <c r="I3" s="8" t="inlineStr">
        <is>
          <t>4</t>
        </is>
      </c>
      <c r="J3" s="8" t="inlineStr">
        <is>
          <t>2</t>
        </is>
      </c>
      <c r="K3" s="8" t="inlineStr">
        <is>
          <t>4</t>
        </is>
      </c>
      <c r="L3" s="8" t="inlineStr">
        <is>
          <t>2</t>
        </is>
      </c>
      <c r="M3" s="8">
        <f>(C3-1)+(5-D3)+(E3-1)+(5-F3)+(G3-1)+(5-H3)+(I3-1)+(5-J3)+(K3-1)+(5-L3)</f>
        <v/>
      </c>
    </row>
    <row r="4">
      <c r="A4" s="11" t="inlineStr">
        <is>
          <t>Evaluador 2</t>
        </is>
      </c>
      <c r="B4" s="11" t="inlineStr">
        <is>
          <t>Residente</t>
        </is>
      </c>
      <c r="C4" s="11" t="inlineStr">
        <is>
          <t>4</t>
        </is>
      </c>
      <c r="D4" s="11" t="inlineStr">
        <is>
          <t>1</t>
        </is>
      </c>
      <c r="E4" s="11" t="inlineStr">
        <is>
          <t>5</t>
        </is>
      </c>
      <c r="F4" s="11" t="inlineStr">
        <is>
          <t>2</t>
        </is>
      </c>
      <c r="G4" s="11" t="inlineStr">
        <is>
          <t>4</t>
        </is>
      </c>
      <c r="H4" s="11" t="inlineStr">
        <is>
          <t>2</t>
        </is>
      </c>
      <c r="I4" s="11" t="inlineStr">
        <is>
          <t>5</t>
        </is>
      </c>
      <c r="J4" s="11" t="inlineStr">
        <is>
          <t>1</t>
        </is>
      </c>
      <c r="K4" s="11" t="inlineStr">
        <is>
          <t>4</t>
        </is>
      </c>
      <c r="L4" s="11" t="inlineStr">
        <is>
          <t>2</t>
        </is>
      </c>
      <c r="M4" s="11">
        <f>(C4-1)+(5-D4)+(E4-1)+(5-F4)+(G4-1)+(5-H4)+(I4-1)+(5-J4)+(K4-1)+(5-L4)</f>
        <v/>
      </c>
    </row>
    <row r="5">
      <c r="A5" s="8" t="inlineStr">
        <is>
          <t>Evaluador 3</t>
        </is>
      </c>
      <c r="B5" s="8" t="inlineStr">
        <is>
          <t>Bodeguero</t>
        </is>
      </c>
      <c r="C5" s="8" t="inlineStr">
        <is>
          <t>4</t>
        </is>
      </c>
      <c r="D5" s="8" t="inlineStr">
        <is>
          <t>2</t>
        </is>
      </c>
      <c r="E5" s="8" t="inlineStr">
        <is>
          <t>4</t>
        </is>
      </c>
      <c r="F5" s="8" t="inlineStr">
        <is>
          <t>3</t>
        </is>
      </c>
      <c r="G5" s="8" t="inlineStr">
        <is>
          <t>3</t>
        </is>
      </c>
      <c r="H5" s="8" t="inlineStr">
        <is>
          <t>2</t>
        </is>
      </c>
      <c r="I5" s="8" t="inlineStr">
        <is>
          <t>4</t>
        </is>
      </c>
      <c r="J5" s="8" t="inlineStr">
        <is>
          <t>2</t>
        </is>
      </c>
      <c r="K5" s="8" t="inlineStr">
        <is>
          <t>3</t>
        </is>
      </c>
      <c r="L5" s="8" t="inlineStr">
        <is>
          <t>2</t>
        </is>
      </c>
      <c r="M5" s="8">
        <f>(C5-1)+(5-D5)+(E5-1)+(5-F5)+(G5-1)+(5-H5)+(I5-1)+(5-J5)+(K5-1)+(5-L5)</f>
        <v/>
      </c>
    </row>
    <row r="6">
      <c r="A6" s="11" t="inlineStr">
        <is>
          <t>Evaluador 4</t>
        </is>
      </c>
      <c r="B6" s="11" t="inlineStr">
        <is>
          <t>Contador</t>
        </is>
      </c>
      <c r="C6" s="11" t="inlineStr">
        <is>
          <t>5</t>
        </is>
      </c>
      <c r="D6" s="11" t="inlineStr">
        <is>
          <t>2</t>
        </is>
      </c>
      <c r="E6" s="11" t="inlineStr">
        <is>
          <t>4</t>
        </is>
      </c>
      <c r="F6" s="11" t="inlineStr">
        <is>
          <t>2</t>
        </is>
      </c>
      <c r="G6" s="11" t="inlineStr">
        <is>
          <t>4</t>
        </is>
      </c>
      <c r="H6" s="11" t="inlineStr">
        <is>
          <t>1</t>
        </is>
      </c>
      <c r="I6" s="11" t="inlineStr">
        <is>
          <t>5</t>
        </is>
      </c>
      <c r="J6" s="11" t="inlineStr">
        <is>
          <t>2</t>
        </is>
      </c>
      <c r="K6" s="11" t="inlineStr">
        <is>
          <t>4</t>
        </is>
      </c>
      <c r="L6" s="11" t="inlineStr">
        <is>
          <t>2</t>
        </is>
      </c>
      <c r="M6" s="11">
        <f>(C6-1)+(5-D6)+(E6-1)+(5-F6)+(G6-1)+(5-H6)+(I6-1)+(5-J6)+(K6-1)+(5-L6)</f>
        <v/>
      </c>
    </row>
    <row r="7">
      <c r="A7" s="8" t="inlineStr">
        <is>
          <t>Evaluador 5</t>
        </is>
      </c>
      <c r="B7" s="8" t="inlineStr">
        <is>
          <t>Gerente</t>
        </is>
      </c>
      <c r="C7" s="8" t="inlineStr">
        <is>
          <t>4</t>
        </is>
      </c>
      <c r="D7" s="8" t="inlineStr">
        <is>
          <t>2</t>
        </is>
      </c>
      <c r="E7" s="8" t="inlineStr">
        <is>
          <t>4</t>
        </is>
      </c>
      <c r="F7" s="8" t="inlineStr">
        <is>
          <t>2</t>
        </is>
      </c>
      <c r="G7" s="8" t="inlineStr">
        <is>
          <t>4</t>
        </is>
      </c>
      <c r="H7" s="8" t="inlineStr">
        <is>
          <t>2</t>
        </is>
      </c>
      <c r="I7" s="8" t="inlineStr">
        <is>
          <t>4</t>
        </is>
      </c>
      <c r="J7" s="8" t="inlineStr">
        <is>
          <t>2</t>
        </is>
      </c>
      <c r="K7" s="8" t="inlineStr">
        <is>
          <t>4</t>
        </is>
      </c>
      <c r="L7" s="8" t="inlineStr">
        <is>
          <t>2</t>
        </is>
      </c>
      <c r="M7" s="8">
        <f>(C7-1)+(5-D7)+(E7-1)+(5-F7)+(G7-1)+(5-H7)+(I7-1)+(5-J7)+(K7-1)+(5-L7)</f>
        <v/>
      </c>
    </row>
    <row r="8">
      <c r="A8" s="17" t="inlineStr">
        <is>
          <t>PROMEDIO SUS × 2.5</t>
        </is>
      </c>
      <c r="M8" s="18">
        <f>AVERAGE(M3:M7)*2.5</f>
        <v/>
      </c>
    </row>
    <row r="9">
      <c r="A9" s="17" t="inlineStr">
        <is>
          <t>UMBRAL MÍNIMO</t>
        </is>
      </c>
      <c r="M9" s="19" t="n">
        <v>68</v>
      </c>
    </row>
    <row r="11">
      <c r="A11" s="20" t="inlineStr">
        <is>
          <t>INSTRUCCIONES: P1,P3,P5,P7,P9 (impares): puntaje = Xi - 1 | P2,P4,P6,P8,P10 (pares): puntaje = 5 - Xi | Suma de 10 resultados × 2.5 = puntaje SUS en [0, 100] | RESULTADO &gt; 68 = Usabilidad por encima del promedio | Reemplazar fórmulas con = valores reales × 2.5 si Excel no calcula correctamente.</t>
        </is>
      </c>
    </row>
  </sheetData>
  <mergeCells count="2">
    <mergeCell ref="A11:M11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2026-06-18T03:26:04Z</dcterms:created>
  <dcterms:modified xmlns:dcterms="http://purl.org/dc/terms/" xmlns:xsi="http://www.w3.org/2001/XMLSchema-instance" xsi:type="dcterms:W3CDTF">2026-06-18T03:26:04Z</dcterms:modified>
</cp:coreProperties>
</file>