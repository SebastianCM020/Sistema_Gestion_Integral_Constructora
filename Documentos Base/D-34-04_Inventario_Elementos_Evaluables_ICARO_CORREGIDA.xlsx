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05cefd4dc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ICHA_GENERAL" sheetId="1" r:id="R37ab4ae1cf6c404d"/>
    <x:sheet xmlns:r="http://schemas.openxmlformats.org/officeDocument/2006/relationships" name="02_INVENTARIO_MODULOS" sheetId="2" r:id="R3d5e6166768e42d4"/>
    <x:sheet xmlns:r="http://schemas.openxmlformats.org/officeDocument/2006/relationships" name="03_INVENTARIO_FORMULARIOS" sheetId="3" r:id="Rfe967fae21d949f4"/>
    <x:sheet xmlns:r="http://schemas.openxmlformats.org/officeDocument/2006/relationships" name="04_ENTIDADES_DATOS" sheetId="4" r:id="R7f12eb3283a84ca4"/>
    <x:sheet xmlns:r="http://schemas.openxmlformats.org/officeDocument/2006/relationships" name="05_COBERTURA_EVALUACION" sheetId="5" r:id="Rf02223fab6914407"/>
    <x:sheet xmlns:r="http://schemas.openxmlformats.org/officeDocument/2006/relationships" name="06_RUBRICA_FORMULARIOS" sheetId="6" r:id="R37c943509d174398"/>
    <x:sheet xmlns:r="http://schemas.openxmlformats.org/officeDocument/2006/relationships" name="07_PENDIENTES_PARA_COMPLETAR" sheetId="7" r:id="Recf38e084c2b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%&quot;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42E4B"/>
      <x:name val="Carlito"/>
    </x:font>
    <x:font>
      <x:b/>
      <x:sz val="11"/>
      <x:color rgb="FFFFFFFF"/>
      <x:name val="Carlito"/>
    </x:font>
    <x:font>
      <x:b/>
      <x:sz val="11"/>
      <x:color rgb="FF142E4B"/>
      <x:name val="Carlito"/>
    </x:font>
    <x:font>
      <x:b/>
      <x:sz val="15"/>
      <x:color rgb="FFFFFFFF"/>
      <x:name val="Carlito"/>
    </x:font>
    <x:font>
      <x:b/>
      <x:sz val="11"/>
      <x:color rgb="FF0F6B77"/>
      <x:name val="Carlito"/>
    </x:font>
    <x:font>
      <x:i/>
      <x:sz val="11"/>
      <x:color rgb="FF5B6C7C"/>
      <x:name val="Carlito"/>
    </x:font>
    <x:font>
      <x:sz val="10"/>
      <x:color rgb="FF273444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E4B"/>
      </x:patternFill>
    </x:fill>
    <x:fill>
      <x:patternFill patternType="solid">
        <x:fgColor rgb="FFE8F3F5"/>
      </x:patternFill>
    </x:fill>
    <x:fill>
      <x:patternFill patternType="solid">
        <x:fgColor rgb="FF0F6B77"/>
      </x:patternFill>
    </x:fill>
    <x:fill>
      <x:patternFill patternType="solid">
        <x:fgColor rgb="FFFFF1D5"/>
      </x:patternFill>
    </x:fill>
    <x:fill>
      <x:patternFill patternType="solid">
        <x:fgColor rgb="FF087E87"/>
      </x:patternFill>
    </x:fill>
    <x:fill>
      <x:patternFill patternType="solid">
        <x:fgColor rgb="FF19324E"/>
      </x:patternFill>
    </x:fill>
    <x:fill>
      <x:patternFill patternType="solid">
        <x:fgColor rgb="FFFFF4D5"/>
      </x:patternFill>
    </x:fill>
    <x:fill>
      <x:patternFill patternType="solid">
        <x:fgColor rgb="FF087E8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a90f3ba174f81" /><Relationship Type="http://schemas.openxmlformats.org/officeDocument/2006/relationships/theme" Target="/xl/theme/theme1.xml" Id="Rc2f4182742944b7f" /><Relationship Type="http://schemas.openxmlformats.org/officeDocument/2006/relationships/sharedStrings" Target="/xl/sharedStrings.xml" Id="Rf1162b657007495d" /><Relationship Type="http://schemas.openxmlformats.org/officeDocument/2006/relationships/worksheet" Target="/xl/worksheets/sheet1.xml" Id="R37ab4ae1cf6c404d" /><Relationship Type="http://schemas.openxmlformats.org/officeDocument/2006/relationships/worksheet" Target="/xl/worksheets/sheet2.xml" Id="R3d5e6166768e42d4" /><Relationship Type="http://schemas.openxmlformats.org/officeDocument/2006/relationships/worksheet" Target="/xl/worksheets/sheet3.xml" Id="Rfe967fae21d949f4" /><Relationship Type="http://schemas.openxmlformats.org/officeDocument/2006/relationships/worksheet" Target="/xl/worksheets/sheet4.xml" Id="R7f12eb3283a84ca4" /><Relationship Type="http://schemas.openxmlformats.org/officeDocument/2006/relationships/worksheet" Target="/xl/worksheets/sheet5.xml" Id="Rf02223fab6914407" /><Relationship Type="http://schemas.openxmlformats.org/officeDocument/2006/relationships/worksheet" Target="/xl/worksheets/sheet6.xml" Id="R37c943509d174398" /><Relationship Type="http://schemas.openxmlformats.org/officeDocument/2006/relationships/worksheet" Target="/xl/worksheets/sheet7.xml" Id="Recf38e084c2b4b51" /></Relationships>
</file>

<file path=xl/tables/table1.xml><?xml version="1.0" encoding="utf-8"?>
<x:table xmlns:x="http://schemas.openxmlformats.org/spreadsheetml/2006/main" id="1" name="T3404Modulos" displayName="T3404Modulos" ref="A5:L53" headerRowCount="1" totalsRowCount="0" totalsRowShown="0">
  <x:tableColumns count="12">
    <x:tableColumn id="1" name="Código MOD"/>
    <x:tableColumn id="2" name="Área funcional"/>
    <x:tableColumn id="3" name="Descripción"/>
    <x:tableColumn id="4" name="Ruta o componente GitHub"/>
    <x:tableColumn id="5" name="Tipo de interfaz"/>
    <x:tableColumn id="6" name="Roles autorizados"/>
    <x:tableColumn id="7" name="Estado técnico"/>
    <x:tableColumn id="8" name="Incluido en evaluación"/>
    <x:tableColumn id="9" name="Motivo de inclusión/exclusión"/>
    <x:tableColumn id="10" name="Versión o commit"/>
    <x:tableColumn id="11" name="Fuente"/>
    <x:tableColumn id="12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404Formularios" displayName="T3404Formularios" ref="A5:P90" headerRowCount="1" totalsRowCount="0" totalsRowShown="0">
  <x:tableColumns count="16">
    <x:tableColumn id="1" name="Código formulario"/>
    <x:tableColumn id="2" name="Código MOD"/>
    <x:tableColumn id="3" name="Nombre del formulario"/>
    <x:tableColumn id="4" name="Componente o ruta"/>
    <x:tableColumn id="5" name="Funcionalidad"/>
    <x:tableColumn id="6" name="Perfil autorizado"/>
    <x:tableColumn id="7" name="Campos obligatorios"/>
    <x:tableColumn id="8" name="Validaciones previstas"/>
    <x:tableColumn id="9" name="Requisitos asociados"/>
    <x:tableColumn id="10" name="Criterio de conformidad"/>
    <x:tableColumn id="11" name="Elemento elegible"/>
    <x:tableColumn id="12" name="Incluido en evaluación"/>
    <x:tableColumn id="13" name="Resultado de conformidad"/>
    <x:tableColumn id="14" name="Evidencia"/>
    <x:tableColumn id="15" name="Estado de verificación"/>
    <x:tableColumn id="16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404Entidades" displayName="T3404Entidades" ref="A5:Q75" headerRowCount="1" totalsRowCount="0" totalsRowShown="0">
  <x:tableColumns count="17">
    <x:tableColumn id="1" name="Código entidad"/>
    <x:tableColumn id="2" name="Código MOD"/>
    <x:tableColumn id="3" name="Entidad"/>
    <x:tableColumn id="4" name="Modelo Prisma"/>
    <x:tableColumn id="5" name="Tabla de base de datos"/>
    <x:tableColumn id="6" name="Clave primaria"/>
    <x:tableColumn id="7" name="Clave de negocio"/>
    <x:tableColumn id="8" name="Restricción de unicidad"/>
    <x:tableColumn id="9" name="Definición de duplicado indebido"/>
    <x:tableColumn id="10" name="Conjunto de datos evaluado"/>
    <x:tableColumn id="11" name="Consulta de comprobación"/>
    <x:tableColumn id="12" name="Número de duplicados encontrados"/>
    <x:tableColumn id="13" name="Incluido"/>
    <x:tableColumn id="14" name="Fuente"/>
    <x:tableColumn id="15" name="Evidencia"/>
    <x:tableColumn id="16" name="Estado"/>
    <x:tableColumn id="17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404Cobertura" displayName="T3404Cobertura" ref="A5:M45" headerRowCount="1" totalsRowCount="0" totalsRowShown="0">
  <x:tableColumns count="13">
    <x:tableColumn id="1" name="Indicador OP"/>
    <x:tableColumn id="2" name="Tipo de elemento"/>
    <x:tableColumn id="3" name="Total elegible"/>
    <x:tableColumn id="4" name="Total incluido"/>
    <x:tableColumn id="5" name="Total evaluado"/>
    <x:tableColumn id="6" name="Total conforme"/>
    <x:tableColumn id="7" name="Total no conforme"/>
    <x:tableColumn id="8" name="Cobertura (%)"/>
    <x:tableColumn id="9" name="Resultado indicador"/>
    <x:tableColumn id="10" name="Modalidad de selección"/>
    <x:tableColumn id="11" name="Criterio aplicado"/>
    <x:tableColumn id="12" name="Estado"/>
    <x:tableColumn id="13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007352cff14b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fb01d271174a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c701553bb44b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907057cbb040e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5" customHeight="1">
      <x:c r="A1" s="4" t="str">
        <x:v>ICARO | INSTRUMENTO METODOLÓGICO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9" t="str">
        <x:v>Inventario de elementos evaluables del software</x:v>
      </x:c>
      <x:c r="B3" s="9"/>
      <x:c r="C3" s="9"/>
      <x:c r="D3" s="9"/>
      <x:c r="E3" s="9"/>
      <x:c r="F3" s="9"/>
      <x:c r="G3" s="9"/>
      <x:c r="H3" s="9"/>
    </x:row>
    <x:row r="5" ht="26" customHeight="1">
      <x:c r="A5" s="13" t="str">
        <x:v>Campo</x:v>
      </x:c>
      <x:c r="B5" s="13" t="str">
        <x:v>Valor</x:v>
      </x:c>
    </x:row>
    <x:row r="6" ht="29" customHeight="1">
      <x:c r="A6" s="16" t="str">
        <x:v>Código</x:v>
      </x:c>
      <x:c r="B6" s="18" t="str">
        <x:v>D-34-04</x:v>
      </x:c>
    </x:row>
    <x:row r="7" ht="29" customHeight="1">
      <x:c r="A7" s="16" t="str">
        <x:v>Proyecto</x:v>
      </x:c>
      <x:c r="B7" s="18" t="str">
        <x:v>Sistema de Gestión Integral ICARO — ICARO CONSTRUCTORES BMGM S.A.S.</x:v>
      </x:c>
    </x:row>
    <x:row r="8" ht="29" customHeight="1">
      <x:c r="A8" s="16" t="str">
        <x:v>Trabajo</x:v>
      </x:c>
      <x:c r="B8" s="18" t="str">
        <x:v>Desarrollo de un sistema web y móvil para la gestión integral en la empresa ICARO CONSTRUCTORES BMGM S.A.S.</x:v>
      </x:c>
    </x:row>
    <x:row r="9" ht="29" customHeight="1">
      <x:c r="A9" s="16" t="str">
        <x:v>Capítulo</x:v>
      </x:c>
      <x:c r="B9" s="18" t="str">
        <x:v>III — Marco metodológico</x:v>
      </x:c>
    </x:row>
    <x:row r="10" ht="29" customHeight="1">
      <x:c r="A10" s="16" t="str">
        <x:v>Apartado</x:v>
      </x:c>
      <x:c r="B10" s="18" t="str">
        <x:v>3.4. Población, muestra y unidades de análisis</x:v>
      </x:c>
    </x:row>
    <x:row r="11" ht="29" customHeight="1">
      <x:c r="A11" s="16" t="str">
        <x:v>Objetivo</x:v>
      </x:c>
      <x:c r="B11" s="18" t="str">
        <x:v>Identificar el universo de módulos, formularios, interfaces y entidades elegibles y documentar su cobertura.</x:v>
      </x:c>
    </x:row>
    <x:row r="12" ht="29" customHeight="1">
      <x:c r="A12" s="16" t="str">
        <x:v>Versión</x:v>
      </x:c>
      <x:c r="B12" s="18" t="str">
        <x:v>2.0 — Revisado tras auditoría metodológica; sin ejecución ni aprobación</x:v>
      </x:c>
    </x:row>
    <x:row r="13" ht="29" customHeight="1">
      <x:c r="A13" s="16" t="str">
        <x:v>Estado</x:v>
      </x:c>
      <x:c r="B13" s="18" t="str">
        <x:v>Instrumento corregido para planificación; pendiente de decisiones, validación y aplicación</x:v>
      </x:c>
    </x:row>
    <x:row r="14" ht="29" customHeight="1">
      <x:c r="A14" s="16" t="str">
        <x:v>Fecha de actualización</x:v>
      </x:c>
      <x:c r="B14" s="18" t="str">
        <x:v>2026-10-14</x:v>
      </x:c>
    </x:row>
    <x:row r="15" ht="29" customHeight="1">
      <x:c r="A15" s="16" t="str">
        <x:v>Responsable</x:v>
      </x:c>
      <x:c r="B15" s="18" t="str">
        <x:v>Equipo de titulación ICARO; confirmación pendiente</x:v>
      </x:c>
    </x:row>
    <x:row r="16" ht="29" customHeight="1">
      <x:c r="A16" s="16" t="str">
        <x:v>Fuentes</x:v>
      </x:c>
      <x:c r="B16" s="18" t="str">
        <x:v>GitHub frontend/src, backend/prisma/schema.prisma; SRS y casos de uso; OP-08/OP-09.</x:v>
      </x:c>
    </x:row>
    <x:row r="17" ht="29" customHeight="1">
      <x:c r="A17" s="16" t="str">
        <x:v>Repositorio</x:v>
      </x:c>
      <x:c r="B17" s="18" t="str">
        <x:v>https://github.com/SebastianCM020/Sistema_Gestion_Integral_Constructora</x:v>
      </x:c>
    </x:row>
    <x:row r="18" ht="29" customHeight="1">
      <x:c r="A18" s="16" t="str">
        <x:v>Commit de referencia</x:v>
      </x:c>
      <x:c r="B18" s="18" t="str">
        <x:v>dd2984f50fe74ab0aac01c72d6d4bf13c6bfb491</x:v>
      </x:c>
    </x:row>
    <x:row r="19" ht="29" customHeight="1">
      <x:c r="A19" s="16" t="str">
        <x:v>Advertencia metodológica</x:v>
      </x:c>
      <x:c r="B19" s="18" t="str">
        <x:v>Planificación únicamente. Las celdas en blanco y los resultados ausentes NO representan cero, incumplimiento ni ejecución.</x:v>
      </x:c>
    </x:row>
    <x:row r="20" ht="29" customHeight="1">
      <x:c r="A20" s="16" t="str">
        <x:v>Leyenda | Documentado</x:v>
      </x:c>
      <x:c r="B20" s="18" t="str">
        <x:v>Azul verdoso: identificado en documentación o repositorio.</x:v>
      </x:c>
    </x:row>
    <x:row r="21" ht="29" customHeight="1">
      <x:c r="A21" s="16" t="str">
        <x:v>Leyenda | Pendiente</x:v>
      </x:c>
      <x:c r="B21" s="18" t="str">
        <x:v>Amarillo: captura o decisión sin evidencia confirmada.</x:v>
      </x:c>
    </x:row>
    <x:row r="22" ht="29" customHeight="1">
      <x:c r="A22" s="16" t="str">
        <x:v>Leyenda | Validado</x:v>
      </x:c>
      <x:c r="B22" s="18" t="str">
        <x:v>Verde: solo al incorporar evidencia revisada.</x:v>
      </x:c>
    </x:row>
    <x:row r="23" ht="29" customHeight="1">
      <x:c r="A23" s="16" t="str">
        <x:v>Leyenda | Alerta</x:v>
      </x:c>
      <x:c r="B23" s="18" t="str">
        <x:v>Rojo: inconsistencia de datos o valores incompatibles.</x:v>
      </x:c>
    </x:row>
    <x:row r="24" ht="29" customHeight="1">
      <x:c r="A24" s="16" t="str">
        <x:v>Privacidad</x:v>
      </x:c>
      <x:c r="B24" s="18" t="str">
        <x:v>No introducir identificadores personales ni credenciales reales.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3" hidden="0" customWidth="1"/>
    <x:col min="3" max="3" width="48" hidden="0" customWidth="1"/>
    <x:col min="4" max="4" width="70" hidden="0" customWidth="1"/>
    <x:col min="5" max="5" width="21" hidden="0" customWidth="1"/>
    <x:col min="6" max="6" width="37" hidden="0" customWidth="1"/>
    <x:col min="7" max="7" width="26" hidden="0" customWidth="1"/>
    <x:col min="8" max="8" width="21" hidden="0" customWidth="1"/>
    <x:col min="9" max="9" width="42" hidden="0" customWidth="1"/>
    <x:col min="10" max="10" width="46" hidden="0" customWidth="1"/>
    <x:col min="11" max="11" width="25" hidden="0" customWidth="1"/>
    <x:col min="12" max="12" width="54" hidden="0" customWidth="1"/>
  </x:cols>
  <x:sheetData>
    <x:row r="1" ht="24" customHeight="1">
      <x:c r="A1" s="21" t="str">
        <x:v>MÓDULOS | AGRUPACIONES INICIALES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 ht="21" customHeight="1">
      <x:c r="A4" s="26" t="str">
        <x:v>Agrupaciones MOD-01 a MOD-10: inventario inicial, no declaración de cobertura total.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 ht="32" customHeight="1">
      <x:c r="A5" s="29" t="str">
        <x:v>Código MOD</x:v>
      </x:c>
      <x:c r="B5" s="29" t="str">
        <x:v>Área funcional</x:v>
      </x:c>
      <x:c r="C5" s="29" t="str">
        <x:v>Descripción</x:v>
      </x:c>
      <x:c r="D5" s="29" t="str">
        <x:v>Ruta o componente GitHub</x:v>
      </x:c>
      <x:c r="E5" s="29" t="str">
        <x:v>Tipo de interfaz</x:v>
      </x:c>
      <x:c r="F5" s="29" t="str">
        <x:v>Roles autorizados</x:v>
      </x:c>
      <x:c r="G5" s="29" t="str">
        <x:v>Estado técnico</x:v>
      </x:c>
      <x:c r="H5" s="29" t="str">
        <x:v>Incluido en evaluación</x:v>
      </x:c>
      <x:c r="I5" s="29" t="str">
        <x:v>Motivo de inclusión/exclusión</x:v>
      </x:c>
      <x:c r="J5" s="29" t="str">
        <x:v>Versión o commit</x:v>
      </x:c>
      <x:c r="K5" s="29" t="str">
        <x:v>Fuente</x:v>
      </x:c>
      <x:c r="L5" s="29" t="str">
        <x:v>Observaciones</x:v>
      </x:c>
    </x:row>
    <x:row r="6" ht="27" customHeight="1">
      <x:c r="A6" s="18" t="str">
        <x:v>MOD-01</x:v>
      </x:c>
      <x:c r="B6" s="18" t="str">
        <x:v>Administración de usuarios</x:v>
      </x:c>
      <x:c r="C6" s="18" t="str">
        <x:v>Usuarios, roles y permisos</x:v>
      </x:c>
      <x:c r="D6" s="18" t="str">
        <x:v>frontend/src/views/admin/AdminUsersPermissionsView.jsx</x:v>
      </x:c>
      <x:c r="E6" s="18" t="str">
        <x:v>Web</x:v>
      </x:c>
      <x:c r="F6" s="18" t="str">
        <x:v>Administrador</x:v>
      </x:c>
      <x:c r="G6" s="18" t="str">
        <x:v>Archivos localizados</x:v>
      </x:c>
      <x:c r="H6" s="32"/>
      <x:c r="I6" s="32"/>
      <x:c r="J6" s="18" t="str">
        <x:v>dd2984f50fe74ab0aac01c72d6d4bf13c6bfb491</x:v>
      </x:c>
      <x:c r="K6" s="18" t="str">
        <x:v>GitHub main</x:v>
      </x:c>
      <x:c r="L6" s="18" t="str">
        <x:v>Inventario preliminar; no implica cobertura del total de pantallas/estados del producto.</x:v>
      </x:c>
    </x:row>
    <x:row r="7" ht="27" customHeight="1">
      <x:c r="A7" s="18" t="str">
        <x:v>MOD-02</x:v>
      </x:c>
      <x:c r="B7" s="18" t="str">
        <x:v>Proyectos y rubros</x:v>
      </x:c>
      <x:c r="C7" s="18" t="str">
        <x:v>Proyectos, rubros y catálogos</x:v>
      </x:c>
      <x:c r="D7" s="18" t="str">
        <x:v>frontend/src/views/admin/ProjectsManagementView.jsx</x:v>
      </x:c>
      <x:c r="E7" s="18" t="str">
        <x:v>Web</x:v>
      </x:c>
      <x:c r="F7" s="18" t="str">
        <x:v>Administrador</x:v>
      </x:c>
      <x:c r="G7" s="18" t="str">
        <x:v>Archivos localizados</x:v>
      </x:c>
      <x:c r="H7" s="32"/>
      <x:c r="I7" s="32"/>
      <x:c r="J7" s="18" t="str">
        <x:v>dd2984f50fe74ab0aac01c72d6d4bf13c6bfb491</x:v>
      </x:c>
      <x:c r="K7" s="18" t="str">
        <x:v>GitHub main</x:v>
      </x:c>
      <x:c r="L7" s="18"/>
    </x:row>
    <x:row r="8" ht="27" customHeight="1">
      <x:c r="A8" s="18" t="str">
        <x:v>MOD-03</x:v>
      </x:c>
      <x:c r="B8" s="18" t="str">
        <x:v>Avances de obra</x:v>
      </x:c>
      <x:c r="C8" s="18" t="str">
        <x:v>Registro de avance físico</x:v>
      </x:c>
      <x:c r="D8" s="18" t="str">
        <x:v>frontend/src/views/obra/RegistroAvanceView.jsx</x:v>
      </x:c>
      <x:c r="E8" s="18" t="str">
        <x:v>Web/Móvil</x:v>
      </x:c>
      <x:c r="F8" s="18" t="str">
        <x:v>Residente / Administrador</x:v>
      </x:c>
      <x:c r="G8" s="18" t="str">
        <x:v>Archivos localizados</x:v>
      </x:c>
      <x:c r="H8" s="32"/>
      <x:c r="I8" s="32"/>
      <x:c r="J8" s="18" t="str">
        <x:v>dd2984f50fe74ab0aac01c72d6d4bf13c6bfb491</x:v>
      </x:c>
      <x:c r="K8" s="18" t="str">
        <x:v>GitHub main</x:v>
      </x:c>
      <x:c r="L8" s="18"/>
    </x:row>
    <x:row r="9" ht="27" customHeight="1">
      <x:c r="A9" s="18" t="str">
        <x:v>MOD-04</x:v>
      </x:c>
      <x:c r="B9" s="18" t="str">
        <x:v>Evidencias y sincronización</x:v>
      </x:c>
      <x:c r="C9" s="18" t="str">
        <x:v>Evidencia fotográfica y operación offline</x:v>
      </x:c>
      <x:c r="D9" s="18" t="str">
        <x:v>frontend/src/views/obra/MobileEvidenceSyncView.jsx</x:v>
      </x:c>
      <x:c r="E9" s="18" t="str">
        <x:v>Móvil</x:v>
      </x:c>
      <x:c r="F9" s="18" t="str">
        <x:v>Residente</x:v>
      </x:c>
      <x:c r="G9" s="18" t="str">
        <x:v>Archivos localizados</x:v>
      </x:c>
      <x:c r="H9" s="32"/>
      <x:c r="I9" s="32"/>
      <x:c r="J9" s="18" t="str">
        <x:v>dd2984f50fe74ab0aac01c72d6d4bf13c6bfb491</x:v>
      </x:c>
      <x:c r="K9" s="18" t="str">
        <x:v>GitHub main</x:v>
      </x:c>
      <x:c r="L9" s="18" t="str">
        <x:v>Verificar comportamiento real offline.</x:v>
      </x:c>
    </x:row>
    <x:row r="10" ht="27" customHeight="1">
      <x:c r="A10" s="18" t="str">
        <x:v>MOD-05</x:v>
      </x:c>
      <x:c r="B10" s="18" t="str">
        <x:v>Consumo de materiales</x:v>
      </x:c>
      <x:c r="C10" s="18" t="str">
        <x:v>Consumos en proyecto de obra</x:v>
      </x:c>
      <x:c r="D10" s="18" t="str">
        <x:v>frontend/src/views/obra/MobileConsumptionView.jsx</x:v>
      </x:c>
      <x:c r="E10" s="18" t="str">
        <x:v>Móvil</x:v>
      </x:c>
      <x:c r="F10" s="18" t="str">
        <x:v>Residente / Administrador</x:v>
      </x:c>
      <x:c r="G10" s="18" t="str">
        <x:v>Archivos localizados</x:v>
      </x:c>
      <x:c r="H10" s="32"/>
      <x:c r="I10" s="32"/>
      <x:c r="J10" s="18" t="str">
        <x:v>dd2984f50fe74ab0aac01c72d6d4bf13c6bfb491</x:v>
      </x:c>
      <x:c r="K10" s="18" t="str">
        <x:v>GitHub main</x:v>
      </x:c>
      <x:c r="L10" s="18"/>
    </x:row>
    <x:row r="11" ht="27" customHeight="1">
      <x:c r="A11" s="18" t="str">
        <x:v>MOD-06</x:v>
      </x:c>
      <x:c r="B11" s="18" t="str">
        <x:v>Compras y requerimientos</x:v>
      </x:c>
      <x:c r="C11" s="18" t="str">
        <x:v>Creación, revisión y aprobación</x:v>
      </x:c>
      <x:c r="D11" s="18" t="str">
        <x:v>frontend/src/views/compras/PurchaseRequestsView.jsx</x:v>
      </x:c>
      <x:c r="E11" s="18" t="str">
        <x:v>Web</x:v>
      </x:c>
      <x:c r="F11" s="18" t="str">
        <x:v>Según reglas RBAC vigentes</x:v>
      </x:c>
      <x:c r="G11" s="18" t="str">
        <x:v>Archivos localizados</x:v>
      </x:c>
      <x:c r="H11" s="32"/>
      <x:c r="I11" s="32"/>
      <x:c r="J11" s="18" t="str">
        <x:v>dd2984f50fe74ab0aac01c72d6d4bf13c6bfb491</x:v>
      </x:c>
      <x:c r="K11" s="18" t="str">
        <x:v>GitHub main</x:v>
      </x:c>
      <x:c r="L11" s="18"/>
    </x:row>
    <x:row r="12" ht="27" customHeight="1">
      <x:c r="A12" s="18" t="str">
        <x:v>MOD-07</x:v>
      </x:c>
      <x:c r="B12" s="18" t="str">
        <x:v>Bodega e inventario</x:v>
      </x:c>
      <x:c r="C12" s="18" t="str">
        <x:v>Recepción y movimientos</x:v>
      </x:c>
      <x:c r="D12" s="18" t="str">
        <x:v>frontend/src/views/inventario/InventoryReceptionView.jsx</x:v>
      </x:c>
      <x:c r="E12" s="18" t="str">
        <x:v>Web</x:v>
      </x:c>
      <x:c r="F12" s="18" t="str">
        <x:v>Bodeguero / Administrador</x:v>
      </x:c>
      <x:c r="G12" s="18" t="str">
        <x:v>Archivos localizados</x:v>
      </x:c>
      <x:c r="H12" s="32"/>
      <x:c r="I12" s="32"/>
      <x:c r="J12" s="18" t="str">
        <x:v>dd2984f50fe74ab0aac01c72d6d4bf13c6bfb491</x:v>
      </x:c>
      <x:c r="K12" s="18" t="str">
        <x:v>GitHub main</x:v>
      </x:c>
      <x:c r="L12" s="18"/>
    </x:row>
    <x:row r="13" ht="27" customHeight="1">
      <x:c r="A13" s="18" t="str">
        <x:v>MOD-08</x:v>
      </x:c>
      <x:c r="B13" s="18" t="str">
        <x:v>Contabilidad y cierres</x:v>
      </x:c>
      <x:c r="C13" s="18" t="str">
        <x:v>Consolidación y cierre mensual</x:v>
      </x:c>
      <x:c r="D13" s="18" t="str">
        <x:v>frontend/src/views/contabilidad/ConsolidacionMensualView.jsx</x:v>
      </x:c>
      <x:c r="E13" s="18" t="str">
        <x:v>Web</x:v>
      </x:c>
      <x:c r="F13" s="18" t="str">
        <x:v>Contador / Administrador</x:v>
      </x:c>
      <x:c r="G13" s="18" t="str">
        <x:v>Archivos localizados</x:v>
      </x:c>
      <x:c r="H13" s="32"/>
      <x:c r="I13" s="32"/>
      <x:c r="J13" s="18" t="str">
        <x:v>dd2984f50fe74ab0aac01c72d6d4bf13c6bfb491</x:v>
      </x:c>
      <x:c r="K13" s="18" t="str">
        <x:v>GitHub main</x:v>
      </x:c>
      <x:c r="L13" s="18"/>
    </x:row>
    <x:row r="14" ht="27" customHeight="1">
      <x:c r="A14" s="18" t="str">
        <x:v>MOD-09</x:v>
      </x:c>
      <x:c r="B14" s="18" t="str">
        <x:v>Reportes gerenciales</x:v>
      </x:c>
      <x:c r="C14" s="18" t="str">
        <x:v>Dashboard e indicadores</x:v>
      </x:c>
      <x:c r="D14" s="18" t="str">
        <x:v>frontend/src/views/reportes/ReportsDashboardView.jsx</x:v>
      </x:c>
      <x:c r="E14" s="18" t="str">
        <x:v>Web</x:v>
      </x:c>
      <x:c r="F14" s="18" t="str">
        <x:v>Gerente / roles autorizados</x:v>
      </x:c>
      <x:c r="G14" s="18" t="str">
        <x:v>Archivos localizados</x:v>
      </x:c>
      <x:c r="H14" s="32"/>
      <x:c r="I14" s="32"/>
      <x:c r="J14" s="18" t="str">
        <x:v>dd2984f50fe74ab0aac01c72d6d4bf13c6bfb491</x:v>
      </x:c>
      <x:c r="K14" s="18" t="str">
        <x:v>GitHub main</x:v>
      </x:c>
      <x:c r="L14" s="18"/>
    </x:row>
    <x:row r="15" ht="27" customHeight="1">
      <x:c r="A15" s="18" t="str">
        <x:v>MOD-10</x:v>
      </x:c>
      <x:c r="B15" s="18" t="str">
        <x:v>Auditoría</x:v>
      </x:c>
      <x:c r="C15" s="18" t="str">
        <x:v>Consulta de trazabilidad</x:v>
      </x:c>
      <x:c r="D15" s="18" t="str">
        <x:v>frontend/src/views/auditoria/AuditTraceabilityView.jsx</x:v>
      </x:c>
      <x:c r="E15" s="18" t="str">
        <x:v>Web</x:v>
      </x:c>
      <x:c r="F15" s="18" t="str">
        <x:v>Roles autorizados</x:v>
      </x:c>
      <x:c r="G15" s="18" t="str">
        <x:v>Archivos localizados</x:v>
      </x:c>
      <x:c r="H15" s="32"/>
      <x:c r="I15" s="32"/>
      <x:c r="J15" s="18" t="str">
        <x:v>dd2984f50fe74ab0aac01c72d6d4bf13c6bfb491</x:v>
      </x:c>
      <x:c r="K15" s="18" t="str">
        <x:v>GitHub main</x:v>
      </x:c>
      <x:c r="L15" s="18" t="str">
        <x:v>Catálogo MOD-01..10 orientativo. Contrastar con navegación, rutas y casos de uso; no llamarlo censo completo.</x:v>
      </x:c>
    </x:row>
    <x:row r="16" ht="27" customHeight="1">
      <x:c r="A16" s="18"/>
      <x:c r="B16" s="18"/>
      <x:c r="C16" s="18"/>
      <x:c r="D16" s="18"/>
      <x:c r="E16" s="18"/>
      <x:c r="F16" s="18"/>
      <x:c r="G16" s="18"/>
      <x:c r="H16" s="32"/>
      <x:c r="I16" s="32"/>
      <x:c r="J16" s="18"/>
      <x:c r="K16" s="18"/>
      <x:c r="L16" s="18"/>
    </x:row>
    <x:row r="17" ht="27" customHeight="1">
      <x:c r="A17" s="18"/>
      <x:c r="B17" s="18"/>
      <x:c r="C17" s="18"/>
      <x:c r="D17" s="18"/>
      <x:c r="E17" s="18"/>
      <x:c r="F17" s="18"/>
      <x:c r="G17" s="18"/>
      <x:c r="H17" s="32"/>
      <x:c r="I17" s="32"/>
      <x:c r="J17" s="18"/>
      <x:c r="K17" s="18"/>
      <x:c r="L17" s="18"/>
    </x:row>
    <x:row r="18" ht="27" customHeight="1">
      <x:c r="A18" s="18"/>
      <x:c r="B18" s="18"/>
      <x:c r="C18" s="18"/>
      <x:c r="D18" s="18"/>
      <x:c r="E18" s="18"/>
      <x:c r="F18" s="18"/>
      <x:c r="G18" s="18"/>
      <x:c r="H18" s="32"/>
      <x:c r="I18" s="32"/>
      <x:c r="J18" s="18"/>
      <x:c r="K18" s="18"/>
      <x:c r="L18" s="18"/>
    </x:row>
    <x:row r="19" ht="27" customHeight="1">
      <x:c r="A19" s="18"/>
      <x:c r="B19" s="18"/>
      <x:c r="C19" s="18"/>
      <x:c r="D19" s="18"/>
      <x:c r="E19" s="18"/>
      <x:c r="F19" s="18"/>
      <x:c r="G19" s="18"/>
      <x:c r="H19" s="32"/>
      <x:c r="I19" s="32"/>
      <x:c r="J19" s="18"/>
      <x:c r="K19" s="18"/>
      <x:c r="L19" s="18"/>
    </x:row>
    <x:row r="20" ht="27" customHeight="1">
      <x:c r="A20" s="18"/>
      <x:c r="B20" s="18"/>
      <x:c r="C20" s="18"/>
      <x:c r="D20" s="18"/>
      <x:c r="E20" s="18"/>
      <x:c r="F20" s="18"/>
      <x:c r="G20" s="18"/>
      <x:c r="H20" s="32"/>
      <x:c r="I20" s="32"/>
      <x:c r="J20" s="18"/>
      <x:c r="K20" s="18"/>
      <x:c r="L20" s="18"/>
    </x:row>
    <x:row r="21" ht="27" customHeight="1">
      <x:c r="A21" s="18"/>
      <x:c r="B21" s="18"/>
      <x:c r="C21" s="18"/>
      <x:c r="D21" s="18"/>
      <x:c r="E21" s="18"/>
      <x:c r="F21" s="18"/>
      <x:c r="G21" s="18"/>
      <x:c r="H21" s="32"/>
      <x:c r="I21" s="32"/>
      <x:c r="J21" s="18"/>
      <x:c r="K21" s="18"/>
      <x:c r="L21" s="18"/>
    </x:row>
    <x:row r="22" ht="27" customHeight="1">
      <x:c r="A22" s="18"/>
      <x:c r="B22" s="18"/>
      <x:c r="C22" s="18"/>
      <x:c r="D22" s="18"/>
      <x:c r="E22" s="18"/>
      <x:c r="F22" s="18"/>
      <x:c r="G22" s="18"/>
      <x:c r="H22" s="32"/>
      <x:c r="I22" s="32"/>
      <x:c r="J22" s="18"/>
      <x:c r="K22" s="18"/>
      <x:c r="L22" s="18"/>
    </x:row>
    <x:row r="23" ht="27" customHeight="1">
      <x:c r="A23" s="18"/>
      <x:c r="B23" s="18"/>
      <x:c r="C23" s="18"/>
      <x:c r="D23" s="18"/>
      <x:c r="E23" s="18"/>
      <x:c r="F23" s="18"/>
      <x:c r="G23" s="18"/>
      <x:c r="H23" s="32"/>
      <x:c r="I23" s="32"/>
      <x:c r="J23" s="18"/>
      <x:c r="K23" s="18"/>
      <x:c r="L23" s="18"/>
    </x:row>
    <x:row r="24" ht="27" customHeight="1">
      <x:c r="A24" s="18"/>
      <x:c r="B24" s="18"/>
      <x:c r="C24" s="18"/>
      <x:c r="D24" s="18"/>
      <x:c r="E24" s="18"/>
      <x:c r="F24" s="18"/>
      <x:c r="G24" s="18"/>
      <x:c r="H24" s="32"/>
      <x:c r="I24" s="32"/>
      <x:c r="J24" s="18"/>
      <x:c r="K24" s="18"/>
      <x:c r="L24" s="18"/>
    </x:row>
    <x:row r="25" ht="27" customHeight="1">
      <x:c r="A25" s="18"/>
      <x:c r="B25" s="18"/>
      <x:c r="C25" s="18"/>
      <x:c r="D25" s="18"/>
      <x:c r="E25" s="18"/>
      <x:c r="F25" s="18"/>
      <x:c r="G25" s="18"/>
      <x:c r="H25" s="32"/>
      <x:c r="I25" s="32"/>
      <x:c r="J25" s="18"/>
      <x:c r="K25" s="18"/>
      <x:c r="L25" s="18"/>
    </x:row>
    <x:row r="26" ht="27" customHeight="1">
      <x:c r="A26" s="18"/>
      <x:c r="B26" s="18"/>
      <x:c r="C26" s="18"/>
      <x:c r="D26" s="18"/>
      <x:c r="E26" s="18"/>
      <x:c r="F26" s="18"/>
      <x:c r="G26" s="18"/>
      <x:c r="H26" s="32"/>
      <x:c r="I26" s="32"/>
      <x:c r="J26" s="18"/>
      <x:c r="K26" s="18"/>
      <x:c r="L26" s="18"/>
    </x:row>
    <x:row r="27" ht="27" customHeight="1">
      <x:c r="A27" s="18"/>
      <x:c r="B27" s="18"/>
      <x:c r="C27" s="18"/>
      <x:c r="D27" s="18"/>
      <x:c r="E27" s="18"/>
      <x:c r="F27" s="18"/>
      <x:c r="G27" s="18"/>
      <x:c r="H27" s="32"/>
      <x:c r="I27" s="32"/>
      <x:c r="J27" s="18"/>
      <x:c r="K27" s="18"/>
      <x:c r="L27" s="18"/>
    </x:row>
    <x:row r="28" ht="27" customHeight="1">
      <x:c r="A28" s="18"/>
      <x:c r="B28" s="18"/>
      <x:c r="C28" s="18"/>
      <x:c r="D28" s="18"/>
      <x:c r="E28" s="18"/>
      <x:c r="F28" s="18"/>
      <x:c r="G28" s="18"/>
      <x:c r="H28" s="32"/>
      <x:c r="I28" s="32"/>
      <x:c r="J28" s="18"/>
      <x:c r="K28" s="18"/>
      <x:c r="L28" s="18"/>
    </x:row>
    <x:row r="29" ht="27" customHeight="1">
      <x:c r="A29" s="18"/>
      <x:c r="B29" s="18"/>
      <x:c r="C29" s="18"/>
      <x:c r="D29" s="18"/>
      <x:c r="E29" s="18"/>
      <x:c r="F29" s="18"/>
      <x:c r="G29" s="18"/>
      <x:c r="H29" s="32"/>
      <x:c r="I29" s="32"/>
      <x:c r="J29" s="18"/>
      <x:c r="K29" s="18"/>
      <x:c r="L29" s="18"/>
    </x:row>
    <x:row r="30" ht="27" customHeight="1">
      <x:c r="A30" s="18"/>
      <x:c r="B30" s="18"/>
      <x:c r="C30" s="18"/>
      <x:c r="D30" s="18"/>
      <x:c r="E30" s="18"/>
      <x:c r="F30" s="18"/>
      <x:c r="G30" s="18"/>
      <x:c r="H30" s="32"/>
      <x:c r="I30" s="32"/>
      <x:c r="J30" s="18"/>
      <x:c r="K30" s="18"/>
      <x:c r="L30" s="18"/>
    </x:row>
    <x:row r="31" ht="27" customHeight="1">
      <x:c r="A31" s="18"/>
      <x:c r="B31" s="18"/>
      <x:c r="C31" s="18"/>
      <x:c r="D31" s="18"/>
      <x:c r="E31" s="18"/>
      <x:c r="F31" s="18"/>
      <x:c r="G31" s="18"/>
      <x:c r="H31" s="32"/>
      <x:c r="I31" s="32"/>
      <x:c r="J31" s="18"/>
      <x:c r="K31" s="18"/>
      <x:c r="L31" s="18"/>
    </x:row>
    <x:row r="32" ht="27" customHeight="1">
      <x:c r="A32" s="18"/>
      <x:c r="B32" s="18"/>
      <x:c r="C32" s="18"/>
      <x:c r="D32" s="18"/>
      <x:c r="E32" s="18"/>
      <x:c r="F32" s="18"/>
      <x:c r="G32" s="18"/>
      <x:c r="H32" s="32"/>
      <x:c r="I32" s="32"/>
      <x:c r="J32" s="18"/>
      <x:c r="K32" s="18"/>
      <x:c r="L32" s="18"/>
    </x:row>
    <x:row r="33" ht="27" customHeight="1">
      <x:c r="A33" s="18"/>
      <x:c r="B33" s="18"/>
      <x:c r="C33" s="18"/>
      <x:c r="D33" s="18"/>
      <x:c r="E33" s="18"/>
      <x:c r="F33" s="18"/>
      <x:c r="G33" s="18"/>
      <x:c r="H33" s="32"/>
      <x:c r="I33" s="32"/>
      <x:c r="J33" s="18"/>
      <x:c r="K33" s="18"/>
      <x:c r="L33" s="18"/>
    </x:row>
    <x:row r="34" ht="27" customHeight="1">
      <x:c r="A34" s="18"/>
      <x:c r="B34" s="18"/>
      <x:c r="C34" s="18"/>
      <x:c r="D34" s="18"/>
      <x:c r="E34" s="18"/>
      <x:c r="F34" s="18"/>
      <x:c r="G34" s="18"/>
      <x:c r="H34" s="32"/>
      <x:c r="I34" s="32"/>
      <x:c r="J34" s="18"/>
      <x:c r="K34" s="18"/>
      <x:c r="L34" s="18"/>
    </x:row>
    <x:row r="35" ht="27" customHeight="1">
      <x:c r="A35" s="18"/>
      <x:c r="B35" s="18"/>
      <x:c r="C35" s="18"/>
      <x:c r="D35" s="18"/>
      <x:c r="E35" s="18"/>
      <x:c r="F35" s="18"/>
      <x:c r="G35" s="18"/>
      <x:c r="H35" s="32"/>
      <x:c r="I35" s="32"/>
      <x:c r="J35" s="18"/>
      <x:c r="K35" s="18"/>
      <x:c r="L35" s="18"/>
    </x:row>
    <x:row r="36" ht="27" customHeight="1">
      <x:c r="A36" s="18"/>
      <x:c r="B36" s="18"/>
      <x:c r="C36" s="18"/>
      <x:c r="D36" s="18"/>
      <x:c r="E36" s="18"/>
      <x:c r="F36" s="18"/>
      <x:c r="G36" s="18"/>
      <x:c r="H36" s="32"/>
      <x:c r="I36" s="32"/>
      <x:c r="J36" s="18"/>
      <x:c r="K36" s="18"/>
      <x:c r="L36" s="18"/>
    </x:row>
    <x:row r="37" ht="27" customHeight="1">
      <x:c r="A37" s="18"/>
      <x:c r="B37" s="18"/>
      <x:c r="C37" s="18"/>
      <x:c r="D37" s="18"/>
      <x:c r="E37" s="18"/>
      <x:c r="F37" s="18"/>
      <x:c r="G37" s="18"/>
      <x:c r="H37" s="32"/>
      <x:c r="I37" s="32"/>
      <x:c r="J37" s="18"/>
      <x:c r="K37" s="18"/>
      <x:c r="L37" s="18"/>
    </x:row>
    <x:row r="38" ht="27" customHeight="1">
      <x:c r="A38" s="18"/>
      <x:c r="B38" s="18"/>
      <x:c r="C38" s="18"/>
      <x:c r="D38" s="18"/>
      <x:c r="E38" s="18"/>
      <x:c r="F38" s="18"/>
      <x:c r="G38" s="18"/>
      <x:c r="H38" s="32"/>
      <x:c r="I38" s="32"/>
      <x:c r="J38" s="18"/>
      <x:c r="K38" s="18"/>
      <x:c r="L38" s="18"/>
    </x:row>
    <x:row r="39" ht="27" customHeight="1">
      <x:c r="A39" s="18"/>
      <x:c r="B39" s="18"/>
      <x:c r="C39" s="18"/>
      <x:c r="D39" s="18"/>
      <x:c r="E39" s="18"/>
      <x:c r="F39" s="18"/>
      <x:c r="G39" s="18"/>
      <x:c r="H39" s="32"/>
      <x:c r="I39" s="32"/>
      <x:c r="J39" s="18"/>
      <x:c r="K39" s="18"/>
      <x:c r="L39" s="18"/>
    </x:row>
    <x:row r="40" ht="27" customHeight="1">
      <x:c r="A40" s="18"/>
      <x:c r="B40" s="18"/>
      <x:c r="C40" s="18"/>
      <x:c r="D40" s="18"/>
      <x:c r="E40" s="18"/>
      <x:c r="F40" s="18"/>
      <x:c r="G40" s="18"/>
      <x:c r="H40" s="32"/>
      <x:c r="I40" s="32"/>
      <x:c r="J40" s="18"/>
      <x:c r="K40" s="18"/>
      <x:c r="L40" s="18"/>
    </x:row>
    <x:row r="41" ht="27" customHeight="1">
      <x:c r="A41" s="18"/>
      <x:c r="B41" s="18"/>
      <x:c r="C41" s="18"/>
      <x:c r="D41" s="18"/>
      <x:c r="E41" s="18"/>
      <x:c r="F41" s="18"/>
      <x:c r="G41" s="18"/>
      <x:c r="H41" s="32"/>
      <x:c r="I41" s="32"/>
      <x:c r="J41" s="18"/>
      <x:c r="K41" s="18"/>
      <x:c r="L41" s="18"/>
    </x:row>
    <x:row r="42" ht="27" customHeight="1">
      <x:c r="A42" s="18"/>
      <x:c r="B42" s="18"/>
      <x:c r="C42" s="18"/>
      <x:c r="D42" s="18"/>
      <x:c r="E42" s="18"/>
      <x:c r="F42" s="18"/>
      <x:c r="G42" s="18"/>
      <x:c r="H42" s="32"/>
      <x:c r="I42" s="32"/>
      <x:c r="J42" s="18"/>
      <x:c r="K42" s="18"/>
      <x:c r="L42" s="18"/>
    </x:row>
    <x:row r="43" ht="27" customHeight="1">
      <x:c r="A43" s="18"/>
      <x:c r="B43" s="18"/>
      <x:c r="C43" s="18"/>
      <x:c r="D43" s="18"/>
      <x:c r="E43" s="18"/>
      <x:c r="F43" s="18"/>
      <x:c r="G43" s="18"/>
      <x:c r="H43" s="32"/>
      <x:c r="I43" s="32"/>
      <x:c r="J43" s="18"/>
      <x:c r="K43" s="18"/>
      <x:c r="L43" s="18"/>
    </x:row>
    <x:row r="44" ht="27" customHeight="1">
      <x:c r="A44" s="18"/>
      <x:c r="B44" s="18"/>
      <x:c r="C44" s="18"/>
      <x:c r="D44" s="18"/>
      <x:c r="E44" s="18"/>
      <x:c r="F44" s="18"/>
      <x:c r="G44" s="18"/>
      <x:c r="H44" s="32"/>
      <x:c r="I44" s="32"/>
      <x:c r="J44" s="18"/>
      <x:c r="K44" s="18"/>
      <x:c r="L44" s="18"/>
    </x:row>
    <x:row r="45" ht="27" customHeight="1">
      <x:c r="A45" s="18"/>
      <x:c r="B45" s="18"/>
      <x:c r="C45" s="18"/>
      <x:c r="D45" s="18"/>
      <x:c r="E45" s="18"/>
      <x:c r="F45" s="18"/>
      <x:c r="G45" s="18"/>
      <x:c r="H45" s="32"/>
      <x:c r="I45" s="32"/>
      <x:c r="J45" s="18"/>
      <x:c r="K45" s="18"/>
      <x:c r="L45" s="18"/>
    </x:row>
    <x:row r="46" ht="27" customHeight="1">
      <x:c r="A46" s="18"/>
      <x:c r="B46" s="18"/>
      <x:c r="C46" s="18"/>
      <x:c r="D46" s="18"/>
      <x:c r="E46" s="18"/>
      <x:c r="F46" s="18"/>
      <x:c r="G46" s="18"/>
      <x:c r="H46" s="32"/>
      <x:c r="I46" s="32"/>
      <x:c r="J46" s="18"/>
      <x:c r="K46" s="18"/>
      <x:c r="L46" s="18"/>
    </x:row>
    <x:row r="47" ht="27" customHeight="1">
      <x:c r="A47" s="18"/>
      <x:c r="B47" s="18"/>
      <x:c r="C47" s="18"/>
      <x:c r="D47" s="18"/>
      <x:c r="E47" s="18"/>
      <x:c r="F47" s="18"/>
      <x:c r="G47" s="18"/>
      <x:c r="H47" s="32"/>
      <x:c r="I47" s="32"/>
      <x:c r="J47" s="18"/>
      <x:c r="K47" s="18"/>
      <x:c r="L47" s="18"/>
    </x:row>
    <x:row r="48" ht="27" customHeight="1">
      <x:c r="A48" s="18"/>
      <x:c r="B48" s="18"/>
      <x:c r="C48" s="18"/>
      <x:c r="D48" s="18"/>
      <x:c r="E48" s="18"/>
      <x:c r="F48" s="18"/>
      <x:c r="G48" s="18"/>
      <x:c r="H48" s="32"/>
      <x:c r="I48" s="32"/>
      <x:c r="J48" s="18"/>
      <x:c r="K48" s="18"/>
      <x:c r="L48" s="18"/>
    </x:row>
    <x:row r="49" ht="27" customHeight="1">
      <x:c r="A49" s="18"/>
      <x:c r="B49" s="18"/>
      <x:c r="C49" s="18"/>
      <x:c r="D49" s="18"/>
      <x:c r="E49" s="18"/>
      <x:c r="F49" s="18"/>
      <x:c r="G49" s="18"/>
      <x:c r="H49" s="32"/>
      <x:c r="I49" s="32"/>
      <x:c r="J49" s="18"/>
      <x:c r="K49" s="18"/>
      <x:c r="L49" s="18"/>
    </x:row>
    <x:row r="50" ht="27" customHeight="1">
      <x:c r="A50" s="18"/>
      <x:c r="B50" s="18"/>
      <x:c r="C50" s="18"/>
      <x:c r="D50" s="18"/>
      <x:c r="E50" s="18"/>
      <x:c r="F50" s="18"/>
      <x:c r="G50" s="18"/>
      <x:c r="H50" s="32"/>
      <x:c r="I50" s="32"/>
      <x:c r="J50" s="18"/>
      <x:c r="K50" s="18"/>
      <x:c r="L50" s="18"/>
    </x:row>
    <x:row r="51" ht="27" customHeight="1">
      <x:c r="A51" s="18"/>
      <x:c r="B51" s="18"/>
      <x:c r="C51" s="18"/>
      <x:c r="D51" s="18"/>
      <x:c r="E51" s="18"/>
      <x:c r="F51" s="18"/>
      <x:c r="G51" s="18"/>
      <x:c r="H51" s="32"/>
      <x:c r="I51" s="32"/>
      <x:c r="J51" s="18"/>
      <x:c r="K51" s="18"/>
      <x:c r="L51" s="18"/>
    </x:row>
    <x:row r="52" ht="27" customHeight="1">
      <x:c r="A52" s="18"/>
      <x:c r="B52" s="18"/>
      <x:c r="C52" s="18"/>
      <x:c r="D52" s="18"/>
      <x:c r="E52" s="18"/>
      <x:c r="F52" s="18"/>
      <x:c r="G52" s="18"/>
      <x:c r="H52" s="32"/>
      <x:c r="I52" s="32"/>
      <x:c r="J52" s="18"/>
      <x:c r="K52" s="18"/>
      <x:c r="L52" s="18"/>
    </x:row>
    <x:row r="53" ht="27" customHeight="1">
      <x:c r="A53" s="18"/>
      <x:c r="B53" s="18"/>
      <x:c r="C53" s="18"/>
      <x:c r="D53" s="18"/>
      <x:c r="E53" s="18"/>
      <x:c r="F53" s="18"/>
      <x:c r="G53" s="18"/>
      <x:c r="H53" s="32"/>
      <x:c r="I53" s="32"/>
      <x:c r="J53" s="18"/>
      <x:c r="K53" s="18"/>
      <x:c r="L53" s="18"/>
    </x:row>
  </x:sheetData>
  <x:mergeCells>
    <x:mergeCell ref="A1:L2"/>
    <x:mergeCell ref="A3:L3"/>
    <x:mergeCell ref="A4:L4"/>
  </x:mergeCells>
  <x:dataValidations count="3">
    <x:dataValidation type="list" sqref="E6:E53">
      <x:formula1>"Web,Móvil,Web/Móvil,API,Transversal"</x:formula1>
    </x:dataValidation>
    <x:dataValidation type="list" sqref="G6:G53">
      <x:formula1>"Archivos localizados,Verificado funcionalmente,Por verificar,Sin implementar"</x:formula1>
    </x:dataValidation>
    <x:dataValidation type="list" sqref="H6:H53">
      <x:formula1>"Sí,No,Pendiente"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007352cff14bd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39" hidden="0" customWidth="1"/>
    <x:col min="4" max="4" width="70" hidden="0" customWidth="1"/>
    <x:col min="5" max="5" width="41" hidden="0" customWidth="1"/>
    <x:col min="6" max="6" width="30" hidden="0" customWidth="1"/>
    <x:col min="7" max="7" width="33" hidden="0" customWidth="1"/>
    <x:col min="8" max="8" width="42" hidden="0" customWidth="1"/>
    <x:col min="9" max="9" width="32" hidden="0" customWidth="1"/>
    <x:col min="10" max="10" width="39" hidden="0" customWidth="1"/>
    <x:col min="11" max="11" width="21" hidden="0" customWidth="1"/>
    <x:col min="12" max="12" width="21" hidden="0" customWidth="1"/>
    <x:col min="13" max="13" width="21" hidden="0" customWidth="1"/>
    <x:col min="14" max="14" width="52" hidden="0" customWidth="1"/>
    <x:col min="15" max="15" width="24" hidden="0" customWidth="1"/>
    <x:col min="16" max="16" width="51" hidden="0" customWidth="1"/>
    <x:col min="17" max="17" width="32" hidden="0" customWidth="1"/>
    <x:col min="18" max="18" width="32" hidden="0" customWidth="1"/>
  </x:cols>
  <x:sheetData>
    <x:row r="1" ht="24" customHeight="1">
      <x:c r="A1" s="21" t="str">
        <x:v>FORMULARIOS REALES LOCALIZADOS EN CÓDIGO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21" customHeight="1">
      <x:c r="A4" s="26" t="str">
        <x:v>Los componentes existen en el repositorio; sus validaciones y su selección evaluativa permanecen por confirmar.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</x:row>
    <x:row r="5" ht="41" customHeight="1">
      <x:c r="A5" s="29" t="str">
        <x:v>Código formulario</x:v>
      </x:c>
      <x:c r="B5" s="29" t="str">
        <x:v>Código MOD</x:v>
      </x:c>
      <x:c r="C5" s="29" t="str">
        <x:v>Nombre del formulario</x:v>
      </x:c>
      <x:c r="D5" s="29" t="str">
        <x:v>Componente o ruta</x:v>
      </x:c>
      <x:c r="E5" s="29" t="str">
        <x:v>Funcionalidad</x:v>
      </x:c>
      <x:c r="F5" s="29" t="str">
        <x:v>Perfil autorizado</x:v>
      </x:c>
      <x:c r="G5" s="29" t="str">
        <x:v>Campos obligatorios</x:v>
      </x:c>
      <x:c r="H5" s="29" t="str">
        <x:v>Validaciones previstas</x:v>
      </x:c>
      <x:c r="I5" s="29" t="str">
        <x:v>Requisitos asociados</x:v>
      </x:c>
      <x:c r="J5" s="29" t="str">
        <x:v>Criterio de conformidad</x:v>
      </x:c>
      <x:c r="K5" s="29" t="str">
        <x:v>Elemento elegible</x:v>
      </x:c>
      <x:c r="L5" s="29" t="str">
        <x:v>Incluido en evaluación</x:v>
      </x:c>
      <x:c r="M5" s="29" t="str">
        <x:v>Resultado de conformidad</x:v>
      </x:c>
      <x:c r="N5" s="29" t="str">
        <x:v>Evidencia</x:v>
      </x:c>
      <x:c r="O5" s="29" t="str">
        <x:v>Estado de evaluación con evidencia</x:v>
      </x:c>
      <x:c r="P5" s="29" t="str">
        <x:v>Observaciones</x:v>
      </x:c>
      <x:c r="Q5" s="53" t="str">
        <x:v>Rúbrica cerrada con evidencias</x:v>
      </x:c>
      <x:c r="R5" s="53" t="str">
        <x:v>Veredicto derivado de rúbrica</x:v>
      </x:c>
    </x:row>
    <x:row r="6" ht="27" customHeight="1">
      <x:c r="A6" s="18" t="str">
        <x:v>FOR-001</x:v>
      </x:c>
      <x:c r="B6" s="18" t="str">
        <x:v>MOD-01</x:v>
      </x:c>
      <x:c r="C6" s="18" t="str">
        <x:v>Formulario usuarios</x:v>
      </x:c>
      <x:c r="D6" s="18" t="str">
        <x:v>frontend/src/components/admin/UserFormModal.jsx</x:v>
      </x:c>
      <x:c r="E6" s="18" t="str">
        <x:v>Crear / editar usuarios</x:v>
      </x:c>
      <x:c r="F6" s="18" t="str">
        <x:v>Administrador</x:v>
      </x:c>
      <x:c r="G6" s="32"/>
      <x:c r="H6" s="32"/>
      <x:c r="I6" s="32"/>
      <x:c r="J6" s="32"/>
      <x:c r="K6" s="32" t="str">
        <x:v>Pendiente</x:v>
      </x:c>
      <x:c r="L6" s="32" t="str">
        <x:v>Pendiente</x:v>
      </x:c>
      <x:c r="M6" s="18" t="str">
        <x:f>IF(R6="","",R6)</x:f>
      </x:c>
      <x:c r="N6" s="32"/>
      <x:c r="O6" s="18" t="str">
        <x:v>Inventariado; sin evaluación</x:v>
      </x:c>
      <x:c r="P6" s="18" t="str">
        <x:v>Pendiente: campos, reglas, elegibilidad, prueba y evidencia. Véase rúbrica 06.</x:v>
      </x:c>
      <x:c r="Q6" t="str">
        <x:f>IF(AND(COUNTIF('06_RUBRICA_FORMULARIOS'!F5:F7,"Sí")=3,COUNTIF('06_RUBRICA_FORMULARIOS'!G5:G7,"Cumple")+COUNTIF('06_RUBRICA_FORMULARIOS'!G5:G7,"No cumple")+COUNTIF('06_RUBRICA_FORMULARIOS'!G5:G7,"No aplica")=3,COUNTIF('06_RUBRICA_FORMULARIOS'!E5:E7,"&lt;&gt;")=3,COUNTIF('06_RUBRICA_FORMULARIOS'!H5:H7,"&lt;&gt;")=3),"Sí","")</x:f>
      </x:c>
      <x:c r="R6" t="str">
        <x:f>IF(Q6&lt;&gt;"Sí","",IF(COUNTIF('06_RUBRICA_FORMULARIOS'!G5:G7,"No cumple")&gt;0,"No conforme",IF(COUNTIF('06_RUBRICA_FORMULARIOS'!G5:G7,"Cumple")&gt;0,"Conforme","")))</x:f>
      </x:c>
    </x:row>
    <x:row r="7" ht="27" customHeight="1">
      <x:c r="A7" s="18" t="str">
        <x:v>FOR-002</x:v>
      </x:c>
      <x:c r="B7" s="18" t="str">
        <x:v>MOD-02</x:v>
      </x:c>
      <x:c r="C7" s="18" t="str">
        <x:v>Formulario proyectos</x:v>
      </x:c>
      <x:c r="D7" s="18" t="str">
        <x:v>frontend/src/components/admin/ProjectFormModal.jsx</x:v>
      </x:c>
      <x:c r="E7" s="18" t="str">
        <x:v>Crear / editar proyectos</x:v>
      </x:c>
      <x:c r="F7" s="18" t="str">
        <x:v>Administrador</x:v>
      </x:c>
      <x:c r="G7" s="32"/>
      <x:c r="H7" s="32"/>
      <x:c r="I7" s="32"/>
      <x:c r="J7" s="32"/>
      <x:c r="K7" s="32" t="str">
        <x:v>Pendiente</x:v>
      </x:c>
      <x:c r="L7" s="32" t="str">
        <x:v>Pendiente</x:v>
      </x:c>
      <x:c r="M7" s="18" t="str">
        <x:f>IF(R7="","",R7)</x:f>
      </x:c>
      <x:c r="N7" s="32"/>
      <x:c r="O7" s="18" t="str">
        <x:v>Inventariado; sin evaluación</x:v>
      </x:c>
      <x:c r="P7" s="18" t="str">
        <x:v>Pendiente: campos, reglas, elegibilidad, prueba y evidencia. Véase rúbrica 06.</x:v>
      </x:c>
      <x:c r="Q7" t="str">
        <x:f>IF(AND(COUNTIF('06_RUBRICA_FORMULARIOS'!F8:F10,"Sí")=3,COUNTIF('06_RUBRICA_FORMULARIOS'!G8:G10,"Cumple")+COUNTIF('06_RUBRICA_FORMULARIOS'!G8:G10,"No cumple")+COUNTIF('06_RUBRICA_FORMULARIOS'!G8:G10,"No aplica")=3,COUNTIF('06_RUBRICA_FORMULARIOS'!E8:E10,"&lt;&gt;")=3,COUNTIF('06_RUBRICA_FORMULARIOS'!H8:H10,"&lt;&gt;")=3),"Sí","")</x:f>
      </x:c>
      <x:c r="R7" t="str">
        <x:f>IF(Q7&lt;&gt;"Sí","",IF(COUNTIF('06_RUBRICA_FORMULARIOS'!G8:G10,"No cumple")&gt;0,"No conforme",IF(COUNTIF('06_RUBRICA_FORMULARIOS'!G8:G10,"Cumple")&gt;0,"Conforme","")))</x:f>
      </x:c>
    </x:row>
    <x:row r="8" ht="27" customHeight="1">
      <x:c r="A8" s="18" t="str">
        <x:v>FOR-003</x:v>
      </x:c>
      <x:c r="B8" s="18" t="str">
        <x:v>MOD-02</x:v>
      </x:c>
      <x:c r="C8" s="18" t="str">
        <x:v>Formulario rubros</x:v>
      </x:c>
      <x:c r="D8" s="18" t="str">
        <x:v>frontend/src/components/admin/RubroFormModal.jsx</x:v>
      </x:c>
      <x:c r="E8" s="18" t="str">
        <x:v>Gestionar rubros</x:v>
      </x:c>
      <x:c r="F8" s="18" t="str">
        <x:v>Administrador</x:v>
      </x:c>
      <x:c r="G8" s="32"/>
      <x:c r="H8" s="32"/>
      <x:c r="I8" s="32"/>
      <x:c r="J8" s="32"/>
      <x:c r="K8" s="32" t="str">
        <x:v>Pendiente</x:v>
      </x:c>
      <x:c r="L8" s="32" t="str">
        <x:v>Pendiente</x:v>
      </x:c>
      <x:c r="M8" s="18" t="str">
        <x:f>IF(R8="","",R8)</x:f>
      </x:c>
      <x:c r="N8" s="32"/>
      <x:c r="O8" s="18" t="str">
        <x:v>Inventariado; sin evaluación</x:v>
      </x:c>
      <x:c r="P8" s="18" t="str">
        <x:v>Pendiente: campos, reglas, elegibilidad, prueba y evidencia. Véase rúbrica 06.</x:v>
      </x:c>
      <x:c r="Q8" t="str">
        <x:f>IF(AND(COUNTIF('06_RUBRICA_FORMULARIOS'!F11:F13,"Sí")=3,COUNTIF('06_RUBRICA_FORMULARIOS'!G11:G13,"Cumple")+COUNTIF('06_RUBRICA_FORMULARIOS'!G11:G13,"No cumple")+COUNTIF('06_RUBRICA_FORMULARIOS'!G11:G13,"No aplica")=3,COUNTIF('06_RUBRICA_FORMULARIOS'!E11:E13,"&lt;&gt;")=3,COUNTIF('06_RUBRICA_FORMULARIOS'!H11:H13,"&lt;&gt;")=3),"Sí","")</x:f>
      </x:c>
      <x:c r="R8" t="str">
        <x:f>IF(Q8&lt;&gt;"Sí","",IF(COUNTIF('06_RUBRICA_FORMULARIOS'!G11:G13,"No cumple")&gt;0,"No conforme",IF(COUNTIF('06_RUBRICA_FORMULARIOS'!G11:G13,"Cumple")&gt;0,"Conforme","")))</x:f>
      </x:c>
    </x:row>
    <x:row r="9" ht="27" customHeight="1">
      <x:c r="A9" s="18" t="str">
        <x:v>FOR-004</x:v>
      </x:c>
      <x:c r="B9" s="18" t="str">
        <x:v>MOD-02</x:v>
      </x:c>
      <x:c r="C9" s="18" t="str">
        <x:v>Formulario acceso a proyectos</x:v>
      </x:c>
      <x:c r="D9" s="18" t="str">
        <x:v>frontend/src/components/admin/ProjectAccessFormModal.jsx</x:v>
      </x:c>
      <x:c r="E9" s="18" t="str">
        <x:v>Asignar acceso por proyecto</x:v>
      </x:c>
      <x:c r="F9" s="18" t="str">
        <x:v>Administrador</x:v>
      </x:c>
      <x:c r="G9" s="32"/>
      <x:c r="H9" s="32"/>
      <x:c r="I9" s="32"/>
      <x:c r="J9" s="32"/>
      <x:c r="K9" s="32" t="str">
        <x:v>Pendiente</x:v>
      </x:c>
      <x:c r="L9" s="32" t="str">
        <x:v>Pendiente</x:v>
      </x:c>
      <x:c r="M9" s="18" t="str">
        <x:f>IF(R9="","",R9)</x:f>
      </x:c>
      <x:c r="N9" s="32"/>
      <x:c r="O9" s="18" t="str">
        <x:v>Inventariado; sin evaluación</x:v>
      </x:c>
      <x:c r="P9" s="18" t="str">
        <x:v>Pendiente: campos, reglas, elegibilidad, prueba y evidencia. Véase rúbrica 06.</x:v>
      </x:c>
      <x:c r="Q9" t="str">
        <x:f>IF(AND(COUNTIF('06_RUBRICA_FORMULARIOS'!F14:F16,"Sí")=3,COUNTIF('06_RUBRICA_FORMULARIOS'!G14:G16,"Cumple")+COUNTIF('06_RUBRICA_FORMULARIOS'!G14:G16,"No cumple")+COUNTIF('06_RUBRICA_FORMULARIOS'!G14:G16,"No aplica")=3,COUNTIF('06_RUBRICA_FORMULARIOS'!E14:E16,"&lt;&gt;")=3,COUNTIF('06_RUBRICA_FORMULARIOS'!H14:H16,"&lt;&gt;")=3),"Sí","")</x:f>
      </x:c>
      <x:c r="R9" t="str">
        <x:f>IF(Q9&lt;&gt;"Sí","",IF(COUNTIF('06_RUBRICA_FORMULARIOS'!G14:G16,"No cumple")&gt;0,"No conforme",IF(COUNTIF('06_RUBRICA_FORMULARIOS'!G14:G16,"Cumple")&gt;0,"Conforme","")))</x:f>
      </x:c>
    </x:row>
    <x:row r="10" ht="27" customHeight="1">
      <x:c r="A10" s="18" t="str">
        <x:v>FOR-005</x:v>
      </x:c>
      <x:c r="B10" s="18" t="str">
        <x:v>MOD-02</x:v>
      </x:c>
      <x:c r="C10" s="18" t="str">
        <x:v>Formulario catálogo de materiales</x:v>
      </x:c>
      <x:c r="D10" s="18" t="str">
        <x:v>frontend/src/components/admin/MaterialFormModal.jsx</x:v>
      </x:c>
      <x:c r="E10" s="18" t="str">
        <x:v>Gestionar materiales</x:v>
      </x:c>
      <x:c r="F10" s="18" t="str">
        <x:v>Administrador</x:v>
      </x:c>
      <x:c r="G10" s="32"/>
      <x:c r="H10" s="32"/>
      <x:c r="I10" s="32"/>
      <x:c r="J10" s="32"/>
      <x:c r="K10" s="32" t="str">
        <x:v>Pendiente</x:v>
      </x:c>
      <x:c r="L10" s="32" t="str">
        <x:v>Pendiente</x:v>
      </x:c>
      <x:c r="M10" s="18" t="str">
        <x:f>IF(R10="","",R10)</x:f>
      </x:c>
      <x:c r="N10" s="32"/>
      <x:c r="O10" s="18" t="str">
        <x:v>Inventariado; sin evaluación</x:v>
      </x:c>
      <x:c r="P10" s="18" t="str">
        <x:v>Pendiente: campos, reglas, elegibilidad, prueba y evidencia. Véase rúbrica 06.</x:v>
      </x:c>
      <x:c r="Q10" t="str">
        <x:f>IF(AND(COUNTIF('06_RUBRICA_FORMULARIOS'!F17:F19,"Sí")=3,COUNTIF('06_RUBRICA_FORMULARIOS'!G17:G19,"Cumple")+COUNTIF('06_RUBRICA_FORMULARIOS'!G17:G19,"No cumple")+COUNTIF('06_RUBRICA_FORMULARIOS'!G17:G19,"No aplica")=3,COUNTIF('06_RUBRICA_FORMULARIOS'!E17:E19,"&lt;&gt;")=3,COUNTIF('06_RUBRICA_FORMULARIOS'!H17:H19,"&lt;&gt;")=3),"Sí","")</x:f>
      </x:c>
      <x:c r="R10" t="str">
        <x:f>IF(Q10&lt;&gt;"Sí","",IF(COUNTIF('06_RUBRICA_FORMULARIOS'!G17:G19,"No cumple")&gt;0,"No conforme",IF(COUNTIF('06_RUBRICA_FORMULARIOS'!G17:G19,"Cumple")&gt;0,"Conforme","")))</x:f>
      </x:c>
    </x:row>
    <x:row r="11" ht="27" customHeight="1">
      <x:c r="A11" s="18" t="str">
        <x:v>FOR-006</x:v>
      </x:c>
      <x:c r="B11" s="18" t="str">
        <x:v>MOD-06</x:v>
      </x:c>
      <x:c r="C11" s="18" t="str">
        <x:v>Formulario de requerimiento</x:v>
      </x:c>
      <x:c r="D11" s="18" t="str">
        <x:v>frontend/src/components/compras/PurchaseRequestForm.jsx</x:v>
      </x:c>
      <x:c r="E11" s="18" t="str">
        <x:v>Crear requerimiento</x:v>
      </x:c>
      <x:c r="F11" s="18" t="str">
        <x:v>Rol autorizado pendiente</x:v>
      </x:c>
      <x:c r="G11" s="32"/>
      <x:c r="H11" s="32"/>
      <x:c r="I11" s="32"/>
      <x:c r="J11" s="32"/>
      <x:c r="K11" s="32" t="str">
        <x:v>Pendiente</x:v>
      </x:c>
      <x:c r="L11" s="32" t="str">
        <x:v>Pendiente</x:v>
      </x:c>
      <x:c r="M11" s="18" t="str">
        <x:f>IF(R11="","",R11)</x:f>
      </x:c>
      <x:c r="N11" s="32"/>
      <x:c r="O11" s="18" t="str">
        <x:v>Inventariado; sin evaluación</x:v>
      </x:c>
      <x:c r="P11" s="18" t="str">
        <x:v>Pendiente: campos, reglas, elegibilidad, prueba y evidencia. Véase rúbrica 06.</x:v>
      </x:c>
      <x:c r="Q11" t="str">
        <x:f>IF(AND(COUNTIF('06_RUBRICA_FORMULARIOS'!F20:F22,"Sí")=3,COUNTIF('06_RUBRICA_FORMULARIOS'!G20:G22,"Cumple")+COUNTIF('06_RUBRICA_FORMULARIOS'!G20:G22,"No cumple")+COUNTIF('06_RUBRICA_FORMULARIOS'!G20:G22,"No aplica")=3,COUNTIF('06_RUBRICA_FORMULARIOS'!E20:E22,"&lt;&gt;")=3,COUNTIF('06_RUBRICA_FORMULARIOS'!H20:H22,"&lt;&gt;")=3),"Sí","")</x:f>
      </x:c>
      <x:c r="R11" t="str">
        <x:f>IF(Q11&lt;&gt;"Sí","",IF(COUNTIF('06_RUBRICA_FORMULARIOS'!G20:G22,"No cumple")&gt;0,"No conforme",IF(COUNTIF('06_RUBRICA_FORMULARIOS'!G20:G22,"Cumple")&gt;0,"Conforme","")))</x:f>
      </x:c>
    </x:row>
    <x:row r="12" ht="27" customHeight="1">
      <x:c r="A12" s="18" t="str">
        <x:v>FOR-007</x:v>
      </x:c>
      <x:c r="B12" s="18" t="str">
        <x:v>MOD-07</x:v>
      </x:c>
      <x:c r="C12" s="18" t="str">
        <x:v>Formulario de recepción</x:v>
      </x:c>
      <x:c r="D12" s="18" t="str">
        <x:v>frontend/src/components/inventario/ReceptionForm.jsx</x:v>
      </x:c>
      <x:c r="E12" s="18" t="str">
        <x:v>Recepcionar materiales</x:v>
      </x:c>
      <x:c r="F12" s="18" t="str">
        <x:v>Bodeguero</x:v>
      </x:c>
      <x:c r="G12" s="32"/>
      <x:c r="H12" s="32"/>
      <x:c r="I12" s="32"/>
      <x:c r="J12" s="32"/>
      <x:c r="K12" s="32" t="str">
        <x:v>Pendiente</x:v>
      </x:c>
      <x:c r="L12" s="32" t="str">
        <x:v>Pendiente</x:v>
      </x:c>
      <x:c r="M12" s="18" t="str">
        <x:f>IF(R12="","",R12)</x:f>
      </x:c>
      <x:c r="N12" s="32"/>
      <x:c r="O12" s="18" t="str">
        <x:v>Inventariado; sin evaluación</x:v>
      </x:c>
      <x:c r="P12" s="18" t="str">
        <x:v>Pendiente: campos, reglas, elegibilidad, prueba y evidencia. Véase rúbrica 06.</x:v>
      </x:c>
      <x:c r="Q12" t="str">
        <x:f>IF(AND(COUNTIF('06_RUBRICA_FORMULARIOS'!F23:F25,"Sí")=3,COUNTIF('06_RUBRICA_FORMULARIOS'!G23:G25,"Cumple")+COUNTIF('06_RUBRICA_FORMULARIOS'!G23:G25,"No cumple")+COUNTIF('06_RUBRICA_FORMULARIOS'!G23:G25,"No aplica")=3,COUNTIF('06_RUBRICA_FORMULARIOS'!E23:E25,"&lt;&gt;")=3,COUNTIF('06_RUBRICA_FORMULARIOS'!H23:H25,"&lt;&gt;")=3),"Sí","")</x:f>
      </x:c>
      <x:c r="R12" t="str">
        <x:f>IF(Q12&lt;&gt;"Sí","",IF(COUNTIF('06_RUBRICA_FORMULARIOS'!G23:G25,"No cumple")&gt;0,"No conforme",IF(COUNTIF('06_RUBRICA_FORMULARIOS'!G23:G25,"Cumple")&gt;0,"Conforme","")))</x:f>
      </x:c>
    </x:row>
    <x:row r="13" ht="27" customHeight="1">
      <x:c r="A13" s="18" t="str">
        <x:v>FOR-008</x:v>
      </x:c>
      <x:c r="B13" s="18" t="str">
        <x:v>MOD-05</x:v>
      </x:c>
      <x:c r="C13" s="18" t="str">
        <x:v>Formulario de consumo</x:v>
      </x:c>
      <x:c r="D13" s="18" t="str">
        <x:v>frontend/src/components/obra/ConsumptionForm.jsx</x:v>
      </x:c>
      <x:c r="E13" s="18" t="str">
        <x:v>Registrar consumo</x:v>
      </x:c>
      <x:c r="F13" s="18" t="str">
        <x:v>Residente</x:v>
      </x:c>
      <x:c r="G13" s="32"/>
      <x:c r="H13" s="32"/>
      <x:c r="I13" s="32"/>
      <x:c r="J13" s="32"/>
      <x:c r="K13" s="32" t="str">
        <x:v>Pendiente</x:v>
      </x:c>
      <x:c r="L13" s="32" t="str">
        <x:v>Pendiente</x:v>
      </x:c>
      <x:c r="M13" s="18" t="str">
        <x:f>IF(R13="","",R13)</x:f>
      </x:c>
      <x:c r="N13" s="32"/>
      <x:c r="O13" s="18" t="str">
        <x:v>Inventariado; sin evaluación</x:v>
      </x:c>
      <x:c r="P13" s="18" t="str">
        <x:v>Pendiente: campos, reglas, elegibilidad, prueba y evidencia. Véase rúbrica 06.</x:v>
      </x:c>
      <x:c r="Q13" t="str">
        <x:f>IF(AND(COUNTIF('06_RUBRICA_FORMULARIOS'!F26:F28,"Sí")=3,COUNTIF('06_RUBRICA_FORMULARIOS'!G26:G28,"Cumple")+COUNTIF('06_RUBRICA_FORMULARIOS'!G26:G28,"No cumple")+COUNTIF('06_RUBRICA_FORMULARIOS'!G26:G28,"No aplica")=3,COUNTIF('06_RUBRICA_FORMULARIOS'!E26:E28,"&lt;&gt;")=3,COUNTIF('06_RUBRICA_FORMULARIOS'!H26:H28,"&lt;&gt;")=3),"Sí","")</x:f>
      </x:c>
      <x:c r="R13" t="str">
        <x:f>IF(Q13&lt;&gt;"Sí","",IF(COUNTIF('06_RUBRICA_FORMULARIOS'!G26:G28,"No cumple")&gt;0,"No conforme",IF(COUNTIF('06_RUBRICA_FORMULARIOS'!G26:G28,"Cumple")&gt;0,"Conforme","")))</x:f>
      </x:c>
    </x:row>
    <x:row r="14" ht="27" customHeight="1">
      <x:c r="A14" s="18" t="str">
        <x:v>FOR-009</x:v>
      </x:c>
      <x:c r="B14" s="18" t="str">
        <x:v>MOD-03</x:v>
      </x:c>
      <x:c r="C14" s="18" t="str">
        <x:v>Formulario de avance</x:v>
      </x:c>
      <x:c r="D14" s="18" t="str">
        <x:v>frontend/src/components/obra/ProgressForm.jsx</x:v>
      </x:c>
      <x:c r="E14" s="18" t="str">
        <x:v>Registrar avance</x:v>
      </x:c>
      <x:c r="F14" s="18" t="str">
        <x:v>Residente</x:v>
      </x:c>
      <x:c r="G14" s="32"/>
      <x:c r="H14" s="32"/>
      <x:c r="I14" s="32"/>
      <x:c r="J14" s="32"/>
      <x:c r="K14" s="32" t="str">
        <x:v>Pendiente</x:v>
      </x:c>
      <x:c r="L14" s="32" t="str">
        <x:v>Pendiente</x:v>
      </x:c>
      <x:c r="M14" s="18" t="str">
        <x:f>IF(R14="","",R14)</x:f>
      </x:c>
      <x:c r="N14" s="32"/>
      <x:c r="O14" s="18" t="str">
        <x:v>Inventariado; sin evaluación</x:v>
      </x:c>
      <x:c r="P14" s="18" t="str">
        <x:v>Pendiente: campos, reglas, elegibilidad, prueba y evidencia. Véase rúbrica 06.</x:v>
      </x:c>
      <x:c r="Q14" t="str">
        <x:f>IF(AND(COUNTIF('06_RUBRICA_FORMULARIOS'!F29:F31,"Sí")=3,COUNTIF('06_RUBRICA_FORMULARIOS'!G29:G31,"Cumple")+COUNTIF('06_RUBRICA_FORMULARIOS'!G29:G31,"No cumple")+COUNTIF('06_RUBRICA_FORMULARIOS'!G29:G31,"No aplica")=3,COUNTIF('06_RUBRICA_FORMULARIOS'!E29:E31,"&lt;&gt;")=3,COUNTIF('06_RUBRICA_FORMULARIOS'!H29:H31,"&lt;&gt;")=3),"Sí","")</x:f>
      </x:c>
      <x:c r="R14" t="str">
        <x:f>IF(Q14&lt;&gt;"Sí","",IF(COUNTIF('06_RUBRICA_FORMULARIOS'!G29:G31,"No cumple")&gt;0,"No conforme",IF(COUNTIF('06_RUBRICA_FORMULARIOS'!G29:G31,"Cumple")&gt;0,"Conforme","")))</x:f>
      </x:c>
    </x:row>
    <x:row r="15" ht="27" customHeight="1">
      <x:c r="A15" s="18" t="str">
        <x:v>FOR-010</x:v>
      </x:c>
      <x:c r="B15" s="18" t="str">
        <x:v>MOD-06</x:v>
      </x:c>
      <x:c r="C15" s="18" t="str">
        <x:v>Formulario línea de requerimiento</x:v>
      </x:c>
      <x:c r="D15" s="18" t="str">
        <x:v>frontend/src/components/compras/RequestLineFormModal.jsx</x:v>
      </x:c>
      <x:c r="E15" s="18" t="str">
        <x:v>Añadir detalle de compra</x:v>
      </x:c>
      <x:c r="F15" s="18" t="str">
        <x:v>Rol autorizado pendiente</x:v>
      </x:c>
      <x:c r="G15" s="32"/>
      <x:c r="H15" s="32"/>
      <x:c r="I15" s="32"/>
      <x:c r="J15" s="32"/>
      <x:c r="K15" s="32" t="str">
        <x:v>Pendiente</x:v>
      </x:c>
      <x:c r="L15" s="32" t="str">
        <x:v>Pendiente</x:v>
      </x:c>
      <x:c r="M15" s="18" t="str">
        <x:f>IF(R15="","",R15)</x:f>
      </x:c>
      <x:c r="N15" s="32"/>
      <x:c r="O15" s="18" t="str">
        <x:v>Inventariado; sin evaluación</x:v>
      </x:c>
      <x:c r="P15" s="18" t="str">
        <x:v>Pendiente: campos, reglas, elegibilidad, prueba y evidencia. Véase rúbrica 06.</x:v>
      </x:c>
      <x:c r="Q15" t="str">
        <x:f>IF(AND(COUNTIF('06_RUBRICA_FORMULARIOS'!F32:F34,"Sí")=3,COUNTIF('06_RUBRICA_FORMULARIOS'!G32:G34,"Cumple")+COUNTIF('06_RUBRICA_FORMULARIOS'!G32:G34,"No cumple")+COUNTIF('06_RUBRICA_FORMULARIOS'!G32:G34,"No aplica")=3,COUNTIF('06_RUBRICA_FORMULARIOS'!E32:E34,"&lt;&gt;")=3,COUNTIF('06_RUBRICA_FORMULARIOS'!H32:H34,"&lt;&gt;")=3),"Sí","")</x:f>
      </x:c>
      <x:c r="R15" t="str">
        <x:f>IF(Q15&lt;&gt;"Sí","",IF(COUNTIF('06_RUBRICA_FORMULARIOS'!G32:G34,"No cumple")&gt;0,"No conforme",IF(COUNTIF('06_RUBRICA_FORMULARIOS'!G32:G34,"Cumple")&gt;0,"Conforme","")))</x:f>
      </x:c>
    </x:row>
    <x:row r="16" ht="27" customHeight="1">
      <x:c r="A16" s="18"/>
      <x:c r="B16" s="18"/>
      <x:c r="C16" s="18"/>
      <x:c r="D16" s="18"/>
      <x:c r="E16" s="18"/>
      <x:c r="F16" s="18"/>
      <x:c r="G16" s="32"/>
      <x:c r="H16" s="32"/>
      <x:c r="I16" s="32"/>
      <x:c r="J16" s="32"/>
      <x:c r="K16" s="32"/>
      <x:c r="L16" s="32"/>
      <x:c r="M16" s="18"/>
      <x:c r="N16" s="32"/>
      <x:c r="O16" s="18"/>
      <x:c r="P16" s="18"/>
    </x:row>
    <x:row r="17" ht="27" customHeight="1">
      <x:c r="A17" s="18"/>
      <x:c r="B17" s="18"/>
      <x:c r="C17" s="18"/>
      <x:c r="D17" s="18"/>
      <x:c r="E17" s="18"/>
      <x:c r="F17" s="18"/>
      <x:c r="G17" s="32"/>
      <x:c r="H17" s="32"/>
      <x:c r="I17" s="32"/>
      <x:c r="J17" s="32"/>
      <x:c r="K17" s="32"/>
      <x:c r="L17" s="32"/>
      <x:c r="M17" s="18"/>
      <x:c r="N17" s="32"/>
      <x:c r="O17" s="18"/>
      <x:c r="P17" s="18"/>
    </x:row>
    <x:row r="18" ht="27" customHeight="1">
      <x:c r="A18" s="18"/>
      <x:c r="B18" s="18"/>
      <x:c r="C18" s="18"/>
      <x:c r="D18" s="18"/>
      <x:c r="E18" s="18"/>
      <x:c r="F18" s="18"/>
      <x:c r="G18" s="32"/>
      <x:c r="H18" s="32"/>
      <x:c r="I18" s="32"/>
      <x:c r="J18" s="32"/>
      <x:c r="K18" s="32"/>
      <x:c r="L18" s="32"/>
      <x:c r="M18" s="18"/>
      <x:c r="N18" s="32"/>
      <x:c r="O18" s="18"/>
      <x:c r="P18" s="18"/>
    </x:row>
    <x:row r="19" ht="27" customHeight="1">
      <x:c r="A19" s="18"/>
      <x:c r="B19" s="18"/>
      <x:c r="C19" s="18"/>
      <x:c r="D19" s="18"/>
      <x:c r="E19" s="18"/>
      <x:c r="F19" s="18"/>
      <x:c r="G19" s="32"/>
      <x:c r="H19" s="32"/>
      <x:c r="I19" s="32"/>
      <x:c r="J19" s="32"/>
      <x:c r="K19" s="32"/>
      <x:c r="L19" s="32"/>
      <x:c r="M19" s="18"/>
      <x:c r="N19" s="32"/>
      <x:c r="O19" s="18"/>
      <x:c r="P19" s="18"/>
    </x:row>
    <x:row r="20" ht="27" customHeight="1">
      <x:c r="A20" s="18"/>
      <x:c r="B20" s="18"/>
      <x:c r="C20" s="18"/>
      <x:c r="D20" s="18"/>
      <x:c r="E20" s="18"/>
      <x:c r="F20" s="18"/>
      <x:c r="G20" s="32"/>
      <x:c r="H20" s="32"/>
      <x:c r="I20" s="32"/>
      <x:c r="J20" s="32"/>
      <x:c r="K20" s="32"/>
      <x:c r="L20" s="32"/>
      <x:c r="M20" s="18"/>
      <x:c r="N20" s="32"/>
      <x:c r="O20" s="18"/>
      <x:c r="P20" s="18"/>
    </x:row>
    <x:row r="21" ht="27" customHeight="1">
      <x:c r="A21" s="18"/>
      <x:c r="B21" s="18"/>
      <x:c r="C21" s="18"/>
      <x:c r="D21" s="18"/>
      <x:c r="E21" s="18"/>
      <x:c r="F21" s="18"/>
      <x:c r="G21" s="32"/>
      <x:c r="H21" s="32"/>
      <x:c r="I21" s="32"/>
      <x:c r="J21" s="32"/>
      <x:c r="K21" s="32"/>
      <x:c r="L21" s="32"/>
      <x:c r="M21" s="18"/>
      <x:c r="N21" s="32"/>
      <x:c r="O21" s="18"/>
      <x:c r="P21" s="18"/>
    </x:row>
    <x:row r="22" ht="27" customHeight="1">
      <x:c r="A22" s="18"/>
      <x:c r="B22" s="18"/>
      <x:c r="C22" s="18"/>
      <x:c r="D22" s="18"/>
      <x:c r="E22" s="18"/>
      <x:c r="F22" s="18"/>
      <x:c r="G22" s="32"/>
      <x:c r="H22" s="32"/>
      <x:c r="I22" s="32"/>
      <x:c r="J22" s="32"/>
      <x:c r="K22" s="32"/>
      <x:c r="L22" s="32"/>
      <x:c r="M22" s="18"/>
      <x:c r="N22" s="32"/>
      <x:c r="O22" s="18"/>
      <x:c r="P22" s="18"/>
    </x:row>
    <x:row r="23" ht="27" customHeight="1">
      <x:c r="A23" s="18"/>
      <x:c r="B23" s="18"/>
      <x:c r="C23" s="18"/>
      <x:c r="D23" s="18"/>
      <x:c r="E23" s="18"/>
      <x:c r="F23" s="18"/>
      <x:c r="G23" s="32"/>
      <x:c r="H23" s="32"/>
      <x:c r="I23" s="32"/>
      <x:c r="J23" s="32"/>
      <x:c r="K23" s="32"/>
      <x:c r="L23" s="32"/>
      <x:c r="M23" s="18"/>
      <x:c r="N23" s="32"/>
      <x:c r="O23" s="18"/>
      <x:c r="P23" s="18"/>
    </x:row>
    <x:row r="24" ht="27" customHeight="1">
      <x:c r="A24" s="18"/>
      <x:c r="B24" s="18"/>
      <x:c r="C24" s="18"/>
      <x:c r="D24" s="18"/>
      <x:c r="E24" s="18"/>
      <x:c r="F24" s="18"/>
      <x:c r="G24" s="32"/>
      <x:c r="H24" s="32"/>
      <x:c r="I24" s="32"/>
      <x:c r="J24" s="32"/>
      <x:c r="K24" s="32"/>
      <x:c r="L24" s="32"/>
      <x:c r="M24" s="18"/>
      <x:c r="N24" s="32"/>
      <x:c r="O24" s="18"/>
      <x:c r="P24" s="18"/>
    </x:row>
    <x:row r="25" ht="27" customHeight="1">
      <x:c r="A25" s="18"/>
      <x:c r="B25" s="18"/>
      <x:c r="C25" s="18"/>
      <x:c r="D25" s="18"/>
      <x:c r="E25" s="18"/>
      <x:c r="F25" s="18"/>
      <x:c r="G25" s="32"/>
      <x:c r="H25" s="32"/>
      <x:c r="I25" s="32"/>
      <x:c r="J25" s="32"/>
      <x:c r="K25" s="32"/>
      <x:c r="L25" s="32"/>
      <x:c r="M25" s="18"/>
      <x:c r="N25" s="32"/>
      <x:c r="O25" s="18"/>
      <x:c r="P25" s="18"/>
    </x:row>
    <x:row r="26" ht="27" customHeight="1">
      <x:c r="A26" s="18"/>
      <x:c r="B26" s="18"/>
      <x:c r="C26" s="18"/>
      <x:c r="D26" s="18"/>
      <x:c r="E26" s="18"/>
      <x:c r="F26" s="18"/>
      <x:c r="G26" s="32"/>
      <x:c r="H26" s="32"/>
      <x:c r="I26" s="32"/>
      <x:c r="J26" s="32"/>
      <x:c r="K26" s="32"/>
      <x:c r="L26" s="32"/>
      <x:c r="M26" s="18"/>
      <x:c r="N26" s="32"/>
      <x:c r="O26" s="18"/>
      <x:c r="P26" s="18"/>
    </x:row>
    <x:row r="27" ht="27" customHeight="1">
      <x:c r="A27" s="18"/>
      <x:c r="B27" s="18"/>
      <x:c r="C27" s="18"/>
      <x:c r="D27" s="18"/>
      <x:c r="E27" s="18"/>
      <x:c r="F27" s="18"/>
      <x:c r="G27" s="32"/>
      <x:c r="H27" s="32"/>
      <x:c r="I27" s="32"/>
      <x:c r="J27" s="32"/>
      <x:c r="K27" s="32"/>
      <x:c r="L27" s="32"/>
      <x:c r="M27" s="18"/>
      <x:c r="N27" s="32"/>
      <x:c r="O27" s="18"/>
      <x:c r="P27" s="18"/>
    </x:row>
    <x:row r="28" ht="27" customHeight="1">
      <x:c r="A28" s="18"/>
      <x:c r="B28" s="18"/>
      <x:c r="C28" s="18"/>
      <x:c r="D28" s="18"/>
      <x:c r="E28" s="18"/>
      <x:c r="F28" s="18"/>
      <x:c r="G28" s="32"/>
      <x:c r="H28" s="32"/>
      <x:c r="I28" s="32"/>
      <x:c r="J28" s="32"/>
      <x:c r="K28" s="32"/>
      <x:c r="L28" s="32"/>
      <x:c r="M28" s="18"/>
      <x:c r="N28" s="32"/>
      <x:c r="O28" s="18"/>
      <x:c r="P28" s="18"/>
    </x:row>
    <x:row r="29" ht="27" customHeight="1">
      <x:c r="A29" s="18"/>
      <x:c r="B29" s="18"/>
      <x:c r="C29" s="18"/>
      <x:c r="D29" s="18"/>
      <x:c r="E29" s="18"/>
      <x:c r="F29" s="18"/>
      <x:c r="G29" s="32"/>
      <x:c r="H29" s="32"/>
      <x:c r="I29" s="32"/>
      <x:c r="J29" s="32"/>
      <x:c r="K29" s="32"/>
      <x:c r="L29" s="32"/>
      <x:c r="M29" s="18"/>
      <x:c r="N29" s="32"/>
      <x:c r="O29" s="18"/>
      <x:c r="P29" s="18"/>
    </x:row>
    <x:row r="30" ht="27" customHeight="1">
      <x:c r="A30" s="18"/>
      <x:c r="B30" s="18"/>
      <x:c r="C30" s="18"/>
      <x:c r="D30" s="18"/>
      <x:c r="E30" s="18"/>
      <x:c r="F30" s="18"/>
      <x:c r="G30" s="32"/>
      <x:c r="H30" s="32"/>
      <x:c r="I30" s="32"/>
      <x:c r="J30" s="32"/>
      <x:c r="K30" s="32"/>
      <x:c r="L30" s="32"/>
      <x:c r="M30" s="18"/>
      <x:c r="N30" s="32"/>
      <x:c r="O30" s="18"/>
      <x:c r="P30" s="18"/>
    </x:row>
    <x:row r="31" ht="27" customHeight="1">
      <x:c r="A31" s="18"/>
      <x:c r="B31" s="18"/>
      <x:c r="C31" s="18"/>
      <x:c r="D31" s="18"/>
      <x:c r="E31" s="18"/>
      <x:c r="F31" s="18"/>
      <x:c r="G31" s="32"/>
      <x:c r="H31" s="32"/>
      <x:c r="I31" s="32"/>
      <x:c r="J31" s="32"/>
      <x:c r="K31" s="32"/>
      <x:c r="L31" s="32"/>
      <x:c r="M31" s="18"/>
      <x:c r="N31" s="32"/>
      <x:c r="O31" s="18"/>
      <x:c r="P31" s="18"/>
    </x:row>
    <x:row r="32" ht="27" customHeight="1">
      <x:c r="A32" s="18"/>
      <x:c r="B32" s="18"/>
      <x:c r="C32" s="18"/>
      <x:c r="D32" s="18"/>
      <x:c r="E32" s="18"/>
      <x:c r="F32" s="18"/>
      <x:c r="G32" s="32"/>
      <x:c r="H32" s="32"/>
      <x:c r="I32" s="32"/>
      <x:c r="J32" s="32"/>
      <x:c r="K32" s="32"/>
      <x:c r="L32" s="32"/>
      <x:c r="M32" s="18"/>
      <x:c r="N32" s="32"/>
      <x:c r="O32" s="18"/>
      <x:c r="P32" s="18"/>
    </x:row>
    <x:row r="33" ht="27" customHeight="1">
      <x:c r="A33" s="18"/>
      <x:c r="B33" s="18"/>
      <x:c r="C33" s="18"/>
      <x:c r="D33" s="18"/>
      <x:c r="E33" s="18"/>
      <x:c r="F33" s="18"/>
      <x:c r="G33" s="32"/>
      <x:c r="H33" s="32"/>
      <x:c r="I33" s="32"/>
      <x:c r="J33" s="32"/>
      <x:c r="K33" s="32"/>
      <x:c r="L33" s="32"/>
      <x:c r="M33" s="18"/>
      <x:c r="N33" s="32"/>
      <x:c r="O33" s="18"/>
      <x:c r="P33" s="18"/>
    </x:row>
    <x:row r="34" ht="27" customHeight="1">
      <x:c r="A34" s="18"/>
      <x:c r="B34" s="18"/>
      <x:c r="C34" s="18"/>
      <x:c r="D34" s="18"/>
      <x:c r="E34" s="18"/>
      <x:c r="F34" s="18"/>
      <x:c r="G34" s="32"/>
      <x:c r="H34" s="32"/>
      <x:c r="I34" s="32"/>
      <x:c r="J34" s="32"/>
      <x:c r="K34" s="32"/>
      <x:c r="L34" s="32"/>
      <x:c r="M34" s="18"/>
      <x:c r="N34" s="32"/>
      <x:c r="O34" s="18"/>
      <x:c r="P34" s="18"/>
    </x:row>
    <x:row r="35" ht="27" customHeight="1">
      <x:c r="A35" s="18"/>
      <x:c r="B35" s="18"/>
      <x:c r="C35" s="18"/>
      <x:c r="D35" s="18"/>
      <x:c r="E35" s="18"/>
      <x:c r="F35" s="18"/>
      <x:c r="G35" s="32"/>
      <x:c r="H35" s="32"/>
      <x:c r="I35" s="32"/>
      <x:c r="J35" s="32"/>
      <x:c r="K35" s="32"/>
      <x:c r="L35" s="32"/>
      <x:c r="M35" s="18"/>
      <x:c r="N35" s="32"/>
      <x:c r="O35" s="18"/>
      <x:c r="P35" s="18"/>
    </x:row>
    <x:row r="36" ht="27" customHeight="1">
      <x:c r="A36" s="18"/>
      <x:c r="B36" s="18"/>
      <x:c r="C36" s="18"/>
      <x:c r="D36" s="18"/>
      <x:c r="E36" s="18"/>
      <x:c r="F36" s="18"/>
      <x:c r="G36" s="32"/>
      <x:c r="H36" s="32"/>
      <x:c r="I36" s="32"/>
      <x:c r="J36" s="32"/>
      <x:c r="K36" s="32"/>
      <x:c r="L36" s="32"/>
      <x:c r="M36" s="18"/>
      <x:c r="N36" s="32"/>
      <x:c r="O36" s="18"/>
      <x:c r="P36" s="18"/>
    </x:row>
    <x:row r="37" ht="27" customHeight="1">
      <x:c r="A37" s="18"/>
      <x:c r="B37" s="18"/>
      <x:c r="C37" s="18"/>
      <x:c r="D37" s="18"/>
      <x:c r="E37" s="18"/>
      <x:c r="F37" s="18"/>
      <x:c r="G37" s="32"/>
      <x:c r="H37" s="32"/>
      <x:c r="I37" s="32"/>
      <x:c r="J37" s="32"/>
      <x:c r="K37" s="32"/>
      <x:c r="L37" s="32"/>
      <x:c r="M37" s="18"/>
      <x:c r="N37" s="32"/>
      <x:c r="O37" s="18"/>
      <x:c r="P37" s="18"/>
    </x:row>
    <x:row r="38" ht="27" customHeight="1">
      <x:c r="A38" s="18"/>
      <x:c r="B38" s="18"/>
      <x:c r="C38" s="18"/>
      <x:c r="D38" s="18"/>
      <x:c r="E38" s="18"/>
      <x:c r="F38" s="18"/>
      <x:c r="G38" s="32"/>
      <x:c r="H38" s="32"/>
      <x:c r="I38" s="32"/>
      <x:c r="J38" s="32"/>
      <x:c r="K38" s="32"/>
      <x:c r="L38" s="32"/>
      <x:c r="M38" s="18"/>
      <x:c r="N38" s="32"/>
      <x:c r="O38" s="18"/>
      <x:c r="P38" s="18"/>
    </x:row>
    <x:row r="39" ht="27" customHeight="1">
      <x:c r="A39" s="18"/>
      <x:c r="B39" s="18"/>
      <x:c r="C39" s="18"/>
      <x:c r="D39" s="18"/>
      <x:c r="E39" s="18"/>
      <x:c r="F39" s="18"/>
      <x:c r="G39" s="32"/>
      <x:c r="H39" s="32"/>
      <x:c r="I39" s="32"/>
      <x:c r="J39" s="32"/>
      <x:c r="K39" s="32"/>
      <x:c r="L39" s="32"/>
      <x:c r="M39" s="18"/>
      <x:c r="N39" s="32"/>
      <x:c r="O39" s="18"/>
      <x:c r="P39" s="18"/>
    </x:row>
    <x:row r="40" ht="27" customHeight="1">
      <x:c r="A40" s="18"/>
      <x:c r="B40" s="18"/>
      <x:c r="C40" s="18"/>
      <x:c r="D40" s="18"/>
      <x:c r="E40" s="18"/>
      <x:c r="F40" s="18"/>
      <x:c r="G40" s="32"/>
      <x:c r="H40" s="32"/>
      <x:c r="I40" s="32"/>
      <x:c r="J40" s="32"/>
      <x:c r="K40" s="32"/>
      <x:c r="L40" s="32"/>
      <x:c r="M40" s="18"/>
      <x:c r="N40" s="32"/>
      <x:c r="O40" s="18"/>
      <x:c r="P40" s="18"/>
    </x:row>
    <x:row r="41" ht="27" customHeight="1">
      <x:c r="A41" s="18"/>
      <x:c r="B41" s="18"/>
      <x:c r="C41" s="18"/>
      <x:c r="D41" s="18"/>
      <x:c r="E41" s="18"/>
      <x:c r="F41" s="18"/>
      <x:c r="G41" s="32"/>
      <x:c r="H41" s="32"/>
      <x:c r="I41" s="32"/>
      <x:c r="J41" s="32"/>
      <x:c r="K41" s="32"/>
      <x:c r="L41" s="32"/>
      <x:c r="M41" s="18"/>
      <x:c r="N41" s="32"/>
      <x:c r="O41" s="18"/>
      <x:c r="P41" s="18"/>
    </x:row>
    <x:row r="42" ht="27" customHeight="1">
      <x:c r="A42" s="18"/>
      <x:c r="B42" s="18"/>
      <x:c r="C42" s="18"/>
      <x:c r="D42" s="18"/>
      <x:c r="E42" s="18"/>
      <x:c r="F42" s="18"/>
      <x:c r="G42" s="32"/>
      <x:c r="H42" s="32"/>
      <x:c r="I42" s="32"/>
      <x:c r="J42" s="32"/>
      <x:c r="K42" s="32"/>
      <x:c r="L42" s="32"/>
      <x:c r="M42" s="18"/>
      <x:c r="N42" s="32"/>
      <x:c r="O42" s="18"/>
      <x:c r="P42" s="18"/>
    </x:row>
    <x:row r="43" ht="27" customHeight="1">
      <x:c r="A43" s="18"/>
      <x:c r="B43" s="18"/>
      <x:c r="C43" s="18"/>
      <x:c r="D43" s="18"/>
      <x:c r="E43" s="18"/>
      <x:c r="F43" s="18"/>
      <x:c r="G43" s="32"/>
      <x:c r="H43" s="32"/>
      <x:c r="I43" s="32"/>
      <x:c r="J43" s="32"/>
      <x:c r="K43" s="32"/>
      <x:c r="L43" s="32"/>
      <x:c r="M43" s="18"/>
      <x:c r="N43" s="32"/>
      <x:c r="O43" s="18"/>
      <x:c r="P43" s="18"/>
    </x:row>
    <x:row r="44" ht="27" customHeight="1">
      <x:c r="A44" s="18"/>
      <x:c r="B44" s="18"/>
      <x:c r="C44" s="18"/>
      <x:c r="D44" s="18"/>
      <x:c r="E44" s="18"/>
      <x:c r="F44" s="18"/>
      <x:c r="G44" s="32"/>
      <x:c r="H44" s="32"/>
      <x:c r="I44" s="32"/>
      <x:c r="J44" s="32"/>
      <x:c r="K44" s="32"/>
      <x:c r="L44" s="32"/>
      <x:c r="M44" s="18"/>
      <x:c r="N44" s="32"/>
      <x:c r="O44" s="18"/>
      <x:c r="P44" s="18"/>
    </x:row>
    <x:row r="45" ht="27" customHeight="1">
      <x:c r="A45" s="18"/>
      <x:c r="B45" s="18"/>
      <x:c r="C45" s="18"/>
      <x:c r="D45" s="18"/>
      <x:c r="E45" s="18"/>
      <x:c r="F45" s="18"/>
      <x:c r="G45" s="32"/>
      <x:c r="H45" s="32"/>
      <x:c r="I45" s="32"/>
      <x:c r="J45" s="32"/>
      <x:c r="K45" s="32"/>
      <x:c r="L45" s="32"/>
      <x:c r="M45" s="18"/>
      <x:c r="N45" s="32"/>
      <x:c r="O45" s="18"/>
      <x:c r="P45" s="18"/>
    </x:row>
    <x:row r="46" ht="27" customHeight="1">
      <x:c r="A46" s="18"/>
      <x:c r="B46" s="18"/>
      <x:c r="C46" s="18"/>
      <x:c r="D46" s="18"/>
      <x:c r="E46" s="18"/>
      <x:c r="F46" s="18"/>
      <x:c r="G46" s="32"/>
      <x:c r="H46" s="32"/>
      <x:c r="I46" s="32"/>
      <x:c r="J46" s="32"/>
      <x:c r="K46" s="32"/>
      <x:c r="L46" s="32"/>
      <x:c r="M46" s="18"/>
      <x:c r="N46" s="32"/>
      <x:c r="O46" s="18"/>
      <x:c r="P46" s="18"/>
    </x:row>
    <x:row r="47" ht="27" customHeight="1">
      <x:c r="A47" s="18"/>
      <x:c r="B47" s="18"/>
      <x:c r="C47" s="18"/>
      <x:c r="D47" s="18"/>
      <x:c r="E47" s="18"/>
      <x:c r="F47" s="18"/>
      <x:c r="G47" s="32"/>
      <x:c r="H47" s="32"/>
      <x:c r="I47" s="32"/>
      <x:c r="J47" s="32"/>
      <x:c r="K47" s="32"/>
      <x:c r="L47" s="32"/>
      <x:c r="M47" s="18"/>
      <x:c r="N47" s="32"/>
      <x:c r="O47" s="18"/>
      <x:c r="P47" s="18"/>
    </x:row>
    <x:row r="48" ht="27" customHeight="1">
      <x:c r="A48" s="18"/>
      <x:c r="B48" s="18"/>
      <x:c r="C48" s="18"/>
      <x:c r="D48" s="18"/>
      <x:c r="E48" s="18"/>
      <x:c r="F48" s="18"/>
      <x:c r="G48" s="32"/>
      <x:c r="H48" s="32"/>
      <x:c r="I48" s="32"/>
      <x:c r="J48" s="32"/>
      <x:c r="K48" s="32"/>
      <x:c r="L48" s="32"/>
      <x:c r="M48" s="18"/>
      <x:c r="N48" s="32"/>
      <x:c r="O48" s="18"/>
      <x:c r="P48" s="18"/>
    </x:row>
    <x:row r="49" ht="27" customHeight="1">
      <x:c r="A49" s="18"/>
      <x:c r="B49" s="18"/>
      <x:c r="C49" s="18"/>
      <x:c r="D49" s="18"/>
      <x:c r="E49" s="18"/>
      <x:c r="F49" s="18"/>
      <x:c r="G49" s="32"/>
      <x:c r="H49" s="32"/>
      <x:c r="I49" s="32"/>
      <x:c r="J49" s="32"/>
      <x:c r="K49" s="32"/>
      <x:c r="L49" s="32"/>
      <x:c r="M49" s="18"/>
      <x:c r="N49" s="32"/>
      <x:c r="O49" s="18"/>
      <x:c r="P49" s="18"/>
    </x:row>
    <x:row r="50" ht="27" customHeight="1">
      <x:c r="A50" s="18"/>
      <x:c r="B50" s="18"/>
      <x:c r="C50" s="18"/>
      <x:c r="D50" s="18"/>
      <x:c r="E50" s="18"/>
      <x:c r="F50" s="18"/>
      <x:c r="G50" s="32"/>
      <x:c r="H50" s="32"/>
      <x:c r="I50" s="32"/>
      <x:c r="J50" s="32"/>
      <x:c r="K50" s="32"/>
      <x:c r="L50" s="32"/>
      <x:c r="M50" s="18"/>
      <x:c r="N50" s="32"/>
      <x:c r="O50" s="18"/>
      <x:c r="P50" s="18"/>
    </x:row>
    <x:row r="51" ht="27" customHeight="1">
      <x:c r="A51" s="18"/>
      <x:c r="B51" s="18"/>
      <x:c r="C51" s="18"/>
      <x:c r="D51" s="18"/>
      <x:c r="E51" s="18"/>
      <x:c r="F51" s="18"/>
      <x:c r="G51" s="32"/>
      <x:c r="H51" s="32"/>
      <x:c r="I51" s="32"/>
      <x:c r="J51" s="32"/>
      <x:c r="K51" s="32"/>
      <x:c r="L51" s="32"/>
      <x:c r="M51" s="18"/>
      <x:c r="N51" s="32"/>
      <x:c r="O51" s="18"/>
      <x:c r="P51" s="18"/>
    </x:row>
    <x:row r="52" ht="27" customHeight="1">
      <x:c r="A52" s="18"/>
      <x:c r="B52" s="18"/>
      <x:c r="C52" s="18"/>
      <x:c r="D52" s="18"/>
      <x:c r="E52" s="18"/>
      <x:c r="F52" s="18"/>
      <x:c r="G52" s="32"/>
      <x:c r="H52" s="32"/>
      <x:c r="I52" s="32"/>
      <x:c r="J52" s="32"/>
      <x:c r="K52" s="32"/>
      <x:c r="L52" s="32"/>
      <x:c r="M52" s="18"/>
      <x:c r="N52" s="32"/>
      <x:c r="O52" s="18"/>
      <x:c r="P52" s="18"/>
    </x:row>
    <x:row r="53" ht="27" customHeight="1">
      <x:c r="A53" s="18"/>
      <x:c r="B53" s="18"/>
      <x:c r="C53" s="18"/>
      <x:c r="D53" s="18"/>
      <x:c r="E53" s="18"/>
      <x:c r="F53" s="18"/>
      <x:c r="G53" s="32"/>
      <x:c r="H53" s="32"/>
      <x:c r="I53" s="32"/>
      <x:c r="J53" s="32"/>
      <x:c r="K53" s="32"/>
      <x:c r="L53" s="32"/>
      <x:c r="M53" s="18"/>
      <x:c r="N53" s="32"/>
      <x:c r="O53" s="18"/>
      <x:c r="P53" s="18"/>
    </x:row>
    <x:row r="54" ht="27" customHeight="1">
      <x:c r="A54" s="18"/>
      <x:c r="B54" s="18"/>
      <x:c r="C54" s="18"/>
      <x:c r="D54" s="18"/>
      <x:c r="E54" s="18"/>
      <x:c r="F54" s="18"/>
      <x:c r="G54" s="32"/>
      <x:c r="H54" s="32"/>
      <x:c r="I54" s="32"/>
      <x:c r="J54" s="32"/>
      <x:c r="K54" s="32"/>
      <x:c r="L54" s="32"/>
      <x:c r="M54" s="18"/>
      <x:c r="N54" s="32"/>
      <x:c r="O54" s="18"/>
      <x:c r="P54" s="18"/>
    </x:row>
    <x:row r="55" ht="27" customHeight="1">
      <x:c r="A55" s="18"/>
      <x:c r="B55" s="18"/>
      <x:c r="C55" s="18"/>
      <x:c r="D55" s="18"/>
      <x:c r="E55" s="18"/>
      <x:c r="F55" s="18"/>
      <x:c r="G55" s="32"/>
      <x:c r="H55" s="32"/>
      <x:c r="I55" s="32"/>
      <x:c r="J55" s="32"/>
      <x:c r="K55" s="32"/>
      <x:c r="L55" s="32"/>
      <x:c r="M55" s="18"/>
      <x:c r="N55" s="32"/>
      <x:c r="O55" s="18"/>
      <x:c r="P55" s="18"/>
    </x:row>
    <x:row r="56" ht="27" customHeight="1">
      <x:c r="A56" s="18"/>
      <x:c r="B56" s="18"/>
      <x:c r="C56" s="18"/>
      <x:c r="D56" s="18"/>
      <x:c r="E56" s="18"/>
      <x:c r="F56" s="18"/>
      <x:c r="G56" s="32"/>
      <x:c r="H56" s="32"/>
      <x:c r="I56" s="32"/>
      <x:c r="J56" s="32"/>
      <x:c r="K56" s="32"/>
      <x:c r="L56" s="32"/>
      <x:c r="M56" s="18"/>
      <x:c r="N56" s="32"/>
      <x:c r="O56" s="18"/>
      <x:c r="P56" s="18"/>
    </x:row>
    <x:row r="57" ht="27" customHeight="1">
      <x:c r="A57" s="18"/>
      <x:c r="B57" s="18"/>
      <x:c r="C57" s="18"/>
      <x:c r="D57" s="18"/>
      <x:c r="E57" s="18"/>
      <x:c r="F57" s="18"/>
      <x:c r="G57" s="32"/>
      <x:c r="H57" s="32"/>
      <x:c r="I57" s="32"/>
      <x:c r="J57" s="32"/>
      <x:c r="K57" s="32"/>
      <x:c r="L57" s="32"/>
      <x:c r="M57" s="18"/>
      <x:c r="N57" s="32"/>
      <x:c r="O57" s="18"/>
      <x:c r="P57" s="18"/>
    </x:row>
    <x:row r="58" ht="27" customHeight="1">
      <x:c r="A58" s="18"/>
      <x:c r="B58" s="18"/>
      <x:c r="C58" s="18"/>
      <x:c r="D58" s="18"/>
      <x:c r="E58" s="18"/>
      <x:c r="F58" s="18"/>
      <x:c r="G58" s="32"/>
      <x:c r="H58" s="32"/>
      <x:c r="I58" s="32"/>
      <x:c r="J58" s="32"/>
      <x:c r="K58" s="32"/>
      <x:c r="L58" s="32"/>
      <x:c r="M58" s="18"/>
      <x:c r="N58" s="32"/>
      <x:c r="O58" s="18"/>
      <x:c r="P58" s="18"/>
    </x:row>
    <x:row r="59" ht="27" customHeight="1">
      <x:c r="A59" s="18"/>
      <x:c r="B59" s="18"/>
      <x:c r="C59" s="18"/>
      <x:c r="D59" s="18"/>
      <x:c r="E59" s="18"/>
      <x:c r="F59" s="18"/>
      <x:c r="G59" s="32"/>
      <x:c r="H59" s="32"/>
      <x:c r="I59" s="32"/>
      <x:c r="J59" s="32"/>
      <x:c r="K59" s="32"/>
      <x:c r="L59" s="32"/>
      <x:c r="M59" s="18"/>
      <x:c r="N59" s="32"/>
      <x:c r="O59" s="18"/>
      <x:c r="P59" s="18"/>
    </x:row>
    <x:row r="60" ht="27" customHeight="1">
      <x:c r="A60" s="18"/>
      <x:c r="B60" s="18"/>
      <x:c r="C60" s="18"/>
      <x:c r="D60" s="18"/>
      <x:c r="E60" s="18"/>
      <x:c r="F60" s="18"/>
      <x:c r="G60" s="32"/>
      <x:c r="H60" s="32"/>
      <x:c r="I60" s="32"/>
      <x:c r="J60" s="32"/>
      <x:c r="K60" s="32"/>
      <x:c r="L60" s="32"/>
      <x:c r="M60" s="18"/>
      <x:c r="N60" s="32"/>
      <x:c r="O60" s="18"/>
      <x:c r="P60" s="18"/>
    </x:row>
    <x:row r="61" ht="27" customHeight="1">
      <x:c r="A61" s="18"/>
      <x:c r="B61" s="18"/>
      <x:c r="C61" s="18"/>
      <x:c r="D61" s="18"/>
      <x:c r="E61" s="18"/>
      <x:c r="F61" s="18"/>
      <x:c r="G61" s="32"/>
      <x:c r="H61" s="32"/>
      <x:c r="I61" s="32"/>
      <x:c r="J61" s="32"/>
      <x:c r="K61" s="32"/>
      <x:c r="L61" s="32"/>
      <x:c r="M61" s="18"/>
      <x:c r="N61" s="32"/>
      <x:c r="O61" s="18"/>
      <x:c r="P61" s="18"/>
    </x:row>
    <x:row r="62" ht="27" customHeight="1">
      <x:c r="A62" s="18"/>
      <x:c r="B62" s="18"/>
      <x:c r="C62" s="18"/>
      <x:c r="D62" s="18"/>
      <x:c r="E62" s="18"/>
      <x:c r="F62" s="18"/>
      <x:c r="G62" s="32"/>
      <x:c r="H62" s="32"/>
      <x:c r="I62" s="32"/>
      <x:c r="J62" s="32"/>
      <x:c r="K62" s="32"/>
      <x:c r="L62" s="32"/>
      <x:c r="M62" s="18"/>
      <x:c r="N62" s="32"/>
      <x:c r="O62" s="18"/>
      <x:c r="P62" s="18"/>
    </x:row>
    <x:row r="63" ht="27" customHeight="1">
      <x:c r="A63" s="18"/>
      <x:c r="B63" s="18"/>
      <x:c r="C63" s="18"/>
      <x:c r="D63" s="18"/>
      <x:c r="E63" s="18"/>
      <x:c r="F63" s="18"/>
      <x:c r="G63" s="32"/>
      <x:c r="H63" s="32"/>
      <x:c r="I63" s="32"/>
      <x:c r="J63" s="32"/>
      <x:c r="K63" s="32"/>
      <x:c r="L63" s="32"/>
      <x:c r="M63" s="18"/>
      <x:c r="N63" s="32"/>
      <x:c r="O63" s="18"/>
      <x:c r="P63" s="18"/>
    </x:row>
    <x:row r="64" ht="27" customHeight="1">
      <x:c r="A64" s="18"/>
      <x:c r="B64" s="18"/>
      <x:c r="C64" s="18"/>
      <x:c r="D64" s="18"/>
      <x:c r="E64" s="18"/>
      <x:c r="F64" s="18"/>
      <x:c r="G64" s="32"/>
      <x:c r="H64" s="32"/>
      <x:c r="I64" s="32"/>
      <x:c r="J64" s="32"/>
      <x:c r="K64" s="32"/>
      <x:c r="L64" s="32"/>
      <x:c r="M64" s="18"/>
      <x:c r="N64" s="32"/>
      <x:c r="O64" s="18"/>
      <x:c r="P64" s="18"/>
    </x:row>
    <x:row r="65" ht="27" customHeight="1">
      <x:c r="A65" s="18"/>
      <x:c r="B65" s="18"/>
      <x:c r="C65" s="18"/>
      <x:c r="D65" s="18"/>
      <x:c r="E65" s="18"/>
      <x:c r="F65" s="18"/>
      <x:c r="G65" s="32"/>
      <x:c r="H65" s="32"/>
      <x:c r="I65" s="32"/>
      <x:c r="J65" s="32"/>
      <x:c r="K65" s="32"/>
      <x:c r="L65" s="32"/>
      <x:c r="M65" s="18"/>
      <x:c r="N65" s="32"/>
      <x:c r="O65" s="18"/>
      <x:c r="P65" s="18"/>
    </x:row>
    <x:row r="66" ht="27" customHeight="1">
      <x:c r="A66" s="18"/>
      <x:c r="B66" s="18"/>
      <x:c r="C66" s="18"/>
      <x:c r="D66" s="18"/>
      <x:c r="E66" s="18"/>
      <x:c r="F66" s="18"/>
      <x:c r="G66" s="32"/>
      <x:c r="H66" s="32"/>
      <x:c r="I66" s="32"/>
      <x:c r="J66" s="32"/>
      <x:c r="K66" s="32"/>
      <x:c r="L66" s="32"/>
      <x:c r="M66" s="18"/>
      <x:c r="N66" s="32"/>
      <x:c r="O66" s="18"/>
      <x:c r="P66" s="18"/>
    </x:row>
    <x:row r="67" ht="27" customHeight="1">
      <x:c r="A67" s="18"/>
      <x:c r="B67" s="18"/>
      <x:c r="C67" s="18"/>
      <x:c r="D67" s="18"/>
      <x:c r="E67" s="18"/>
      <x:c r="F67" s="18"/>
      <x:c r="G67" s="32"/>
      <x:c r="H67" s="32"/>
      <x:c r="I67" s="32"/>
      <x:c r="J67" s="32"/>
      <x:c r="K67" s="32"/>
      <x:c r="L67" s="32"/>
      <x:c r="M67" s="18"/>
      <x:c r="N67" s="32"/>
      <x:c r="O67" s="18"/>
      <x:c r="P67" s="18"/>
    </x:row>
    <x:row r="68" ht="27" customHeight="1">
      <x:c r="A68" s="18"/>
      <x:c r="B68" s="18"/>
      <x:c r="C68" s="18"/>
      <x:c r="D68" s="18"/>
      <x:c r="E68" s="18"/>
      <x:c r="F68" s="18"/>
      <x:c r="G68" s="32"/>
      <x:c r="H68" s="32"/>
      <x:c r="I68" s="32"/>
      <x:c r="J68" s="32"/>
      <x:c r="K68" s="32"/>
      <x:c r="L68" s="32"/>
      <x:c r="M68" s="18"/>
      <x:c r="N68" s="32"/>
      <x:c r="O68" s="18"/>
      <x:c r="P68" s="18"/>
    </x:row>
    <x:row r="69" ht="27" customHeight="1">
      <x:c r="A69" s="18"/>
      <x:c r="B69" s="18"/>
      <x:c r="C69" s="18"/>
      <x:c r="D69" s="18"/>
      <x:c r="E69" s="18"/>
      <x:c r="F69" s="18"/>
      <x:c r="G69" s="32"/>
      <x:c r="H69" s="32"/>
      <x:c r="I69" s="32"/>
      <x:c r="J69" s="32"/>
      <x:c r="K69" s="32"/>
      <x:c r="L69" s="32"/>
      <x:c r="M69" s="18"/>
      <x:c r="N69" s="32"/>
      <x:c r="O69" s="18"/>
      <x:c r="P69" s="18"/>
    </x:row>
    <x:row r="70" ht="27" customHeight="1">
      <x:c r="A70" s="18"/>
      <x:c r="B70" s="18"/>
      <x:c r="C70" s="18"/>
      <x:c r="D70" s="18"/>
      <x:c r="E70" s="18"/>
      <x:c r="F70" s="18"/>
      <x:c r="G70" s="32"/>
      <x:c r="H70" s="32"/>
      <x:c r="I70" s="32"/>
      <x:c r="J70" s="32"/>
      <x:c r="K70" s="32"/>
      <x:c r="L70" s="32"/>
      <x:c r="M70" s="18"/>
      <x:c r="N70" s="32"/>
      <x:c r="O70" s="18"/>
      <x:c r="P70" s="18"/>
    </x:row>
    <x:row r="71" ht="27" customHeight="1">
      <x:c r="A71" s="18"/>
      <x:c r="B71" s="18"/>
      <x:c r="C71" s="18"/>
      <x:c r="D71" s="18"/>
      <x:c r="E71" s="18"/>
      <x:c r="F71" s="18"/>
      <x:c r="G71" s="32"/>
      <x:c r="H71" s="32"/>
      <x:c r="I71" s="32"/>
      <x:c r="J71" s="32"/>
      <x:c r="K71" s="32"/>
      <x:c r="L71" s="32"/>
      <x:c r="M71" s="18"/>
      <x:c r="N71" s="32"/>
      <x:c r="O71" s="18"/>
      <x:c r="P71" s="18"/>
    </x:row>
    <x:row r="72" ht="27" customHeight="1">
      <x:c r="A72" s="18"/>
      <x:c r="B72" s="18"/>
      <x:c r="C72" s="18"/>
      <x:c r="D72" s="18"/>
      <x:c r="E72" s="18"/>
      <x:c r="F72" s="18"/>
      <x:c r="G72" s="32"/>
      <x:c r="H72" s="32"/>
      <x:c r="I72" s="32"/>
      <x:c r="J72" s="32"/>
      <x:c r="K72" s="32"/>
      <x:c r="L72" s="32"/>
      <x:c r="M72" s="18"/>
      <x:c r="N72" s="32"/>
      <x:c r="O72" s="18"/>
      <x:c r="P72" s="18"/>
    </x:row>
    <x:row r="73" ht="27" customHeight="1">
      <x:c r="A73" s="18"/>
      <x:c r="B73" s="18"/>
      <x:c r="C73" s="18"/>
      <x:c r="D73" s="18"/>
      <x:c r="E73" s="18"/>
      <x:c r="F73" s="18"/>
      <x:c r="G73" s="32"/>
      <x:c r="H73" s="32"/>
      <x:c r="I73" s="32"/>
      <x:c r="J73" s="32"/>
      <x:c r="K73" s="32"/>
      <x:c r="L73" s="32"/>
      <x:c r="M73" s="18"/>
      <x:c r="N73" s="32"/>
      <x:c r="O73" s="18"/>
      <x:c r="P73" s="18"/>
    </x:row>
    <x:row r="74" ht="27" customHeight="1">
      <x:c r="A74" s="18"/>
      <x:c r="B74" s="18"/>
      <x:c r="C74" s="18"/>
      <x:c r="D74" s="18"/>
      <x:c r="E74" s="18"/>
      <x:c r="F74" s="18"/>
      <x:c r="G74" s="32"/>
      <x:c r="H74" s="32"/>
      <x:c r="I74" s="32"/>
      <x:c r="J74" s="32"/>
      <x:c r="K74" s="32"/>
      <x:c r="L74" s="32"/>
      <x:c r="M74" s="18"/>
      <x:c r="N74" s="32"/>
      <x:c r="O74" s="18"/>
      <x:c r="P74" s="18"/>
    </x:row>
    <x:row r="75" ht="27" customHeight="1">
      <x:c r="A75" s="18"/>
      <x:c r="B75" s="18"/>
      <x:c r="C75" s="18"/>
      <x:c r="D75" s="18"/>
      <x:c r="E75" s="18"/>
      <x:c r="F75" s="18"/>
      <x:c r="G75" s="32"/>
      <x:c r="H75" s="32"/>
      <x:c r="I75" s="32"/>
      <x:c r="J75" s="32"/>
      <x:c r="K75" s="32"/>
      <x:c r="L75" s="32"/>
      <x:c r="M75" s="18"/>
      <x:c r="N75" s="32"/>
      <x:c r="O75" s="18"/>
      <x:c r="P75" s="18"/>
    </x:row>
    <x:row r="76" ht="27" customHeight="1">
      <x:c r="A76" s="18"/>
      <x:c r="B76" s="18"/>
      <x:c r="C76" s="18"/>
      <x:c r="D76" s="18"/>
      <x:c r="E76" s="18"/>
      <x:c r="F76" s="18"/>
      <x:c r="G76" s="32"/>
      <x:c r="H76" s="32"/>
      <x:c r="I76" s="32"/>
      <x:c r="J76" s="32"/>
      <x:c r="K76" s="32"/>
      <x:c r="L76" s="32"/>
      <x:c r="M76" s="18"/>
      <x:c r="N76" s="32"/>
      <x:c r="O76" s="18"/>
      <x:c r="P76" s="18"/>
    </x:row>
    <x:row r="77" ht="27" customHeight="1">
      <x:c r="A77" s="18"/>
      <x:c r="B77" s="18"/>
      <x:c r="C77" s="18"/>
      <x:c r="D77" s="18"/>
      <x:c r="E77" s="18"/>
      <x:c r="F77" s="18"/>
      <x:c r="G77" s="32"/>
      <x:c r="H77" s="32"/>
      <x:c r="I77" s="32"/>
      <x:c r="J77" s="32"/>
      <x:c r="K77" s="32"/>
      <x:c r="L77" s="32"/>
      <x:c r="M77" s="18"/>
      <x:c r="N77" s="32"/>
      <x:c r="O77" s="18"/>
      <x:c r="P77" s="18"/>
    </x:row>
    <x:row r="78" ht="27" customHeight="1">
      <x:c r="A78" s="18"/>
      <x:c r="B78" s="18"/>
      <x:c r="C78" s="18"/>
      <x:c r="D78" s="18"/>
      <x:c r="E78" s="18"/>
      <x:c r="F78" s="18"/>
      <x:c r="G78" s="32"/>
      <x:c r="H78" s="32"/>
      <x:c r="I78" s="32"/>
      <x:c r="J78" s="32"/>
      <x:c r="K78" s="32"/>
      <x:c r="L78" s="32"/>
      <x:c r="M78" s="18"/>
      <x:c r="N78" s="32"/>
      <x:c r="O78" s="18"/>
      <x:c r="P78" s="18"/>
    </x:row>
    <x:row r="79" ht="27" customHeight="1">
      <x:c r="A79" s="18"/>
      <x:c r="B79" s="18"/>
      <x:c r="C79" s="18"/>
      <x:c r="D79" s="18"/>
      <x:c r="E79" s="18"/>
      <x:c r="F79" s="18"/>
      <x:c r="G79" s="32"/>
      <x:c r="H79" s="32"/>
      <x:c r="I79" s="32"/>
      <x:c r="J79" s="32"/>
      <x:c r="K79" s="32"/>
      <x:c r="L79" s="32"/>
      <x:c r="M79" s="18"/>
      <x:c r="N79" s="32"/>
      <x:c r="O79" s="18"/>
      <x:c r="P79" s="18"/>
    </x:row>
    <x:row r="80" ht="27" customHeight="1">
      <x:c r="A80" s="18"/>
      <x:c r="B80" s="18"/>
      <x:c r="C80" s="18"/>
      <x:c r="D80" s="18"/>
      <x:c r="E80" s="18"/>
      <x:c r="F80" s="18"/>
      <x:c r="G80" s="32"/>
      <x:c r="H80" s="32"/>
      <x:c r="I80" s="32"/>
      <x:c r="J80" s="32"/>
      <x:c r="K80" s="32"/>
      <x:c r="L80" s="32"/>
      <x:c r="M80" s="18"/>
      <x:c r="N80" s="32"/>
      <x:c r="O80" s="18"/>
      <x:c r="P80" s="18"/>
    </x:row>
    <x:row r="81" ht="27" customHeight="1">
      <x:c r="A81" s="18"/>
      <x:c r="B81" s="18"/>
      <x:c r="C81" s="18"/>
      <x:c r="D81" s="18"/>
      <x:c r="E81" s="18"/>
      <x:c r="F81" s="18"/>
      <x:c r="G81" s="32"/>
      <x:c r="H81" s="32"/>
      <x:c r="I81" s="32"/>
      <x:c r="J81" s="32"/>
      <x:c r="K81" s="32"/>
      <x:c r="L81" s="32"/>
      <x:c r="M81" s="18"/>
      <x:c r="N81" s="32"/>
      <x:c r="O81" s="18"/>
      <x:c r="P81" s="18"/>
    </x:row>
    <x:row r="82" ht="27" customHeight="1">
      <x:c r="A82" s="18"/>
      <x:c r="B82" s="18"/>
      <x:c r="C82" s="18"/>
      <x:c r="D82" s="18"/>
      <x:c r="E82" s="18"/>
      <x:c r="F82" s="18"/>
      <x:c r="G82" s="32"/>
      <x:c r="H82" s="32"/>
      <x:c r="I82" s="32"/>
      <x:c r="J82" s="32"/>
      <x:c r="K82" s="32"/>
      <x:c r="L82" s="32"/>
      <x:c r="M82" s="18"/>
      <x:c r="N82" s="32"/>
      <x:c r="O82" s="18"/>
      <x:c r="P82" s="18"/>
    </x:row>
    <x:row r="83" ht="27" customHeight="1">
      <x:c r="A83" s="18"/>
      <x:c r="B83" s="18"/>
      <x:c r="C83" s="18"/>
      <x:c r="D83" s="18"/>
      <x:c r="E83" s="18"/>
      <x:c r="F83" s="18"/>
      <x:c r="G83" s="32"/>
      <x:c r="H83" s="32"/>
      <x:c r="I83" s="32"/>
      <x:c r="J83" s="32"/>
      <x:c r="K83" s="32"/>
      <x:c r="L83" s="32"/>
      <x:c r="M83" s="18"/>
      <x:c r="N83" s="32"/>
      <x:c r="O83" s="18"/>
      <x:c r="P83" s="18"/>
    </x:row>
    <x:row r="84" ht="27" customHeight="1">
      <x:c r="A84" s="18"/>
      <x:c r="B84" s="18"/>
      <x:c r="C84" s="18"/>
      <x:c r="D84" s="18"/>
      <x:c r="E84" s="18"/>
      <x:c r="F84" s="18"/>
      <x:c r="G84" s="32"/>
      <x:c r="H84" s="32"/>
      <x:c r="I84" s="32"/>
      <x:c r="J84" s="32"/>
      <x:c r="K84" s="32"/>
      <x:c r="L84" s="32"/>
      <x:c r="M84" s="18"/>
      <x:c r="N84" s="32"/>
      <x:c r="O84" s="18"/>
      <x:c r="P84" s="18"/>
    </x:row>
    <x:row r="85" ht="27" customHeight="1">
      <x:c r="A85" s="18"/>
      <x:c r="B85" s="18"/>
      <x:c r="C85" s="18"/>
      <x:c r="D85" s="18"/>
      <x:c r="E85" s="18"/>
      <x:c r="F85" s="18"/>
      <x:c r="G85" s="32"/>
      <x:c r="H85" s="32"/>
      <x:c r="I85" s="32"/>
      <x:c r="J85" s="32"/>
      <x:c r="K85" s="32"/>
      <x:c r="L85" s="32"/>
      <x:c r="M85" s="18"/>
      <x:c r="N85" s="32"/>
      <x:c r="O85" s="18"/>
      <x:c r="P85" s="18"/>
    </x:row>
    <x:row r="86" ht="27" customHeight="1">
      <x:c r="A86" s="18"/>
      <x:c r="B86" s="18"/>
      <x:c r="C86" s="18"/>
      <x:c r="D86" s="18"/>
      <x:c r="E86" s="18"/>
      <x:c r="F86" s="18"/>
      <x:c r="G86" s="32"/>
      <x:c r="H86" s="32"/>
      <x:c r="I86" s="32"/>
      <x:c r="J86" s="32"/>
      <x:c r="K86" s="32"/>
      <x:c r="L86" s="32"/>
      <x:c r="M86" s="18"/>
      <x:c r="N86" s="32"/>
      <x:c r="O86" s="18"/>
      <x:c r="P86" s="18"/>
    </x:row>
    <x:row r="87" ht="27" customHeight="1">
      <x:c r="A87" s="18"/>
      <x:c r="B87" s="18"/>
      <x:c r="C87" s="18"/>
      <x:c r="D87" s="18"/>
      <x:c r="E87" s="18"/>
      <x:c r="F87" s="18"/>
      <x:c r="G87" s="32"/>
      <x:c r="H87" s="32"/>
      <x:c r="I87" s="32"/>
      <x:c r="J87" s="32"/>
      <x:c r="K87" s="32"/>
      <x:c r="L87" s="32"/>
      <x:c r="M87" s="18"/>
      <x:c r="N87" s="32"/>
      <x:c r="O87" s="18"/>
      <x:c r="P87" s="18"/>
    </x:row>
    <x:row r="88" ht="27" customHeight="1">
      <x:c r="A88" s="18"/>
      <x:c r="B88" s="18"/>
      <x:c r="C88" s="18"/>
      <x:c r="D88" s="18"/>
      <x:c r="E88" s="18"/>
      <x:c r="F88" s="18"/>
      <x:c r="G88" s="32"/>
      <x:c r="H88" s="32"/>
      <x:c r="I88" s="32"/>
      <x:c r="J88" s="32"/>
      <x:c r="K88" s="32"/>
      <x:c r="L88" s="32"/>
      <x:c r="M88" s="18"/>
      <x:c r="N88" s="32"/>
      <x:c r="O88" s="18"/>
      <x:c r="P88" s="18"/>
    </x:row>
    <x:row r="89" ht="27" customHeight="1">
      <x:c r="A89" s="18"/>
      <x:c r="B89" s="18"/>
      <x:c r="C89" s="18"/>
      <x:c r="D89" s="18"/>
      <x:c r="E89" s="18"/>
      <x:c r="F89" s="18"/>
      <x:c r="G89" s="32"/>
      <x:c r="H89" s="32"/>
      <x:c r="I89" s="32"/>
      <x:c r="J89" s="32"/>
      <x:c r="K89" s="32"/>
      <x:c r="L89" s="32"/>
      <x:c r="M89" s="18"/>
      <x:c r="N89" s="32"/>
      <x:c r="O89" s="18"/>
      <x:c r="P89" s="18"/>
    </x:row>
    <x:row r="90" ht="27" customHeight="1">
      <x:c r="A90" s="18"/>
      <x:c r="B90" s="18"/>
      <x:c r="C90" s="18"/>
      <x:c r="D90" s="18"/>
      <x:c r="E90" s="18"/>
      <x:c r="F90" s="18"/>
      <x:c r="G90" s="32"/>
      <x:c r="H90" s="32"/>
      <x:c r="I90" s="32"/>
      <x:c r="J90" s="32"/>
      <x:c r="K90" s="32"/>
      <x:c r="L90" s="32"/>
      <x:c r="M90" s="18"/>
      <x:c r="N90" s="32"/>
      <x:c r="O90" s="18"/>
      <x:c r="P90" s="18"/>
    </x:row>
  </x:sheetData>
  <x:mergeCells>
    <x:mergeCell ref="A1:P2"/>
    <x:mergeCell ref="A3:P3"/>
    <x:mergeCell ref="A4:P4"/>
  </x:mergeCells>
  <x:conditionalFormatting sqref="M6:M90">
    <x:cfRule type="expression" dxfId="0" priority="1">
      <x:formula>AND(OR($M6="Conforme",$M6="No conforme"),$N6="")</x:formula>
    </x:cfRule>
  </x:conditionalFormatting>
  <x:conditionalFormatting sqref="O6:O90">
    <x:cfRule type="expression" dxfId="1" priority="2">
      <x:formula>AND($O6="Evaluado con evidencia",$N6="")</x:formula>
    </x:cfRule>
  </x:conditionalFormatting>
  <x:dataValidations count="5">
    <x:dataValidation type="list" sqref="B6:B90">
      <x:formula1>"MOD-01,MOD-02,MOD-03,MOD-04,MOD-05,MOD-06,MOD-07,MOD-08,MOD-09,MOD-10"</x:formula1>
    </x:dataValidation>
    <x:dataValidation type="list" sqref="K6:K90">
      <x:formula1>"Sí,No,Pendiente"</x:formula1>
    </x:dataValidation>
    <x:dataValidation type="list" sqref="L6:L90">
      <x:formula1>"Sí,No,Pendiente"</x:formula1>
    </x:dataValidation>
    <x:dataValidation type="list" sqref="M6:M90">
      <x:formula1>"Conforme,No conforme,Pendiente,No aplica"</x:formula1>
    </x:dataValidation>
    <x:dataValidation type="list" sqref="O6:O90">
      <x:formula1>"Inventariado; sin evaluación,Evaluado con evidencia,Fuera de alcance"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b01d271174a7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34" hidden="0" customWidth="1"/>
    <x:col min="4" max="4" width="34" hidden="0" customWidth="1"/>
    <x:col min="5" max="5" width="40" hidden="0" customWidth="1"/>
    <x:col min="6" max="6" width="33" hidden="0" customWidth="1"/>
    <x:col min="7" max="7" width="48" hidden="0" customWidth="1"/>
    <x:col min="8" max="8" width="34" hidden="0" customWidth="1"/>
    <x:col min="9" max="9" width="51" hidden="0" customWidth="1"/>
    <x:col min="10" max="10" width="40" hidden="0" customWidth="1"/>
    <x:col min="11" max="11" width="54" hidden="0" customWidth="1"/>
    <x:col min="12" max="12" width="25" hidden="0" customWidth="1"/>
    <x:col min="13" max="13" width="21" hidden="0" customWidth="1"/>
    <x:col min="14" max="14" width="79" hidden="0" customWidth="1"/>
    <x:col min="15" max="15" width="36" hidden="0" customWidth="1"/>
    <x:col min="16" max="16" width="26" hidden="0" customWidth="1"/>
    <x:col min="17" max="17" width="61" hidden="0" customWidth="1"/>
    <x:col min="18" max="18" width="24" hidden="0" customWidth="1"/>
    <x:col min="19" max="19" width="24" hidden="0" customWidth="1"/>
    <x:col min="20" max="20" width="22" hidden="0" customWidth="1"/>
    <x:col min="21" max="21" width="24" hidden="0" customWidth="1"/>
    <x:col min="22" max="22" width="18" hidden="0" customWidth="1"/>
    <x:col min="23" max="23" width="25" hidden="0" customWidth="1"/>
    <x:col min="24" max="24" width="28" hidden="0" customWidth="1"/>
  </x:cols>
  <x:sheetData>
    <x:row r="1" ht="24" customHeight="1">
      <x:c r="A1" s="21" t="str">
        <x:v>ESQUEMA PRISMA | INVENTARIO DE ENTIDADES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</x:row>
    <x:row r="4" ht="21" customHeight="1">
      <x:c r="A4" s="26" t="str">
        <x:v>Modelos identificados en schema.prisma; ninguna comprobación de duplicados ha sido ejecutada.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</x:row>
    <x:row r="5" ht="40" customHeight="1">
      <x:c r="A5" s="29" t="str">
        <x:v>Código entidad</x:v>
      </x:c>
      <x:c r="B5" s="29" t="str">
        <x:v>Código MOD</x:v>
      </x:c>
      <x:c r="C5" s="29" t="str">
        <x:v>Entidad</x:v>
      </x:c>
      <x:c r="D5" s="29" t="str">
        <x:v>Modelo Prisma</x:v>
      </x:c>
      <x:c r="E5" s="29" t="str">
        <x:v>Tabla de base de datos</x:v>
      </x:c>
      <x:c r="F5" s="29" t="str">
        <x:v>Clave primaria</x:v>
      </x:c>
      <x:c r="G5" s="29" t="str">
        <x:v>Clave de negocio</x:v>
      </x:c>
      <x:c r="H5" s="29" t="str">
        <x:v>Restricción de unicidad</x:v>
      </x:c>
      <x:c r="I5" s="29" t="str">
        <x:v>Definición de duplicado indebido</x:v>
      </x:c>
      <x:c r="J5" s="29" t="str">
        <x:v>Conjunto de datos evaluado</x:v>
      </x:c>
      <x:c r="K5" s="29" t="str">
        <x:v>Consulta de comprobación</x:v>
      </x:c>
      <x:c r="L5" s="29" t="str">
        <x:v>Número de duplicados encontrados</x:v>
      </x:c>
      <x:c r="M5" s="29" t="str">
        <x:v>Incluido</x:v>
      </x:c>
      <x:c r="N5" s="29" t="str">
        <x:v>Fuente</x:v>
      </x:c>
      <x:c r="O5" s="29" t="str">
        <x:v>Evidencia</x:v>
      </x:c>
      <x:c r="P5" s="29" t="str">
        <x:v>Estado</x:v>
      </x:c>
      <x:c r="Q5" s="29" t="str">
        <x:v>Observaciones</x:v>
      </x:c>
      <x:c r="R5" s="41" t="str">
        <x:v>Registros elegibles (N)</x:v>
      </x:c>
      <x:c r="S5" s="41" t="str">
        <x:v>Registros examinados (n)</x:v>
      </x:c>
      <x:c r="T5" s="41" t="str">
        <x:v>Cobertura n/N (%)</x:v>
      </x:c>
      <x:c r="U5" s="41" t="str">
        <x:v>Clave/regla aprobada</x:v>
      </x:c>
      <x:c r="V5" s="41" t="str">
        <x:v>SQL validado</x:v>
      </x:c>
      <x:c r="W5" s="41" t="str">
        <x:v>Registros previstos (n)</x:v>
      </x:c>
      <x:c r="X5" s="41" t="str">
        <x:v>Evidencia global suficiente</x:v>
      </x:c>
    </x:row>
    <x:row r="6" ht="27" customHeight="1">
      <x:c r="A6" s="18" t="str">
        <x:v>ENT-001</x:v>
      </x:c>
      <x:c r="B6" s="18" t="str">
        <x:v>MOD-01</x:v>
      </x:c>
      <x:c r="C6" s="18" t="str">
        <x:v>Rol</x:v>
      </x:c>
      <x:c r="D6" s="18" t="str">
        <x:v>Rol</x:v>
      </x:c>
      <x:c r="E6" s="18" t="str">
        <x:v>roles</x:v>
      </x:c>
      <x:c r="F6" s="18" t="str">
        <x:v>id (Int)</x:v>
      </x:c>
      <x:c r="G6" s="18" t="str">
        <x:v>nombre</x:v>
      </x:c>
      <x:c r="H6" s="18" t="str">
        <x:v>nombre UNIQUE</x:v>
      </x:c>
      <x:c r="I6" s="32"/>
      <x:c r="J6" s="32"/>
      <x:c r="K6" s="32"/>
      <x:c r="L6" s="32"/>
      <x:c r="M6" s="32" t="str">
        <x:v>Pendiente</x:v>
      </x:c>
      <x:c r="N6" s="18" t="str">
        <x:v>https://github.com/SebastianCM020/Sistema_Gestion_Integral_Constructora/blob/main/backend/prisma/schema.prisma</x:v>
      </x:c>
      <x:c r="O6" s="32"/>
      <x:c r="P6" s="18" t="str">
        <x:v>Inventariado</x:v>
      </x:c>
      <x:c r="Q6" s="18" t="str">
        <x:v>Definir duplicado de negocio y SQL según columnas reales.</x:v>
      </x:c>
      <x:c r="R6"/>
      <x:c r="S6"/>
      <x:c r="T6" t="str">
        <x:f>IF(OR(NOT(ISNUMBER(R6)),R6&lt;=0,NOT(ISNUMBER(S6)),S6&lt;0,S6&gt;R6),"",S6/R6*100)</x:f>
      </x:c>
      <x:c r="U6"/>
      <x:c r="V6"/>
      <x:c r="W6"/>
      <x:c r="X6" t="str">
        <x:f>IF(AND(M6="Sí",P6="Evaluado con evidencia",O6&lt;&gt;"",ISNUMBER(R6),R6&gt;0,ISNUMBER(S6),S6&gt;0,S6&lt;=R6,ISNUMBER(L6),L6&gt;=0,L6&lt;=S6,U6="Sí",V6="Sí",I6&lt;&gt;"",K6&lt;&gt;""),"Sí","")</x:f>
      </x:c>
    </x:row>
    <x:row r="7" ht="27" customHeight="1">
      <x:c r="A7" s="18" t="str">
        <x:v>ENT-002</x:v>
      </x:c>
      <x:c r="B7" s="18" t="str">
        <x:v>MOD-01</x:v>
      </x:c>
      <x:c r="C7" s="18" t="str">
        <x:v>Usuario</x:v>
      </x:c>
      <x:c r="D7" s="18" t="str">
        <x:v>Usuario</x:v>
      </x:c>
      <x:c r="E7" s="18" t="str">
        <x:v>usuarios</x:v>
      </x:c>
      <x:c r="F7" s="18" t="str">
        <x:v>id (UUID)</x:v>
      </x:c>
      <x:c r="G7" s="18" t="str">
        <x:v>email</x:v>
      </x:c>
      <x:c r="H7" s="18" t="str">
        <x:v>email UNIQUE</x:v>
      </x:c>
      <x:c r="I7" s="32"/>
      <x:c r="J7" s="32"/>
      <x:c r="K7" s="32"/>
      <x:c r="L7" s="32"/>
      <x:c r="M7" s="32" t="str">
        <x:v>Pendiente</x:v>
      </x:c>
      <x:c r="N7" s="18" t="str">
        <x:v>https://github.com/SebastianCM020/Sistema_Gestion_Integral_Constructora/blob/main/backend/prisma/schema.prisma</x:v>
      </x:c>
      <x:c r="O7" s="32"/>
      <x:c r="P7" s="18" t="str">
        <x:v>Inventariado</x:v>
      </x:c>
      <x:c r="Q7" s="18" t="str">
        <x:v>Definir duplicado de negocio y SQL según columnas reales.</x:v>
      </x:c>
      <x:c r="R7"/>
      <x:c r="S7"/>
      <x:c r="T7" t="str">
        <x:f>IF(OR(NOT(ISNUMBER(R7)),R7&lt;=0,NOT(ISNUMBER(S7)),S7&lt;0,S7&gt;R7),"",S7/R7*100)</x:f>
      </x:c>
      <x:c r="U7"/>
      <x:c r="V7"/>
      <x:c r="W7"/>
      <x:c r="X7" t="str">
        <x:f>IF(AND(M7="Sí",P7="Evaluado con evidencia",O7&lt;&gt;"",ISNUMBER(R7),R7&gt;0,ISNUMBER(S7),S7&gt;0,S7&lt;=R7,ISNUMBER(L7),L7&gt;=0,L7&lt;=S7,U7="Sí",V7="Sí",I7&lt;&gt;"",K7&lt;&gt;""),"Sí","")</x:f>
      </x:c>
    </x:row>
    <x:row r="8" ht="27" customHeight="1">
      <x:c r="A8" s="18" t="str">
        <x:v>ENT-003</x:v>
      </x:c>
      <x:c r="B8" s="18" t="str">
        <x:v>MOD-02</x:v>
      </x:c>
      <x:c r="C8" s="18" t="str">
        <x:v>Proyecto</x:v>
      </x:c>
      <x:c r="D8" s="18" t="str">
        <x:v>Proyecto</x:v>
      </x:c>
      <x:c r="E8" s="18" t="str">
        <x:v>proyectos</x:v>
      </x:c>
      <x:c r="F8" s="18" t="str">
        <x:v>id (UUID)</x:v>
      </x:c>
      <x:c r="G8" s="18" t="str">
        <x:v>codigo</x:v>
      </x:c>
      <x:c r="H8" s="18" t="str">
        <x:v>codigo UNIQUE</x:v>
      </x:c>
      <x:c r="I8" s="32"/>
      <x:c r="J8" s="32"/>
      <x:c r="K8" s="32"/>
      <x:c r="L8" s="32"/>
      <x:c r="M8" s="32" t="str">
        <x:v>Pendiente</x:v>
      </x:c>
      <x:c r="N8" s="18" t="str">
        <x:v>https://github.com/SebastianCM020/Sistema_Gestion_Integral_Constructora/blob/main/backend/prisma/schema.prisma</x:v>
      </x:c>
      <x:c r="O8" s="32"/>
      <x:c r="P8" s="18" t="str">
        <x:v>Inventariado</x:v>
      </x:c>
      <x:c r="Q8" s="18" t="str">
        <x:v>Definir duplicado de negocio y SQL según columnas reales.</x:v>
      </x:c>
      <x:c r="R8"/>
      <x:c r="S8"/>
      <x:c r="T8" t="str">
        <x:f>IF(OR(NOT(ISNUMBER(R8)),R8&lt;=0,NOT(ISNUMBER(S8)),S8&lt;0,S8&gt;R8),"",S8/R8*100)</x:f>
      </x:c>
      <x:c r="U8"/>
      <x:c r="V8"/>
      <x:c r="W8"/>
      <x:c r="X8" t="str">
        <x:f>IF(AND(M8="Sí",P8="Evaluado con evidencia",O8&lt;&gt;"",ISNUMBER(R8),R8&gt;0,ISNUMBER(S8),S8&gt;0,S8&lt;=R8,ISNUMBER(L8),L8&gt;=0,L8&lt;=S8,U8="Sí",V8="Sí",I8&lt;&gt;"",K8&lt;&gt;""),"Sí","")</x:f>
      </x:c>
    </x:row>
    <x:row r="9" ht="27" customHeight="1">
      <x:c r="A9" s="18" t="str">
        <x:v>ENT-004</x:v>
      </x:c>
      <x:c r="B9" s="18" t="str">
        <x:v>MOD-02</x:v>
      </x:c>
      <x:c r="C9" s="18" t="str">
        <x:v>AsignacionProyectoUsuario</x:v>
      </x:c>
      <x:c r="D9" s="18" t="str">
        <x:v>AsignacionProyectoUsuario</x:v>
      </x:c>
      <x:c r="E9" s="18" t="str">
        <x:v>asignacion_proyecto_usuario</x:v>
      </x:c>
      <x:c r="F9" s="18" t="str">
        <x:v>id (UUID)</x:v>
      </x:c>
      <x:c r="G9" s="18" t="str">
        <x:v>idUsuario + idProyecto + fechas (candidata, por aprobar)</x:v>
      </x:c>
      <x:c r="H9" s="18" t="str">
        <x:v>No identificada</x:v>
      </x:c>
      <x:c r="I9" s="32"/>
      <x:c r="J9" s="32"/>
      <x:c r="K9" s="32"/>
      <x:c r="L9" s="32"/>
      <x:c r="M9" s="32" t="str">
        <x:v>Pendiente</x:v>
      </x:c>
      <x:c r="N9" s="18" t="str">
        <x:v>https://github.com/SebastianCM020/Sistema_Gestion_Integral_Constructora/blob/main/backend/prisma/schema.prisma</x:v>
      </x:c>
      <x:c r="O9" s="32"/>
      <x:c r="P9" s="18" t="str">
        <x:v>Inventariado</x:v>
      </x:c>
      <x:c r="Q9" s="18" t="str">
        <x:v>Definir duplicado de negocio y SQL según columnas reales.</x:v>
      </x:c>
      <x:c r="R9"/>
      <x:c r="S9"/>
      <x:c r="T9" t="str">
        <x:f>IF(OR(NOT(ISNUMBER(R9)),R9&lt;=0,NOT(ISNUMBER(S9)),S9&lt;0,S9&gt;R9),"",S9/R9*100)</x:f>
      </x:c>
      <x:c r="U9"/>
      <x:c r="V9"/>
      <x:c r="W9"/>
      <x:c r="X9" t="str">
        <x:f>IF(AND(M9="Sí",P9="Evaluado con evidencia",O9&lt;&gt;"",ISNUMBER(R9),R9&gt;0,ISNUMBER(S9),S9&gt;0,S9&lt;=R9,ISNUMBER(L9),L9&gt;=0,L9&lt;=S9,U9="Sí",V9="Sí",I9&lt;&gt;"",K9&lt;&gt;""),"Sí","")</x:f>
      </x:c>
    </x:row>
    <x:row r="10" ht="27" customHeight="1">
      <x:c r="A10" s="18" t="str">
        <x:v>ENT-005</x:v>
      </x:c>
      <x:c r="B10" s="18" t="str">
        <x:v>MOD-02</x:v>
      </x:c>
      <x:c r="C10" s="18" t="str">
        <x:v>Rubro</x:v>
      </x:c>
      <x:c r="D10" s="18" t="str">
        <x:v>Rubro</x:v>
      </x:c>
      <x:c r="E10" s="18" t="str">
        <x:v>rubros</x:v>
      </x:c>
      <x:c r="F10" s="18" t="str">
        <x:v>id (UUID)</x:v>
      </x:c>
      <x:c r="G10" s="18" t="str">
        <x:v>idProyecto + codigo (candidata, por aprobar)</x:v>
      </x:c>
      <x:c r="H10" s="18" t="str">
        <x:v>No identificada</x:v>
      </x:c>
      <x:c r="I10" s="32"/>
      <x:c r="J10" s="32"/>
      <x:c r="K10" s="32"/>
      <x:c r="L10" s="32"/>
      <x:c r="M10" s="32" t="str">
        <x:v>Pendiente</x:v>
      </x:c>
      <x:c r="N10" s="18" t="str">
        <x:v>https://github.com/SebastianCM020/Sistema_Gestion_Integral_Constructora/blob/main/backend/prisma/schema.prisma</x:v>
      </x:c>
      <x:c r="O10" s="32"/>
      <x:c r="P10" s="18" t="str">
        <x:v>Inventariado</x:v>
      </x:c>
      <x:c r="Q10" s="18" t="str">
        <x:v>Definir duplicado de negocio y SQL según columnas reales.</x:v>
      </x:c>
      <x:c r="R10"/>
      <x:c r="S10"/>
      <x:c r="T10" t="str">
        <x:f>IF(OR(NOT(ISNUMBER(R10)),R10&lt;=0,NOT(ISNUMBER(S10)),S10&lt;0,S10&gt;R10),"",S10/R10*100)</x:f>
      </x:c>
      <x:c r="U10"/>
      <x:c r="V10"/>
      <x:c r="W10"/>
      <x:c r="X10" t="str">
        <x:f>IF(AND(M10="Sí",P10="Evaluado con evidencia",O10&lt;&gt;"",ISNUMBER(R10),R10&gt;0,ISNUMBER(S10),S10&gt;0,S10&lt;=R10,ISNUMBER(L10),L10&gt;=0,L10&lt;=S10,U10="Sí",V10="Sí",I10&lt;&gt;"",K10&lt;&gt;""),"Sí","")</x:f>
      </x:c>
    </x:row>
    <x:row r="11" ht="27" customHeight="1">
      <x:c r="A11" s="18" t="str">
        <x:v>ENT-006</x:v>
      </x:c>
      <x:c r="B11" s="18" t="str">
        <x:v>MOD-03</x:v>
      </x:c>
      <x:c r="C11" s="18" t="str">
        <x:v>AvanceObra</x:v>
      </x:c>
      <x:c r="D11" s="18" t="str">
        <x:v>AvanceObra</x:v>
      </x:c>
      <x:c r="E11" s="18" t="str">
        <x:v>avance_obra</x:v>
      </x:c>
      <x:c r="F11" s="18" t="str">
        <x:v>id (UUID)</x:v>
      </x:c>
      <x:c r="G11" s="18"/>
      <x:c r="H11" s="18" t="str">
        <x:v>No identificada</x:v>
      </x:c>
      <x:c r="I11" s="32"/>
      <x:c r="J11" s="32"/>
      <x:c r="K11" s="32"/>
      <x:c r="L11" s="32"/>
      <x:c r="M11" s="32" t="str">
        <x:v>Pendiente</x:v>
      </x:c>
      <x:c r="N11" s="18" t="str">
        <x:v>https://github.com/SebastianCM020/Sistema_Gestion_Integral_Constructora/blob/main/backend/prisma/schema.prisma</x:v>
      </x:c>
      <x:c r="O11" s="32"/>
      <x:c r="P11" s="18" t="str">
        <x:v>Inventariado</x:v>
      </x:c>
      <x:c r="Q11" s="18" t="str">
        <x:v>Definir duplicado de negocio y SQL según columnas reales.</x:v>
      </x:c>
      <x:c r="R11"/>
      <x:c r="S11"/>
      <x:c r="T11" t="str">
        <x:f>IF(OR(NOT(ISNUMBER(R11)),R11&lt;=0,NOT(ISNUMBER(S11)),S11&lt;0,S11&gt;R11),"",S11/R11*100)</x:f>
      </x:c>
      <x:c r="U11"/>
      <x:c r="V11"/>
      <x:c r="W11"/>
      <x:c r="X11" t="str">
        <x:f>IF(AND(M11="Sí",P11="Evaluado con evidencia",O11&lt;&gt;"",ISNUMBER(R11),R11&gt;0,ISNUMBER(S11),S11&gt;0,S11&lt;=R11,ISNUMBER(L11),L11&gt;=0,L11&lt;=S11,U11="Sí",V11="Sí",I11&lt;&gt;"",K11&lt;&gt;""),"Sí","")</x:f>
      </x:c>
    </x:row>
    <x:row r="12" ht="27" customHeight="1">
      <x:c r="A12" s="18" t="str">
        <x:v>ENT-007</x:v>
      </x:c>
      <x:c r="B12" s="18" t="str">
        <x:v>MOD-04</x:v>
      </x:c>
      <x:c r="C12" s="18" t="str">
        <x:v>EvidenciaFotografica</x:v>
      </x:c>
      <x:c r="D12" s="18" t="str">
        <x:v>EvidenciaFotografica</x:v>
      </x:c>
      <x:c r="E12" s="18" t="str">
        <x:v>evidencia_fotografica</x:v>
      </x:c>
      <x:c r="F12" s="18" t="str">
        <x:v>id (UUID)</x:v>
      </x:c>
      <x:c r="G12" s="18"/>
      <x:c r="H12" s="18" t="str">
        <x:v>No identificada</x:v>
      </x:c>
      <x:c r="I12" s="32"/>
      <x:c r="J12" s="32"/>
      <x:c r="K12" s="32"/>
      <x:c r="L12" s="32"/>
      <x:c r="M12" s="32" t="str">
        <x:v>Pendiente</x:v>
      </x:c>
      <x:c r="N12" s="18" t="str">
        <x:v>https://github.com/SebastianCM020/Sistema_Gestion_Integral_Constructora/blob/main/backend/prisma/schema.prisma</x:v>
      </x:c>
      <x:c r="O12" s="32"/>
      <x:c r="P12" s="18" t="str">
        <x:v>Inventariado</x:v>
      </x:c>
      <x:c r="Q12" s="18" t="str">
        <x:v>Definir duplicado de negocio y SQL según columnas reales.</x:v>
      </x:c>
      <x:c r="R12"/>
      <x:c r="S12"/>
      <x:c r="T12" t="str">
        <x:f>IF(OR(NOT(ISNUMBER(R12)),R12&lt;=0,NOT(ISNUMBER(S12)),S12&lt;0,S12&gt;R12),"",S12/R12*100)</x:f>
      </x:c>
      <x:c r="U12"/>
      <x:c r="V12"/>
      <x:c r="W12"/>
      <x:c r="X12" t="str">
        <x:f>IF(AND(M12="Sí",P12="Evaluado con evidencia",O12&lt;&gt;"",ISNUMBER(R12),R12&gt;0,ISNUMBER(S12),S12&gt;0,S12&lt;=R12,ISNUMBER(L12),L12&gt;=0,L12&lt;=S12,U12="Sí",V12="Sí",I12&lt;&gt;"",K12&lt;&gt;""),"Sí","")</x:f>
      </x:c>
    </x:row>
    <x:row r="13" ht="27" customHeight="1">
      <x:c r="A13" s="18" t="str">
        <x:v>ENT-008</x:v>
      </x:c>
      <x:c r="B13" s="18" t="str">
        <x:v>MOD-05</x:v>
      </x:c>
      <x:c r="C13" s="18" t="str">
        <x:v>Material</x:v>
      </x:c>
      <x:c r="D13" s="18" t="str">
        <x:v>Material</x:v>
      </x:c>
      <x:c r="E13" s="18" t="str">
        <x:v>materiales</x:v>
      </x:c>
      <x:c r="F13" s="18" t="str">
        <x:v>id (UUID)</x:v>
      </x:c>
      <x:c r="G13" s="18" t="str">
        <x:v>codigo</x:v>
      </x:c>
      <x:c r="H13" s="18" t="str">
        <x:v>codigo UNIQUE</x:v>
      </x:c>
      <x:c r="I13" s="32"/>
      <x:c r="J13" s="32"/>
      <x:c r="K13" s="32"/>
      <x:c r="L13" s="32"/>
      <x:c r="M13" s="32" t="str">
        <x:v>Pendiente</x:v>
      </x:c>
      <x:c r="N13" s="18" t="str">
        <x:v>https://github.com/SebastianCM020/Sistema_Gestion_Integral_Constructora/blob/main/backend/prisma/schema.prisma</x:v>
      </x:c>
      <x:c r="O13" s="32"/>
      <x:c r="P13" s="18" t="str">
        <x:v>Inventariado</x:v>
      </x:c>
      <x:c r="Q13" s="18" t="str">
        <x:v>Definir duplicado de negocio y SQL según columnas reales.</x:v>
      </x:c>
      <x:c r="R13"/>
      <x:c r="S13"/>
      <x:c r="T13" t="str">
        <x:f>IF(OR(NOT(ISNUMBER(R13)),R13&lt;=0,NOT(ISNUMBER(S13)),S13&lt;0,S13&gt;R13),"",S13/R13*100)</x:f>
      </x:c>
      <x:c r="U13"/>
      <x:c r="V13"/>
      <x:c r="W13"/>
      <x:c r="X13" t="str">
        <x:f>IF(AND(M13="Sí",P13="Evaluado con evidencia",O13&lt;&gt;"",ISNUMBER(R13),R13&gt;0,ISNUMBER(S13),S13&gt;0,S13&lt;=R13,ISNUMBER(L13),L13&gt;=0,L13&lt;=S13,U13="Sí",V13="Sí",I13&lt;&gt;"",K13&lt;&gt;""),"Sí","")</x:f>
      </x:c>
    </x:row>
    <x:row r="14" ht="27" customHeight="1">
      <x:c r="A14" s="18" t="str">
        <x:v>ENT-009</x:v>
      </x:c>
      <x:c r="B14" s="18" t="str">
        <x:v>MOD-06</x:v>
      </x:c>
      <x:c r="C14" s="18" t="str">
        <x:v>RequerimientoCompra</x:v>
      </x:c>
      <x:c r="D14" s="18" t="str">
        <x:v>RequerimientoCompra</x:v>
      </x:c>
      <x:c r="E14" s="18" t="str">
        <x:v>requerimiento_compra</x:v>
      </x:c>
      <x:c r="F14" s="18" t="str">
        <x:v>id (UUID)</x:v>
      </x:c>
      <x:c r="G14" s="18"/>
      <x:c r="H14" s="18" t="str">
        <x:v>No identificada</x:v>
      </x:c>
      <x:c r="I14" s="32"/>
      <x:c r="J14" s="32"/>
      <x:c r="K14" s="32"/>
      <x:c r="L14" s="32"/>
      <x:c r="M14" s="32" t="str">
        <x:v>Pendiente</x:v>
      </x:c>
      <x:c r="N14" s="18" t="str">
        <x:v>https://github.com/SebastianCM020/Sistema_Gestion_Integral_Constructora/blob/main/backend/prisma/schema.prisma</x:v>
      </x:c>
      <x:c r="O14" s="32"/>
      <x:c r="P14" s="18" t="str">
        <x:v>Inventariado</x:v>
      </x:c>
      <x:c r="Q14" s="18" t="str">
        <x:v>Definir duplicado de negocio y SQL según columnas reales.</x:v>
      </x:c>
      <x:c r="R14"/>
      <x:c r="S14"/>
      <x:c r="T14" t="str">
        <x:f>IF(OR(NOT(ISNUMBER(R14)),R14&lt;=0,NOT(ISNUMBER(S14)),S14&lt;0,S14&gt;R14),"",S14/R14*100)</x:f>
      </x:c>
      <x:c r="U14"/>
      <x:c r="V14"/>
      <x:c r="W14"/>
      <x:c r="X14" t="str">
        <x:f>IF(AND(M14="Sí",P14="Evaluado con evidencia",O14&lt;&gt;"",ISNUMBER(R14),R14&gt;0,ISNUMBER(S14),S14&gt;0,S14&lt;=R14,ISNUMBER(L14),L14&gt;=0,L14&lt;=S14,U14="Sí",V14="Sí",I14&lt;&gt;"",K14&lt;&gt;""),"Sí","")</x:f>
      </x:c>
    </x:row>
    <x:row r="15" ht="27" customHeight="1">
      <x:c r="A15" s="18" t="str">
        <x:v>ENT-010</x:v>
      </x:c>
      <x:c r="B15" s="18" t="str">
        <x:v>MOD-06</x:v>
      </x:c>
      <x:c r="C15" s="18" t="str">
        <x:v>DetalleRequerimiento</x:v>
      </x:c>
      <x:c r="D15" s="18" t="str">
        <x:v>DetalleRequerimiento</x:v>
      </x:c>
      <x:c r="E15" s="18" t="str">
        <x:v>detalle_requerimiento</x:v>
      </x:c>
      <x:c r="F15" s="18" t="str">
        <x:v>id (UUID)</x:v>
      </x:c>
      <x:c r="G15" s="18"/>
      <x:c r="H15" s="18" t="str">
        <x:v>No identificada</x:v>
      </x:c>
      <x:c r="I15" s="32"/>
      <x:c r="J15" s="32"/>
      <x:c r="K15" s="32"/>
      <x:c r="L15" s="32"/>
      <x:c r="M15" s="32" t="str">
        <x:v>Pendiente</x:v>
      </x:c>
      <x:c r="N15" s="18" t="str">
        <x:v>https://github.com/SebastianCM020/Sistema_Gestion_Integral_Constructora/blob/main/backend/prisma/schema.prisma</x:v>
      </x:c>
      <x:c r="O15" s="32"/>
      <x:c r="P15" s="18" t="str">
        <x:v>Inventariado</x:v>
      </x:c>
      <x:c r="Q15" s="18" t="str">
        <x:v>Definir duplicado de negocio y SQL según columnas reales.</x:v>
      </x:c>
      <x:c r="R15"/>
      <x:c r="S15"/>
      <x:c r="T15" t="str">
        <x:f>IF(OR(NOT(ISNUMBER(R15)),R15&lt;=0,NOT(ISNUMBER(S15)),S15&lt;0,S15&gt;R15),"",S15/R15*100)</x:f>
      </x:c>
      <x:c r="U15"/>
      <x:c r="V15"/>
      <x:c r="W15"/>
      <x:c r="X15" t="str">
        <x:f>IF(AND(M15="Sí",P15="Evaluado con evidencia",O15&lt;&gt;"",ISNUMBER(R15),R15&gt;0,ISNUMBER(S15),S15&gt;0,S15&lt;=R15,ISNUMBER(L15),L15&gt;=0,L15&lt;=S15,U15="Sí",V15="Sí",I15&lt;&gt;"",K15&lt;&gt;""),"Sí","")</x:f>
      </x:c>
    </x:row>
    <x:row r="16" ht="27" customHeight="1">
      <x:c r="A16" s="18" t="str">
        <x:v>ENT-011</x:v>
      </x:c>
      <x:c r="B16" s="18" t="str">
        <x:v>MOD-07</x:v>
      </x:c>
      <x:c r="C16" s="18" t="str">
        <x:v>InventarioProyecto</x:v>
      </x:c>
      <x:c r="D16" s="18" t="str">
        <x:v>InventarioProyecto</x:v>
      </x:c>
      <x:c r="E16" s="18" t="str">
        <x:v>inventario_proyecto</x:v>
      </x:c>
      <x:c r="F16" s="18" t="str">
        <x:v>idMaterial + idProyecto (compuesta)</x:v>
      </x:c>
      <x:c r="G16" s="18" t="str">
        <x:v>idMaterial + idProyecto</x:v>
      </x:c>
      <x:c r="H16" s="18" t="str">
        <x:v>Clave primaria compuesta</x:v>
      </x:c>
      <x:c r="I16" s="32"/>
      <x:c r="J16" s="32"/>
      <x:c r="K16" s="32"/>
      <x:c r="L16" s="32"/>
      <x:c r="M16" s="32" t="str">
        <x:v>Pendiente</x:v>
      </x:c>
      <x:c r="N16" s="18" t="str">
        <x:v>https://github.com/SebastianCM020/Sistema_Gestion_Integral_Constructora/blob/main/backend/prisma/schema.prisma</x:v>
      </x:c>
      <x:c r="O16" s="32"/>
      <x:c r="P16" s="18" t="str">
        <x:v>Inventariado</x:v>
      </x:c>
      <x:c r="Q16" s="18" t="str">
        <x:v>Definir duplicado de negocio y SQL según columnas reales.</x:v>
      </x:c>
      <x:c r="R16"/>
      <x:c r="S16"/>
      <x:c r="T16" t="str">
        <x:f>IF(OR(NOT(ISNUMBER(R16)),R16&lt;=0,NOT(ISNUMBER(S16)),S16&lt;0,S16&gt;R16),"",S16/R16*100)</x:f>
      </x:c>
      <x:c r="U16"/>
      <x:c r="V16"/>
      <x:c r="W16"/>
      <x:c r="X16" t="str">
        <x:f>IF(AND(M16="Sí",P16="Evaluado con evidencia",O16&lt;&gt;"",ISNUMBER(R16),R16&gt;0,ISNUMBER(S16),S16&gt;0,S16&lt;=R16,ISNUMBER(L16),L16&gt;=0,L16&lt;=S16,U16="Sí",V16="Sí",I16&lt;&gt;"",K16&lt;&gt;""),"Sí","")</x:f>
      </x:c>
    </x:row>
    <x:row r="17" ht="27" customHeight="1">
      <x:c r="A17" s="18" t="str">
        <x:v>ENT-012</x:v>
      </x:c>
      <x:c r="B17" s="18" t="str">
        <x:v>MOD-07</x:v>
      </x:c>
      <x:c r="C17" s="18" t="str">
        <x:v>MovimientoInventario</x:v>
      </x:c>
      <x:c r="D17" s="18" t="str">
        <x:v>MovimientoInventario</x:v>
      </x:c>
      <x:c r="E17" s="18" t="str">
        <x:v>movimiento_inventario</x:v>
      </x:c>
      <x:c r="F17" s="18" t="str">
        <x:v>id (UUID)</x:v>
      </x:c>
      <x:c r="G17" s="18"/>
      <x:c r="H17" s="18" t="str">
        <x:v>No identificada</x:v>
      </x:c>
      <x:c r="I17" s="32"/>
      <x:c r="J17" s="32"/>
      <x:c r="K17" s="32"/>
      <x:c r="L17" s="32"/>
      <x:c r="M17" s="32" t="str">
        <x:v>Pendiente</x:v>
      </x:c>
      <x:c r="N17" s="18" t="str">
        <x:v>https://github.com/SebastianCM020/Sistema_Gestion_Integral_Constructora/blob/main/backend/prisma/schema.prisma</x:v>
      </x:c>
      <x:c r="O17" s="32"/>
      <x:c r="P17" s="18" t="str">
        <x:v>Inventariado</x:v>
      </x:c>
      <x:c r="Q17" s="18" t="str">
        <x:v>Definir duplicado de negocio y SQL según columnas reales.</x:v>
      </x:c>
      <x:c r="R17"/>
      <x:c r="S17"/>
      <x:c r="T17" t="str">
        <x:f>IF(OR(NOT(ISNUMBER(R17)),R17&lt;=0,NOT(ISNUMBER(S17)),S17&lt;0,S17&gt;R17),"",S17/R17*100)</x:f>
      </x:c>
      <x:c r="U17"/>
      <x:c r="V17"/>
      <x:c r="W17"/>
      <x:c r="X17" t="str">
        <x:f>IF(AND(M17="Sí",P17="Evaluado con evidencia",O17&lt;&gt;"",ISNUMBER(R17),R17&gt;0,ISNUMBER(S17),S17&gt;0,S17&lt;=R17,ISNUMBER(L17),L17&gt;=0,L17&lt;=S17,U17="Sí",V17="Sí",I17&lt;&gt;"",K17&lt;&gt;""),"Sí","")</x:f>
      </x:c>
    </x:row>
    <x:row r="18" ht="27" customHeight="1">
      <x:c r="A18" s="18" t="str">
        <x:v>ENT-013</x:v>
      </x:c>
      <x:c r="B18" s="18" t="str">
        <x:v>MOD-08</x:v>
      </x:c>
      <x:c r="C18" s="18" t="str">
        <x:v>CierreMensual</x:v>
      </x:c>
      <x:c r="D18" s="18" t="str">
        <x:v>CierreMensual</x:v>
      </x:c>
      <x:c r="E18" s="18" t="str">
        <x:v>cierre_mensual</x:v>
      </x:c>
      <x:c r="F18" s="18" t="str">
        <x:v>id (UUID)</x:v>
      </x:c>
      <x:c r="G18" s="18" t="str">
        <x:v>idProyecto + mesAnio (candidata, por aprobar)</x:v>
      </x:c>
      <x:c r="H18" s="18" t="str">
        <x:v>No identificada</x:v>
      </x:c>
      <x:c r="I18" s="32"/>
      <x:c r="J18" s="32"/>
      <x:c r="K18" s="32"/>
      <x:c r="L18" s="32"/>
      <x:c r="M18" s="32" t="str">
        <x:v>Pendiente</x:v>
      </x:c>
      <x:c r="N18" s="18" t="str">
        <x:v>https://github.com/SebastianCM020/Sistema_Gestion_Integral_Constructora/blob/main/backend/prisma/schema.prisma</x:v>
      </x:c>
      <x:c r="O18" s="32"/>
      <x:c r="P18" s="18" t="str">
        <x:v>Inventariado</x:v>
      </x:c>
      <x:c r="Q18" s="18" t="str">
        <x:v>Definir duplicado de negocio y SQL según columnas reales.</x:v>
      </x:c>
      <x:c r="R18"/>
      <x:c r="S18"/>
      <x:c r="T18" t="str">
        <x:f>IF(OR(NOT(ISNUMBER(R18)),R18&lt;=0,NOT(ISNUMBER(S18)),S18&lt;0,S18&gt;R18),"",S18/R18*100)</x:f>
      </x:c>
      <x:c r="U18"/>
      <x:c r="V18"/>
      <x:c r="W18"/>
      <x:c r="X18" t="str">
        <x:f>IF(AND(M18="Sí",P18="Evaluado con evidencia",O18&lt;&gt;"",ISNUMBER(R18),R18&gt;0,ISNUMBER(S18),S18&gt;0,S18&lt;=R18,ISNUMBER(L18),L18&gt;=0,L18&lt;=S18,U18="Sí",V18="Sí",I18&lt;&gt;"",K18&lt;&gt;""),"Sí","")</x:f>
      </x:c>
    </x:row>
    <x:row r="19" ht="27" customHeight="1">
      <x:c r="A19" s="18" t="str">
        <x:v>ENT-014</x:v>
      </x:c>
      <x:c r="B19" s="18" t="str">
        <x:v>MOD-08</x:v>
      </x:c>
      <x:c r="C19" s="18" t="str">
        <x:v>PlanillaPdf</x:v>
      </x:c>
      <x:c r="D19" s="18" t="str">
        <x:v>PlanillaPdf</x:v>
      </x:c>
      <x:c r="E19" s="18" t="str">
        <x:v>planilla_pdf</x:v>
      </x:c>
      <x:c r="F19" s="18" t="str">
        <x:v>id (UUID)</x:v>
      </x:c>
      <x:c r="G19" s="18"/>
      <x:c r="H19" s="18" t="str">
        <x:v>No identificada</x:v>
      </x:c>
      <x:c r="I19" s="32"/>
      <x:c r="J19" s="32"/>
      <x:c r="K19" s="32"/>
      <x:c r="L19" s="32"/>
      <x:c r="M19" s="32" t="str">
        <x:v>Pendiente</x:v>
      </x:c>
      <x:c r="N19" s="18" t="str">
        <x:v>https://github.com/SebastianCM020/Sistema_Gestion_Integral_Constructora/blob/main/backend/prisma/schema.prisma</x:v>
      </x:c>
      <x:c r="O19" s="32"/>
      <x:c r="P19" s="18" t="str">
        <x:v>Inventariado</x:v>
      </x:c>
      <x:c r="Q19" s="18" t="str">
        <x:v>Definir duplicado de negocio y SQL según columnas reales.</x:v>
      </x:c>
      <x:c r="R19"/>
      <x:c r="S19"/>
      <x:c r="T19" t="str">
        <x:f>IF(OR(NOT(ISNUMBER(R19)),R19&lt;=0,NOT(ISNUMBER(S19)),S19&lt;0,S19&gt;R19),"",S19/R19*100)</x:f>
      </x:c>
      <x:c r="U19"/>
      <x:c r="V19"/>
      <x:c r="W19"/>
      <x:c r="X19" t="str">
        <x:f>IF(AND(M19="Sí",P19="Evaluado con evidencia",O19&lt;&gt;"",ISNUMBER(R19),R19&gt;0,ISNUMBER(S19),S19&gt;0,S19&lt;=R19,ISNUMBER(L19),L19&gt;=0,L19&lt;=S19,U19="Sí",V19="Sí",I19&lt;&gt;"",K19&lt;&gt;""),"Sí","")</x:f>
      </x:c>
    </x:row>
    <x:row r="20" ht="27" customHeight="1">
      <x:c r="A20" s="18" t="str">
        <x:v>ENT-015</x:v>
      </x:c>
      <x:c r="B20" s="18" t="str">
        <x:v>MOD-10</x:v>
      </x:c>
      <x:c r="C20" s="18" t="str">
        <x:v>AuditLog</x:v>
      </x:c>
      <x:c r="D20" s="18" t="str">
        <x:v>AuditLog</x:v>
      </x:c>
      <x:c r="E20" s="18" t="str">
        <x:v>audit_log</x:v>
      </x:c>
      <x:c r="F20" s="18" t="str">
        <x:v>id (BigInt)</x:v>
      </x:c>
      <x:c r="G20" s="18"/>
      <x:c r="H20" s="18" t="str">
        <x:v>No identificada</x:v>
      </x:c>
      <x:c r="I20" s="32"/>
      <x:c r="J20" s="32"/>
      <x:c r="K20" s="32"/>
      <x:c r="L20" s="32"/>
      <x:c r="M20" s="32" t="str">
        <x:v>Pendiente</x:v>
      </x:c>
      <x:c r="N20" s="18" t="str">
        <x:v>https://github.com/SebastianCM020/Sistema_Gestion_Integral_Constructora/blob/main/backend/prisma/schema.prisma</x:v>
      </x:c>
      <x:c r="O20" s="32"/>
      <x:c r="P20" s="18" t="str">
        <x:v>Inventariado</x:v>
      </x:c>
      <x:c r="Q20" s="18" t="str">
        <x:v>Definir duplicado de negocio y SQL según columnas reales.</x:v>
      </x:c>
      <x:c r="R20"/>
      <x:c r="S20"/>
      <x:c r="T20" t="str">
        <x:f>IF(OR(NOT(ISNUMBER(R20)),R20&lt;=0,NOT(ISNUMBER(S20)),S20&lt;0,S20&gt;R20),"",S20/R20*100)</x:f>
      </x:c>
      <x:c r="U20"/>
      <x:c r="V20"/>
      <x:c r="W20"/>
      <x:c r="X20" t="str">
        <x:f>IF(AND(M20="Sí",P20="Evaluado con evidencia",O20&lt;&gt;"",ISNUMBER(R20),R20&gt;0,ISNUMBER(S20),S20&gt;0,S20&lt;=R20,ISNUMBER(L20),L20&gt;=0,L20&lt;=S20,U20="Sí",V20="Sí",I20&lt;&gt;"",K20&lt;&gt;""),"Sí","")</x:f>
      </x:c>
    </x:row>
    <x:row r="21" ht="27" customHeight="1">
      <x:c r="A21" s="18" t="str">
        <x:v>ENT-016</x:v>
      </x:c>
      <x:c r="B21" s="18" t="str">
        <x:v>MOD-03</x:v>
      </x:c>
      <x:c r="C21" s="18" t="str">
        <x:v>OrdenCambio</x:v>
      </x:c>
      <x:c r="D21" s="18" t="str">
        <x:v>OrdenCambio</x:v>
      </x:c>
      <x:c r="E21" s="18" t="str">
        <x:v>ordenes_cambio</x:v>
      </x:c>
      <x:c r="F21" s="18" t="str">
        <x:v>id (UUID)</x:v>
      </x:c>
      <x:c r="G21" s="18"/>
      <x:c r="H21" s="18" t="str">
        <x:v>No identificada</x:v>
      </x:c>
      <x:c r="I21" s="32"/>
      <x:c r="J21" s="32"/>
      <x:c r="K21" s="32"/>
      <x:c r="L21" s="32"/>
      <x:c r="M21" s="32" t="str">
        <x:v>Pendiente</x:v>
      </x:c>
      <x:c r="N21" s="18" t="str">
        <x:v>https://github.com/SebastianCM020/Sistema_Gestion_Integral_Constructora/blob/main/backend/prisma/schema.prisma</x:v>
      </x:c>
      <x:c r="O21" s="32"/>
      <x:c r="P21" s="18" t="str">
        <x:v>Inventariado</x:v>
      </x:c>
      <x:c r="Q21" s="18" t="str">
        <x:v>Definir duplicado de negocio y SQL según columnas reales.</x:v>
      </x:c>
      <x:c r="R21"/>
      <x:c r="S21"/>
      <x:c r="T21" t="str">
        <x:f>IF(OR(NOT(ISNUMBER(R21)),R21&lt;=0,NOT(ISNUMBER(S21)),S21&lt;0,S21&gt;R21),"",S21/R21*100)</x:f>
      </x:c>
      <x:c r="U21"/>
      <x:c r="V21"/>
      <x:c r="W21"/>
      <x:c r="X21" t="str">
        <x:f>IF(AND(M21="Sí",P21="Evaluado con evidencia",O21&lt;&gt;"",ISNUMBER(R21),R21&gt;0,ISNUMBER(S21),S21&gt;0,S21&lt;=R21,ISNUMBER(L21),L21&gt;=0,L21&lt;=S21,U21="Sí",V21="Sí",I21&lt;&gt;"",K21&lt;&gt;""),"Sí","")</x:f>
      </x:c>
    </x:row>
    <x:row r="22" ht="27" customHeight="1">
      <x:c r="A22" s="18" t="str">
        <x:v>ENT-017</x:v>
      </x:c>
      <x:c r="B22" s="18" t="str">
        <x:v>MOD-10</x:v>
      </x:c>
      <x:c r="C22" s="18" t="str">
        <x:v>NotificacionSistema</x:v>
      </x:c>
      <x:c r="D22" s="18" t="str">
        <x:v>NotificacionSistema</x:v>
      </x:c>
      <x:c r="E22" s="18" t="str">
        <x:v>notificaciones_sistema</x:v>
      </x:c>
      <x:c r="F22" s="18" t="str">
        <x:v>id (UUID)</x:v>
      </x:c>
      <x:c r="G22" s="18"/>
      <x:c r="H22" s="18" t="str">
        <x:v>No identificada</x:v>
      </x:c>
      <x:c r="I22" s="32"/>
      <x:c r="J22" s="32"/>
      <x:c r="K22" s="32"/>
      <x:c r="L22" s="32"/>
      <x:c r="M22" s="32" t="str">
        <x:v>Pendiente</x:v>
      </x:c>
      <x:c r="N22" s="18" t="str">
        <x:v>https://github.com/SebastianCM020/Sistema_Gestion_Integral_Constructora/blob/main/backend/prisma/schema.prisma</x:v>
      </x:c>
      <x:c r="O22" s="32"/>
      <x:c r="P22" s="18" t="str">
        <x:v>Inventariado</x:v>
      </x:c>
      <x:c r="Q22" s="18" t="str">
        <x:v>Definir duplicado de negocio y SQL según columnas reales.</x:v>
      </x:c>
      <x:c r="R22"/>
      <x:c r="S22"/>
      <x:c r="T22" t="str">
        <x:f>IF(OR(NOT(ISNUMBER(R22)),R22&lt;=0,NOT(ISNUMBER(S22)),S22&lt;0,S22&gt;R22),"",S22/R22*100)</x:f>
      </x:c>
      <x:c r="U22"/>
      <x:c r="V22"/>
      <x:c r="W22"/>
      <x:c r="X22" t="str">
        <x:f>IF(AND(M22="Sí",P22="Evaluado con evidencia",O22&lt;&gt;"",ISNUMBER(R22),R22&gt;0,ISNUMBER(S22),S22&gt;0,S22&lt;=R22,ISNUMBER(L22),L22&gt;=0,L22&lt;=S22,U22="Sí",V22="Sí",I22&lt;&gt;"",K22&lt;&gt;""),"Sí","")</x:f>
      </x:c>
    </x:row>
    <x:row r="23" ht="27" customHeight="1">
      <x:c r="A23" s="18" t="str">
        <x:v>ENT-018</x:v>
      </x:c>
      <x:c r="B23" s="18" t="str">
        <x:v>MOD-08</x:v>
      </x:c>
      <x:c r="C23" s="18" t="str">
        <x:v>ConsolidacionMensual</x:v>
      </x:c>
      <x:c r="D23" s="18" t="str">
        <x:v>ConsolidacionMensual</x:v>
      </x:c>
      <x:c r="E23" s="18" t="str">
        <x:v>consolidacion_mensual</x:v>
      </x:c>
      <x:c r="F23" s="18" t="str">
        <x:v>id (UUID)</x:v>
      </x:c>
      <x:c r="G23" s="18" t="str">
        <x:v>idCierre</x:v>
      </x:c>
      <x:c r="H23" s="18" t="str">
        <x:v>idCierre UNIQUE</x:v>
      </x:c>
      <x:c r="I23" s="32"/>
      <x:c r="J23" s="32"/>
      <x:c r="K23" s="32"/>
      <x:c r="L23" s="32"/>
      <x:c r="M23" s="32" t="str">
        <x:v>Pendiente</x:v>
      </x:c>
      <x:c r="N23" s="18" t="str">
        <x:v>https://github.com/SebastianCM020/Sistema_Gestion_Integral_Constructora/blob/main/backend/prisma/schema.prisma</x:v>
      </x:c>
      <x:c r="O23" s="32"/>
      <x:c r="P23" s="18" t="str">
        <x:v>Inventariado</x:v>
      </x:c>
      <x:c r="Q23" s="18" t="str">
        <x:v>Definir duplicado de negocio y SQL según columnas reales.</x:v>
      </x:c>
      <x:c r="R23"/>
      <x:c r="S23"/>
      <x:c r="T23" t="str">
        <x:f>IF(OR(NOT(ISNUMBER(R23)),R23&lt;=0,NOT(ISNUMBER(S23)),S23&lt;0,S23&gt;R23),"",S23/R23*100)</x:f>
      </x:c>
      <x:c r="U23"/>
      <x:c r="V23"/>
      <x:c r="W23"/>
      <x:c r="X23" t="str">
        <x:f>IF(AND(M23="Sí",P23="Evaluado con evidencia",O23&lt;&gt;"",ISNUMBER(R23),R23&gt;0,ISNUMBER(S23),S23&gt;0,S23&lt;=R23,ISNUMBER(L23),L23&gt;=0,L23&lt;=S23,U23="Sí",V23="Sí",I23&lt;&gt;"",K23&lt;&gt;""),"Sí","")</x:f>
      </x:c>
    </x:row>
    <x:row r="24" ht="27" customHeight="1">
      <x:c r="A24" s="18" t="str">
        <x:v>ENT-019</x:v>
      </x:c>
      <x:c r="B24" s="18" t="str">
        <x:v>MOD-08</x:v>
      </x:c>
      <x:c r="C24" s="18" t="str">
        <x:v>ValidacionPreCierre</x:v>
      </x:c>
      <x:c r="D24" s="18" t="str">
        <x:v>ValidacionPreCierre</x:v>
      </x:c>
      <x:c r="E24" s="18" t="str">
        <x:v>validacion_pre_cierre</x:v>
      </x:c>
      <x:c r="F24" s="18" t="str">
        <x:v>id (UUID)</x:v>
      </x:c>
      <x:c r="G24" s="18"/>
      <x:c r="H24" s="18" t="str">
        <x:v>No identificada</x:v>
      </x:c>
      <x:c r="I24" s="32"/>
      <x:c r="J24" s="32"/>
      <x:c r="K24" s="32"/>
      <x:c r="L24" s="32"/>
      <x:c r="M24" s="32" t="str">
        <x:v>Pendiente</x:v>
      </x:c>
      <x:c r="N24" s="18" t="str">
        <x:v>https://github.com/SebastianCM020/Sistema_Gestion_Integral_Constructora/blob/main/backend/prisma/schema.prisma</x:v>
      </x:c>
      <x:c r="O24" s="32"/>
      <x:c r="P24" s="18" t="str">
        <x:v>Inventariado</x:v>
      </x:c>
      <x:c r="Q24" s="18" t="str">
        <x:v>Definir duplicado de negocio y SQL según columnas reales.</x:v>
      </x:c>
      <x:c r="R24"/>
      <x:c r="S24"/>
      <x:c r="T24" t="str">
        <x:f>IF(OR(NOT(ISNUMBER(R24)),R24&lt;=0,NOT(ISNUMBER(S24)),S24&lt;0,S24&gt;R24),"",S24/R24*100)</x:f>
      </x:c>
      <x:c r="U24"/>
      <x:c r="V24"/>
      <x:c r="W24"/>
      <x:c r="X24" t="str">
        <x:f>IF(AND(M24="Sí",P24="Evaluado con evidencia",O24&lt;&gt;"",ISNUMBER(R24),R24&gt;0,ISNUMBER(S24),S24&gt;0,S24&lt;=R24,ISNUMBER(L24),L24&gt;=0,L24&lt;=S24,U24="Sí",V24="Sí",I24&lt;&gt;"",K24&lt;&gt;""),"Sí","")</x:f>
      </x:c>
    </x:row>
    <x:row r="25" ht="27" customHeight="1">
      <x:c r="A25" s="18"/>
      <x:c r="B25" s="18"/>
      <x:c r="C25" s="18"/>
      <x:c r="D25" s="18"/>
      <x:c r="E25" s="18"/>
      <x:c r="F25" s="18"/>
      <x:c r="G25" s="18"/>
      <x:c r="H25" s="18"/>
      <x:c r="I25" s="32"/>
      <x:c r="J25" s="32"/>
      <x:c r="K25" s="32"/>
      <x:c r="L25" s="32"/>
      <x:c r="M25" s="32"/>
      <x:c r="N25" s="18"/>
      <x:c r="O25" s="32"/>
      <x:c r="P25" s="18"/>
      <x:c r="Q25" s="18"/>
      <x:c r="T25" t="str">
        <x:f>IF(OR(NOT(ISNUMBER(R25)),R25&lt;=0,NOT(ISNUMBER(S25)),S25&lt;0,S25&gt;R25),"",S25/R25*100)</x:f>
      </x:c>
      <x:c r="U25"/>
      <x:c r="V25"/>
      <x:c r="W25"/>
      <x:c r="X25" t="str">
        <x:f>IF(AND(M25="Sí",P25="Evaluado con evidencia",O25&lt;&gt;"",ISNUMBER(R25),R25&gt;0,ISNUMBER(S25),S25&gt;0,S25&lt;=R25,ISNUMBER(L25),L25&gt;=0,L25&lt;=S25,U25="Sí",V25="Sí",I25&lt;&gt;"",K25&lt;&gt;""),"Sí","")</x:f>
      </x:c>
    </x:row>
    <x:row r="26" ht="27" customHeight="1">
      <x:c r="A26" s="18"/>
      <x:c r="B26" s="18"/>
      <x:c r="C26" s="18"/>
      <x:c r="D26" s="18"/>
      <x:c r="E26" s="18"/>
      <x:c r="F26" s="18"/>
      <x:c r="G26" s="18"/>
      <x:c r="H26" s="18"/>
      <x:c r="I26" s="32"/>
      <x:c r="J26" s="32"/>
      <x:c r="K26" s="32"/>
      <x:c r="L26" s="32"/>
      <x:c r="M26" s="32"/>
      <x:c r="N26" s="18"/>
      <x:c r="O26" s="32"/>
      <x:c r="P26" s="18"/>
      <x:c r="Q26" s="18"/>
      <x:c r="T26" t="str">
        <x:f>IF(OR(NOT(ISNUMBER(R26)),R26&lt;=0,NOT(ISNUMBER(S26)),S26&lt;0,S26&gt;R26),"",S26/R26*100)</x:f>
      </x:c>
      <x:c r="U26"/>
      <x:c r="V26"/>
      <x:c r="W26"/>
      <x:c r="X26" t="str">
        <x:f>IF(AND(M26="Sí",P26="Evaluado con evidencia",O26&lt;&gt;"",ISNUMBER(R26),R26&gt;0,ISNUMBER(S26),S26&gt;0,S26&lt;=R26,ISNUMBER(L26),L26&gt;=0,L26&lt;=S26,U26="Sí",V26="Sí",I26&lt;&gt;"",K26&lt;&gt;""),"Sí","")</x:f>
      </x:c>
    </x:row>
    <x:row r="27" ht="27" customHeight="1">
      <x:c r="A27" s="18"/>
      <x:c r="B27" s="18"/>
      <x:c r="C27" s="18"/>
      <x:c r="D27" s="18"/>
      <x:c r="E27" s="18"/>
      <x:c r="F27" s="18"/>
      <x:c r="G27" s="18"/>
      <x:c r="H27" s="18"/>
      <x:c r="I27" s="32"/>
      <x:c r="J27" s="32"/>
      <x:c r="K27" s="32"/>
      <x:c r="L27" s="32"/>
      <x:c r="M27" s="32"/>
      <x:c r="N27" s="18"/>
      <x:c r="O27" s="32"/>
      <x:c r="P27" s="18"/>
      <x:c r="Q27" s="18"/>
      <x:c r="T27" t="str">
        <x:f>IF(OR(NOT(ISNUMBER(R27)),R27&lt;=0,NOT(ISNUMBER(S27)),S27&lt;0,S27&gt;R27),"",S27/R27*100)</x:f>
      </x:c>
      <x:c r="U27"/>
      <x:c r="V27"/>
      <x:c r="W27"/>
      <x:c r="X27" t="str">
        <x:f>IF(AND(M27="Sí",P27="Evaluado con evidencia",O27&lt;&gt;"",ISNUMBER(R27),R27&gt;0,ISNUMBER(S27),S27&gt;0,S27&lt;=R27,ISNUMBER(L27),L27&gt;=0,L27&lt;=S27,U27="Sí",V27="Sí",I27&lt;&gt;"",K27&lt;&gt;""),"Sí","")</x:f>
      </x:c>
    </x:row>
    <x:row r="28" ht="27" customHeight="1">
      <x:c r="A28" s="18"/>
      <x:c r="B28" s="18"/>
      <x:c r="C28" s="18"/>
      <x:c r="D28" s="18"/>
      <x:c r="E28" s="18"/>
      <x:c r="F28" s="18"/>
      <x:c r="G28" s="18"/>
      <x:c r="H28" s="18"/>
      <x:c r="I28" s="32"/>
      <x:c r="J28" s="32"/>
      <x:c r="K28" s="32"/>
      <x:c r="L28" s="32"/>
      <x:c r="M28" s="32"/>
      <x:c r="N28" s="18"/>
      <x:c r="O28" s="32"/>
      <x:c r="P28" s="18"/>
      <x:c r="Q28" s="18"/>
      <x:c r="T28" t="str">
        <x:f>IF(OR(NOT(ISNUMBER(R28)),R28&lt;=0,NOT(ISNUMBER(S28)),S28&lt;0,S28&gt;R28),"",S28/R28*100)</x:f>
      </x:c>
      <x:c r="U28"/>
      <x:c r="V28"/>
      <x:c r="W28"/>
      <x:c r="X28" t="str">
        <x:f>IF(AND(M28="Sí",P28="Evaluado con evidencia",O28&lt;&gt;"",ISNUMBER(R28),R28&gt;0,ISNUMBER(S28),S28&gt;0,S28&lt;=R28,ISNUMBER(L28),L28&gt;=0,L28&lt;=S28,U28="Sí",V28="Sí",I28&lt;&gt;"",K28&lt;&gt;""),"Sí","")</x:f>
      </x:c>
    </x:row>
    <x:row r="29" ht="27" customHeight="1">
      <x:c r="A29" s="18"/>
      <x:c r="B29" s="18"/>
      <x:c r="C29" s="18"/>
      <x:c r="D29" s="18"/>
      <x:c r="E29" s="18"/>
      <x:c r="F29" s="18"/>
      <x:c r="G29" s="18"/>
      <x:c r="H29" s="18"/>
      <x:c r="I29" s="32"/>
      <x:c r="J29" s="32"/>
      <x:c r="K29" s="32"/>
      <x:c r="L29" s="32"/>
      <x:c r="M29" s="32"/>
      <x:c r="N29" s="18"/>
      <x:c r="O29" s="32"/>
      <x:c r="P29" s="18"/>
      <x:c r="Q29" s="18"/>
      <x:c r="T29" t="str">
        <x:f>IF(OR(NOT(ISNUMBER(R29)),R29&lt;=0,NOT(ISNUMBER(S29)),S29&lt;0,S29&gt;R29),"",S29/R29*100)</x:f>
      </x:c>
      <x:c r="U29"/>
      <x:c r="V29"/>
      <x:c r="W29"/>
      <x:c r="X29" t="str">
        <x:f>IF(AND(M29="Sí",P29="Evaluado con evidencia",O29&lt;&gt;"",ISNUMBER(R29),R29&gt;0,ISNUMBER(S29),S29&gt;0,S29&lt;=R29,ISNUMBER(L29),L29&gt;=0,L29&lt;=S29,U29="Sí",V29="Sí",I29&lt;&gt;"",K29&lt;&gt;""),"Sí","")</x:f>
      </x:c>
    </x:row>
    <x:row r="30" ht="27" customHeight="1">
      <x:c r="A30" s="18"/>
      <x:c r="B30" s="18"/>
      <x:c r="C30" s="18"/>
      <x:c r="D30" s="18"/>
      <x:c r="E30" s="18"/>
      <x:c r="F30" s="18"/>
      <x:c r="G30" s="18"/>
      <x:c r="H30" s="18"/>
      <x:c r="I30" s="32"/>
      <x:c r="J30" s="32"/>
      <x:c r="K30" s="32"/>
      <x:c r="L30" s="32"/>
      <x:c r="M30" s="32"/>
      <x:c r="N30" s="18"/>
      <x:c r="O30" s="32"/>
      <x:c r="P30" s="18"/>
      <x:c r="Q30" s="18"/>
      <x:c r="T30" t="str">
        <x:f>IF(OR(NOT(ISNUMBER(R30)),R30&lt;=0,NOT(ISNUMBER(S30)),S30&lt;0,S30&gt;R30),"",S30/R30*100)</x:f>
      </x:c>
      <x:c r="U30"/>
      <x:c r="V30"/>
      <x:c r="W30"/>
      <x:c r="X30" t="str">
        <x:f>IF(AND(M30="Sí",P30="Evaluado con evidencia",O30&lt;&gt;"",ISNUMBER(R30),R30&gt;0,ISNUMBER(S30),S30&gt;0,S30&lt;=R30,ISNUMBER(L30),L30&gt;=0,L30&lt;=S30,U30="Sí",V30="Sí",I30&lt;&gt;"",K30&lt;&gt;""),"Sí","")</x:f>
      </x:c>
    </x:row>
    <x:row r="31" ht="27" customHeight="1">
      <x:c r="A31" s="18"/>
      <x:c r="B31" s="18"/>
      <x:c r="C31" s="18"/>
      <x:c r="D31" s="18"/>
      <x:c r="E31" s="18"/>
      <x:c r="F31" s="18"/>
      <x:c r="G31" s="18"/>
      <x:c r="H31" s="18"/>
      <x:c r="I31" s="32"/>
      <x:c r="J31" s="32"/>
      <x:c r="K31" s="32"/>
      <x:c r="L31" s="32"/>
      <x:c r="M31" s="32"/>
      <x:c r="N31" s="18"/>
      <x:c r="O31" s="32"/>
      <x:c r="P31" s="18"/>
      <x:c r="Q31" s="18"/>
      <x:c r="T31" t="str">
        <x:f>IF(OR(NOT(ISNUMBER(R31)),R31&lt;=0,NOT(ISNUMBER(S31)),S31&lt;0,S31&gt;R31),"",S31/R31*100)</x:f>
      </x:c>
      <x:c r="U31"/>
      <x:c r="V31"/>
      <x:c r="W31"/>
      <x:c r="X31" t="str">
        <x:f>IF(AND(M31="Sí",P31="Evaluado con evidencia",O31&lt;&gt;"",ISNUMBER(R31),R31&gt;0,ISNUMBER(S31),S31&gt;0,S31&lt;=R31,ISNUMBER(L31),L31&gt;=0,L31&lt;=S31,U31="Sí",V31="Sí",I31&lt;&gt;"",K31&lt;&gt;""),"Sí","")</x:f>
      </x:c>
    </x:row>
    <x:row r="32" ht="27" customHeight="1">
      <x:c r="A32" s="18"/>
      <x:c r="B32" s="18"/>
      <x:c r="C32" s="18"/>
      <x:c r="D32" s="18"/>
      <x:c r="E32" s="18"/>
      <x:c r="F32" s="18"/>
      <x:c r="G32" s="18"/>
      <x:c r="H32" s="18"/>
      <x:c r="I32" s="32"/>
      <x:c r="J32" s="32"/>
      <x:c r="K32" s="32"/>
      <x:c r="L32" s="32"/>
      <x:c r="M32" s="32"/>
      <x:c r="N32" s="18"/>
      <x:c r="O32" s="32"/>
      <x:c r="P32" s="18"/>
      <x:c r="Q32" s="18"/>
      <x:c r="T32" t="str">
        <x:f>IF(OR(NOT(ISNUMBER(R32)),R32&lt;=0,NOT(ISNUMBER(S32)),S32&lt;0,S32&gt;R32),"",S32/R32*100)</x:f>
      </x:c>
      <x:c r="U32"/>
      <x:c r="V32"/>
      <x:c r="W32"/>
      <x:c r="X32" t="str">
        <x:f>IF(AND(M32="Sí",P32="Evaluado con evidencia",O32&lt;&gt;"",ISNUMBER(R32),R32&gt;0,ISNUMBER(S32),S32&gt;0,S32&lt;=R32,ISNUMBER(L32),L32&gt;=0,L32&lt;=S32,U32="Sí",V32="Sí",I32&lt;&gt;"",K32&lt;&gt;""),"Sí","")</x:f>
      </x:c>
    </x:row>
    <x:row r="33" ht="27" customHeight="1">
      <x:c r="A33" s="18"/>
      <x:c r="B33" s="18"/>
      <x:c r="C33" s="18"/>
      <x:c r="D33" s="18"/>
      <x:c r="E33" s="18"/>
      <x:c r="F33" s="18"/>
      <x:c r="G33" s="18"/>
      <x:c r="H33" s="18"/>
      <x:c r="I33" s="32"/>
      <x:c r="J33" s="32"/>
      <x:c r="K33" s="32"/>
      <x:c r="L33" s="32"/>
      <x:c r="M33" s="32"/>
      <x:c r="N33" s="18"/>
      <x:c r="O33" s="32"/>
      <x:c r="P33" s="18"/>
      <x:c r="Q33" s="18"/>
      <x:c r="T33" t="str">
        <x:f>IF(OR(NOT(ISNUMBER(R33)),R33&lt;=0,NOT(ISNUMBER(S33)),S33&lt;0,S33&gt;R33),"",S33/R33*100)</x:f>
      </x:c>
      <x:c r="U33"/>
      <x:c r="V33"/>
      <x:c r="W33"/>
      <x:c r="X33" t="str">
        <x:f>IF(AND(M33="Sí",P33="Evaluado con evidencia",O33&lt;&gt;"",ISNUMBER(R33),R33&gt;0,ISNUMBER(S33),S33&gt;0,S33&lt;=R33,ISNUMBER(L33),L33&gt;=0,L33&lt;=S33,U33="Sí",V33="Sí",I33&lt;&gt;"",K33&lt;&gt;""),"Sí","")</x:f>
      </x:c>
    </x:row>
    <x:row r="34" ht="27" customHeight="1">
      <x:c r="A34" s="18"/>
      <x:c r="B34" s="18"/>
      <x:c r="C34" s="18"/>
      <x:c r="D34" s="18"/>
      <x:c r="E34" s="18"/>
      <x:c r="F34" s="18"/>
      <x:c r="G34" s="18"/>
      <x:c r="H34" s="18"/>
      <x:c r="I34" s="32"/>
      <x:c r="J34" s="32"/>
      <x:c r="K34" s="32"/>
      <x:c r="L34" s="32"/>
      <x:c r="M34" s="32"/>
      <x:c r="N34" s="18"/>
      <x:c r="O34" s="32"/>
      <x:c r="P34" s="18"/>
      <x:c r="Q34" s="18"/>
      <x:c r="T34" t="str">
        <x:f>IF(OR(NOT(ISNUMBER(R34)),R34&lt;=0,NOT(ISNUMBER(S34)),S34&lt;0,S34&gt;R34),"",S34/R34*100)</x:f>
      </x:c>
      <x:c r="U34"/>
      <x:c r="V34"/>
      <x:c r="W34"/>
      <x:c r="X34" t="str">
        <x:f>IF(AND(M34="Sí",P34="Evaluado con evidencia",O34&lt;&gt;"",ISNUMBER(R34),R34&gt;0,ISNUMBER(S34),S34&gt;0,S34&lt;=R34,ISNUMBER(L34),L34&gt;=0,L34&lt;=S34,U34="Sí",V34="Sí",I34&lt;&gt;"",K34&lt;&gt;""),"Sí","")</x:f>
      </x:c>
    </x:row>
    <x:row r="35" ht="27" customHeight="1">
      <x:c r="A35" s="18"/>
      <x:c r="B35" s="18"/>
      <x:c r="C35" s="18"/>
      <x:c r="D35" s="18"/>
      <x:c r="E35" s="18"/>
      <x:c r="F35" s="18"/>
      <x:c r="G35" s="18"/>
      <x:c r="H35" s="18"/>
      <x:c r="I35" s="32"/>
      <x:c r="J35" s="32"/>
      <x:c r="K35" s="32"/>
      <x:c r="L35" s="32"/>
      <x:c r="M35" s="32"/>
      <x:c r="N35" s="18"/>
      <x:c r="O35" s="32"/>
      <x:c r="P35" s="18"/>
      <x:c r="Q35" s="18"/>
      <x:c r="T35" t="str">
        <x:f>IF(OR(NOT(ISNUMBER(R35)),R35&lt;=0,NOT(ISNUMBER(S35)),S35&lt;0,S35&gt;R35),"",S35/R35*100)</x:f>
      </x:c>
      <x:c r="U35"/>
      <x:c r="V35"/>
      <x:c r="W35"/>
      <x:c r="X35" t="str">
        <x:f>IF(AND(M35="Sí",P35="Evaluado con evidencia",O35&lt;&gt;"",ISNUMBER(R35),R35&gt;0,ISNUMBER(S35),S35&gt;0,S35&lt;=R35,ISNUMBER(L35),L35&gt;=0,L35&lt;=S35,U35="Sí",V35="Sí",I35&lt;&gt;"",K35&lt;&gt;""),"Sí","")</x:f>
      </x:c>
    </x:row>
    <x:row r="36" ht="27" customHeight="1">
      <x:c r="A36" s="18"/>
      <x:c r="B36" s="18"/>
      <x:c r="C36" s="18"/>
      <x:c r="D36" s="18"/>
      <x:c r="E36" s="18"/>
      <x:c r="F36" s="18"/>
      <x:c r="G36" s="18"/>
      <x:c r="H36" s="18"/>
      <x:c r="I36" s="32"/>
      <x:c r="J36" s="32"/>
      <x:c r="K36" s="32"/>
      <x:c r="L36" s="32"/>
      <x:c r="M36" s="32"/>
      <x:c r="N36" s="18"/>
      <x:c r="O36" s="32"/>
      <x:c r="P36" s="18"/>
      <x:c r="Q36" s="18"/>
      <x:c r="T36" t="str">
        <x:f>IF(OR(NOT(ISNUMBER(R36)),R36&lt;=0,NOT(ISNUMBER(S36)),S36&lt;0,S36&gt;R36),"",S36/R36*100)</x:f>
      </x:c>
      <x:c r="U36"/>
      <x:c r="V36"/>
      <x:c r="W36"/>
      <x:c r="X36" t="str">
        <x:f>IF(AND(M36="Sí",P36="Evaluado con evidencia",O36&lt;&gt;"",ISNUMBER(R36),R36&gt;0,ISNUMBER(S36),S36&gt;0,S36&lt;=R36,ISNUMBER(L36),L36&gt;=0,L36&lt;=S36,U36="Sí",V36="Sí",I36&lt;&gt;"",K36&lt;&gt;""),"Sí","")</x:f>
      </x:c>
    </x:row>
    <x:row r="37" ht="27" customHeight="1">
      <x:c r="A37" s="18"/>
      <x:c r="B37" s="18"/>
      <x:c r="C37" s="18"/>
      <x:c r="D37" s="18"/>
      <x:c r="E37" s="18"/>
      <x:c r="F37" s="18"/>
      <x:c r="G37" s="18"/>
      <x:c r="H37" s="18"/>
      <x:c r="I37" s="32"/>
      <x:c r="J37" s="32"/>
      <x:c r="K37" s="32"/>
      <x:c r="L37" s="32"/>
      <x:c r="M37" s="32"/>
      <x:c r="N37" s="18"/>
      <x:c r="O37" s="32"/>
      <x:c r="P37" s="18"/>
      <x:c r="Q37" s="18"/>
      <x:c r="T37" t="str">
        <x:f>IF(OR(NOT(ISNUMBER(R37)),R37&lt;=0,NOT(ISNUMBER(S37)),S37&lt;0,S37&gt;R37),"",S37/R37*100)</x:f>
      </x:c>
      <x:c r="U37"/>
      <x:c r="V37"/>
      <x:c r="W37"/>
      <x:c r="X37" t="str">
        <x:f>IF(AND(M37="Sí",P37="Evaluado con evidencia",O37&lt;&gt;"",ISNUMBER(R37),R37&gt;0,ISNUMBER(S37),S37&gt;0,S37&lt;=R37,ISNUMBER(L37),L37&gt;=0,L37&lt;=S37,U37="Sí",V37="Sí",I37&lt;&gt;"",K37&lt;&gt;""),"Sí","")</x:f>
      </x:c>
    </x:row>
    <x:row r="38" ht="27" customHeight="1">
      <x:c r="A38" s="18"/>
      <x:c r="B38" s="18"/>
      <x:c r="C38" s="18"/>
      <x:c r="D38" s="18"/>
      <x:c r="E38" s="18"/>
      <x:c r="F38" s="18"/>
      <x:c r="G38" s="18"/>
      <x:c r="H38" s="18"/>
      <x:c r="I38" s="32"/>
      <x:c r="J38" s="32"/>
      <x:c r="K38" s="32"/>
      <x:c r="L38" s="32"/>
      <x:c r="M38" s="32"/>
      <x:c r="N38" s="18"/>
      <x:c r="O38" s="32"/>
      <x:c r="P38" s="18"/>
      <x:c r="Q38" s="18"/>
      <x:c r="T38" t="str">
        <x:f>IF(OR(NOT(ISNUMBER(R38)),R38&lt;=0,NOT(ISNUMBER(S38)),S38&lt;0,S38&gt;R38),"",S38/R38*100)</x:f>
      </x:c>
      <x:c r="U38"/>
      <x:c r="V38"/>
      <x:c r="W38"/>
      <x:c r="X38" t="str">
        <x:f>IF(AND(M38="Sí",P38="Evaluado con evidencia",O38&lt;&gt;"",ISNUMBER(R38),R38&gt;0,ISNUMBER(S38),S38&gt;0,S38&lt;=R38,ISNUMBER(L38),L38&gt;=0,L38&lt;=S38,U38="Sí",V38="Sí",I38&lt;&gt;"",K38&lt;&gt;""),"Sí","")</x:f>
      </x:c>
    </x:row>
    <x:row r="39" ht="27" customHeight="1">
      <x:c r="A39" s="18"/>
      <x:c r="B39" s="18"/>
      <x:c r="C39" s="18"/>
      <x:c r="D39" s="18"/>
      <x:c r="E39" s="18"/>
      <x:c r="F39" s="18"/>
      <x:c r="G39" s="18"/>
      <x:c r="H39" s="18"/>
      <x:c r="I39" s="32"/>
      <x:c r="J39" s="32"/>
      <x:c r="K39" s="32"/>
      <x:c r="L39" s="32"/>
      <x:c r="M39" s="32"/>
      <x:c r="N39" s="18"/>
      <x:c r="O39" s="32"/>
      <x:c r="P39" s="18"/>
      <x:c r="Q39" s="18"/>
      <x:c r="T39" t="str">
        <x:f>IF(OR(NOT(ISNUMBER(R39)),R39&lt;=0,NOT(ISNUMBER(S39)),S39&lt;0,S39&gt;R39),"",S39/R39*100)</x:f>
      </x:c>
      <x:c r="U39"/>
      <x:c r="V39"/>
      <x:c r="W39"/>
      <x:c r="X39" t="str">
        <x:f>IF(AND(M39="Sí",P39="Evaluado con evidencia",O39&lt;&gt;"",ISNUMBER(R39),R39&gt;0,ISNUMBER(S39),S39&gt;0,S39&lt;=R39,ISNUMBER(L39),L39&gt;=0,L39&lt;=S39,U39="Sí",V39="Sí",I39&lt;&gt;"",K39&lt;&gt;""),"Sí","")</x:f>
      </x:c>
    </x:row>
    <x:row r="40" ht="27" customHeight="1">
      <x:c r="A40" s="18"/>
      <x:c r="B40" s="18"/>
      <x:c r="C40" s="18"/>
      <x:c r="D40" s="18"/>
      <x:c r="E40" s="18"/>
      <x:c r="F40" s="18"/>
      <x:c r="G40" s="18"/>
      <x:c r="H40" s="18"/>
      <x:c r="I40" s="32"/>
      <x:c r="J40" s="32"/>
      <x:c r="K40" s="32"/>
      <x:c r="L40" s="32"/>
      <x:c r="M40" s="32"/>
      <x:c r="N40" s="18"/>
      <x:c r="O40" s="32"/>
      <x:c r="P40" s="18"/>
      <x:c r="Q40" s="18"/>
      <x:c r="T40" t="str">
        <x:f>IF(OR(NOT(ISNUMBER(R40)),R40&lt;=0,NOT(ISNUMBER(S40)),S40&lt;0,S40&gt;R40),"",S40/R40*100)</x:f>
      </x:c>
      <x:c r="U40"/>
      <x:c r="V40"/>
      <x:c r="W40"/>
      <x:c r="X40" t="str">
        <x:f>IF(AND(M40="Sí",P40="Evaluado con evidencia",O40&lt;&gt;"",ISNUMBER(R40),R40&gt;0,ISNUMBER(S40),S40&gt;0,S40&lt;=R40,ISNUMBER(L40),L40&gt;=0,L40&lt;=S40,U40="Sí",V40="Sí",I40&lt;&gt;"",K40&lt;&gt;""),"Sí","")</x:f>
      </x:c>
    </x:row>
    <x:row r="41" ht="27" customHeight="1">
      <x:c r="A41" s="18"/>
      <x:c r="B41" s="18"/>
      <x:c r="C41" s="18"/>
      <x:c r="D41" s="18"/>
      <x:c r="E41" s="18"/>
      <x:c r="F41" s="18"/>
      <x:c r="G41" s="18"/>
      <x:c r="H41" s="18"/>
      <x:c r="I41" s="32"/>
      <x:c r="J41" s="32"/>
      <x:c r="K41" s="32"/>
      <x:c r="L41" s="32"/>
      <x:c r="M41" s="32"/>
      <x:c r="N41" s="18"/>
      <x:c r="O41" s="32"/>
      <x:c r="P41" s="18"/>
      <x:c r="Q41" s="18"/>
      <x:c r="T41" t="str">
        <x:f>IF(OR(NOT(ISNUMBER(R41)),R41&lt;=0,NOT(ISNUMBER(S41)),S41&lt;0,S41&gt;R41),"",S41/R41*100)</x:f>
      </x:c>
      <x:c r="U41"/>
      <x:c r="V41"/>
      <x:c r="W41"/>
      <x:c r="X41" t="str">
        <x:f>IF(AND(M41="Sí",P41="Evaluado con evidencia",O41&lt;&gt;"",ISNUMBER(R41),R41&gt;0,ISNUMBER(S41),S41&gt;0,S41&lt;=R41,ISNUMBER(L41),L41&gt;=0,L41&lt;=S41,U41="Sí",V41="Sí",I41&lt;&gt;"",K41&lt;&gt;""),"Sí","")</x:f>
      </x:c>
    </x:row>
    <x:row r="42" ht="27" customHeight="1">
      <x:c r="A42" s="18"/>
      <x:c r="B42" s="18"/>
      <x:c r="C42" s="18"/>
      <x:c r="D42" s="18"/>
      <x:c r="E42" s="18"/>
      <x:c r="F42" s="18"/>
      <x:c r="G42" s="18"/>
      <x:c r="H42" s="18"/>
      <x:c r="I42" s="32"/>
      <x:c r="J42" s="32"/>
      <x:c r="K42" s="32"/>
      <x:c r="L42" s="32"/>
      <x:c r="M42" s="32"/>
      <x:c r="N42" s="18"/>
      <x:c r="O42" s="32"/>
      <x:c r="P42" s="18"/>
      <x:c r="Q42" s="18"/>
      <x:c r="T42" t="str">
        <x:f>IF(OR(NOT(ISNUMBER(R42)),R42&lt;=0,NOT(ISNUMBER(S42)),S42&lt;0,S42&gt;R42),"",S42/R42*100)</x:f>
      </x:c>
      <x:c r="U42"/>
      <x:c r="V42"/>
      <x:c r="W42"/>
      <x:c r="X42" t="str">
        <x:f>IF(AND(M42="Sí",P42="Evaluado con evidencia",O42&lt;&gt;"",ISNUMBER(R42),R42&gt;0,ISNUMBER(S42),S42&gt;0,S42&lt;=R42,ISNUMBER(L42),L42&gt;=0,L42&lt;=S42,U42="Sí",V42="Sí",I42&lt;&gt;"",K42&lt;&gt;""),"Sí","")</x:f>
      </x:c>
    </x:row>
    <x:row r="43" ht="27" customHeight="1">
      <x:c r="A43" s="18"/>
      <x:c r="B43" s="18"/>
      <x:c r="C43" s="18"/>
      <x:c r="D43" s="18"/>
      <x:c r="E43" s="18"/>
      <x:c r="F43" s="18"/>
      <x:c r="G43" s="18"/>
      <x:c r="H43" s="18"/>
      <x:c r="I43" s="32"/>
      <x:c r="J43" s="32"/>
      <x:c r="K43" s="32"/>
      <x:c r="L43" s="32"/>
      <x:c r="M43" s="32"/>
      <x:c r="N43" s="18"/>
      <x:c r="O43" s="32"/>
      <x:c r="P43" s="18"/>
      <x:c r="Q43" s="18"/>
      <x:c r="T43" t="str">
        <x:f>IF(OR(NOT(ISNUMBER(R43)),R43&lt;=0,NOT(ISNUMBER(S43)),S43&lt;0,S43&gt;R43),"",S43/R43*100)</x:f>
      </x:c>
      <x:c r="U43"/>
      <x:c r="V43"/>
      <x:c r="W43"/>
      <x:c r="X43" t="str">
        <x:f>IF(AND(M43="Sí",P43="Evaluado con evidencia",O43&lt;&gt;"",ISNUMBER(R43),R43&gt;0,ISNUMBER(S43),S43&gt;0,S43&lt;=R43,ISNUMBER(L43),L43&gt;=0,L43&lt;=S43,U43="Sí",V43="Sí",I43&lt;&gt;"",K43&lt;&gt;""),"Sí","")</x:f>
      </x:c>
    </x:row>
    <x:row r="44" ht="27" customHeight="1">
      <x:c r="A44" s="18"/>
      <x:c r="B44" s="18"/>
      <x:c r="C44" s="18"/>
      <x:c r="D44" s="18"/>
      <x:c r="E44" s="18"/>
      <x:c r="F44" s="18"/>
      <x:c r="G44" s="18"/>
      <x:c r="H44" s="18"/>
      <x:c r="I44" s="32"/>
      <x:c r="J44" s="32"/>
      <x:c r="K44" s="32"/>
      <x:c r="L44" s="32"/>
      <x:c r="M44" s="32"/>
      <x:c r="N44" s="18"/>
      <x:c r="O44" s="32"/>
      <x:c r="P44" s="18"/>
      <x:c r="Q44" s="18"/>
      <x:c r="T44" t="str">
        <x:f>IF(OR(NOT(ISNUMBER(R44)),R44&lt;=0,NOT(ISNUMBER(S44)),S44&lt;0,S44&gt;R44),"",S44/R44*100)</x:f>
      </x:c>
      <x:c r="U44"/>
      <x:c r="V44"/>
      <x:c r="W44"/>
      <x:c r="X44" t="str">
        <x:f>IF(AND(M44="Sí",P44="Evaluado con evidencia",O44&lt;&gt;"",ISNUMBER(R44),R44&gt;0,ISNUMBER(S44),S44&gt;0,S44&lt;=R44,ISNUMBER(L44),L44&gt;=0,L44&lt;=S44,U44="Sí",V44="Sí",I44&lt;&gt;"",K44&lt;&gt;""),"Sí","")</x:f>
      </x:c>
    </x:row>
    <x:row r="45" ht="27" customHeight="1">
      <x:c r="A45" s="18"/>
      <x:c r="B45" s="18"/>
      <x:c r="C45" s="18"/>
      <x:c r="D45" s="18"/>
      <x:c r="E45" s="18"/>
      <x:c r="F45" s="18"/>
      <x:c r="G45" s="18"/>
      <x:c r="H45" s="18"/>
      <x:c r="I45" s="32"/>
      <x:c r="J45" s="32"/>
      <x:c r="K45" s="32"/>
      <x:c r="L45" s="32"/>
      <x:c r="M45" s="32"/>
      <x:c r="N45" s="18"/>
      <x:c r="O45" s="32"/>
      <x:c r="P45" s="18"/>
      <x:c r="Q45" s="18"/>
      <x:c r="T45" t="str">
        <x:f>IF(OR(NOT(ISNUMBER(R45)),R45&lt;=0,NOT(ISNUMBER(S45)),S45&lt;0,S45&gt;R45),"",S45/R45*100)</x:f>
      </x:c>
      <x:c r="U45"/>
      <x:c r="V45"/>
      <x:c r="W45"/>
      <x:c r="X45" t="str">
        <x:f>IF(AND(M45="Sí",P45="Evaluado con evidencia",O45&lt;&gt;"",ISNUMBER(R45),R45&gt;0,ISNUMBER(S45),S45&gt;0,S45&lt;=R45,ISNUMBER(L45),L45&gt;=0,L45&lt;=S45,U45="Sí",V45="Sí",I45&lt;&gt;"",K45&lt;&gt;""),"Sí","")</x:f>
      </x:c>
    </x:row>
    <x:row r="46" ht="27" customHeight="1">
      <x:c r="A46" s="18"/>
      <x:c r="B46" s="18"/>
      <x:c r="C46" s="18"/>
      <x:c r="D46" s="18"/>
      <x:c r="E46" s="18"/>
      <x:c r="F46" s="18"/>
      <x:c r="G46" s="18"/>
      <x:c r="H46" s="18"/>
      <x:c r="I46" s="32"/>
      <x:c r="J46" s="32"/>
      <x:c r="K46" s="32"/>
      <x:c r="L46" s="32"/>
      <x:c r="M46" s="32"/>
      <x:c r="N46" s="18"/>
      <x:c r="O46" s="32"/>
      <x:c r="P46" s="18"/>
      <x:c r="Q46" s="18"/>
      <x:c r="T46" t="str">
        <x:f>IF(OR(NOT(ISNUMBER(R46)),R46&lt;=0,NOT(ISNUMBER(S46)),S46&lt;0,S46&gt;R46),"",S46/R46*100)</x:f>
      </x:c>
      <x:c r="U46"/>
      <x:c r="V46"/>
      <x:c r="W46"/>
      <x:c r="X46" t="str">
        <x:f>IF(AND(M46="Sí",P46="Evaluado con evidencia",O46&lt;&gt;"",ISNUMBER(R46),R46&gt;0,ISNUMBER(S46),S46&gt;0,S46&lt;=R46,ISNUMBER(L46),L46&gt;=0,L46&lt;=S46,U46="Sí",V46="Sí",I46&lt;&gt;"",K46&lt;&gt;""),"Sí","")</x:f>
      </x:c>
    </x:row>
    <x:row r="47" ht="27" customHeight="1">
      <x:c r="A47" s="18"/>
      <x:c r="B47" s="18"/>
      <x:c r="C47" s="18"/>
      <x:c r="D47" s="18"/>
      <x:c r="E47" s="18"/>
      <x:c r="F47" s="18"/>
      <x:c r="G47" s="18"/>
      <x:c r="H47" s="18"/>
      <x:c r="I47" s="32"/>
      <x:c r="J47" s="32"/>
      <x:c r="K47" s="32"/>
      <x:c r="L47" s="32"/>
      <x:c r="M47" s="32"/>
      <x:c r="N47" s="18"/>
      <x:c r="O47" s="32"/>
      <x:c r="P47" s="18"/>
      <x:c r="Q47" s="18"/>
      <x:c r="T47" t="str">
        <x:f>IF(OR(NOT(ISNUMBER(R47)),R47&lt;=0,NOT(ISNUMBER(S47)),S47&lt;0,S47&gt;R47),"",S47/R47*100)</x:f>
      </x:c>
      <x:c r="U47"/>
      <x:c r="V47"/>
      <x:c r="W47"/>
      <x:c r="X47" t="str">
        <x:f>IF(AND(M47="Sí",P47="Evaluado con evidencia",O47&lt;&gt;"",ISNUMBER(R47),R47&gt;0,ISNUMBER(S47),S47&gt;0,S47&lt;=R47,ISNUMBER(L47),L47&gt;=0,L47&lt;=S47,U47="Sí",V47="Sí",I47&lt;&gt;"",K47&lt;&gt;""),"Sí","")</x:f>
      </x:c>
    </x:row>
    <x:row r="48" ht="27" customHeight="1">
      <x:c r="A48" s="18"/>
      <x:c r="B48" s="18"/>
      <x:c r="C48" s="18"/>
      <x:c r="D48" s="18"/>
      <x:c r="E48" s="18"/>
      <x:c r="F48" s="18"/>
      <x:c r="G48" s="18"/>
      <x:c r="H48" s="18"/>
      <x:c r="I48" s="32"/>
      <x:c r="J48" s="32"/>
      <x:c r="K48" s="32"/>
      <x:c r="L48" s="32"/>
      <x:c r="M48" s="32"/>
      <x:c r="N48" s="18"/>
      <x:c r="O48" s="32"/>
      <x:c r="P48" s="18"/>
      <x:c r="Q48" s="18"/>
      <x:c r="T48" t="str">
        <x:f>IF(OR(NOT(ISNUMBER(R48)),R48&lt;=0,NOT(ISNUMBER(S48)),S48&lt;0,S48&gt;R48),"",S48/R48*100)</x:f>
      </x:c>
      <x:c r="U48"/>
      <x:c r="V48"/>
      <x:c r="W48"/>
      <x:c r="X48" t="str">
        <x:f>IF(AND(M48="Sí",P48="Evaluado con evidencia",O48&lt;&gt;"",ISNUMBER(R48),R48&gt;0,ISNUMBER(S48),S48&gt;0,S48&lt;=R48,ISNUMBER(L48),L48&gt;=0,L48&lt;=S48,U48="Sí",V48="Sí",I48&lt;&gt;"",K48&lt;&gt;""),"Sí","")</x:f>
      </x:c>
    </x:row>
    <x:row r="49" ht="27" customHeight="1">
      <x:c r="A49" s="18"/>
      <x:c r="B49" s="18"/>
      <x:c r="C49" s="18"/>
      <x:c r="D49" s="18"/>
      <x:c r="E49" s="18"/>
      <x:c r="F49" s="18"/>
      <x:c r="G49" s="18"/>
      <x:c r="H49" s="18"/>
      <x:c r="I49" s="32"/>
      <x:c r="J49" s="32"/>
      <x:c r="K49" s="32"/>
      <x:c r="L49" s="32"/>
      <x:c r="M49" s="32"/>
      <x:c r="N49" s="18"/>
      <x:c r="O49" s="32"/>
      <x:c r="P49" s="18"/>
      <x:c r="Q49" s="18"/>
      <x:c r="T49" t="str">
        <x:f>IF(OR(NOT(ISNUMBER(R49)),R49&lt;=0,NOT(ISNUMBER(S49)),S49&lt;0,S49&gt;R49),"",S49/R49*100)</x:f>
      </x:c>
      <x:c r="U49"/>
      <x:c r="V49"/>
      <x:c r="W49"/>
      <x:c r="X49" t="str">
        <x:f>IF(AND(M49="Sí",P49="Evaluado con evidencia",O49&lt;&gt;"",ISNUMBER(R49),R49&gt;0,ISNUMBER(S49),S49&gt;0,S49&lt;=R49,ISNUMBER(L49),L49&gt;=0,L49&lt;=S49,U49="Sí",V49="Sí",I49&lt;&gt;"",K49&lt;&gt;""),"Sí","")</x:f>
      </x:c>
    </x:row>
    <x:row r="50" ht="27" customHeight="1">
      <x:c r="A50" s="18"/>
      <x:c r="B50" s="18"/>
      <x:c r="C50" s="18"/>
      <x:c r="D50" s="18"/>
      <x:c r="E50" s="18"/>
      <x:c r="F50" s="18"/>
      <x:c r="G50" s="18"/>
      <x:c r="H50" s="18"/>
      <x:c r="I50" s="32"/>
      <x:c r="J50" s="32"/>
      <x:c r="K50" s="32"/>
      <x:c r="L50" s="32"/>
      <x:c r="M50" s="32"/>
      <x:c r="N50" s="18"/>
      <x:c r="O50" s="32"/>
      <x:c r="P50" s="18"/>
      <x:c r="Q50" s="18"/>
      <x:c r="T50" t="str">
        <x:f>IF(OR(NOT(ISNUMBER(R50)),R50&lt;=0,NOT(ISNUMBER(S50)),S50&lt;0,S50&gt;R50),"",S50/R50*100)</x:f>
      </x:c>
      <x:c r="U50"/>
      <x:c r="V50"/>
      <x:c r="W50"/>
      <x:c r="X50" t="str">
        <x:f>IF(AND(M50="Sí",P50="Evaluado con evidencia",O50&lt;&gt;"",ISNUMBER(R50),R50&gt;0,ISNUMBER(S50),S50&gt;0,S50&lt;=R50,ISNUMBER(L50),L50&gt;=0,L50&lt;=S50,U50="Sí",V50="Sí",I50&lt;&gt;"",K50&lt;&gt;""),"Sí","")</x:f>
      </x:c>
    </x:row>
    <x:row r="51" ht="27" customHeight="1">
      <x:c r="A51" s="18"/>
      <x:c r="B51" s="18"/>
      <x:c r="C51" s="18"/>
      <x:c r="D51" s="18"/>
      <x:c r="E51" s="18"/>
      <x:c r="F51" s="18"/>
      <x:c r="G51" s="18"/>
      <x:c r="H51" s="18"/>
      <x:c r="I51" s="32"/>
      <x:c r="J51" s="32"/>
      <x:c r="K51" s="32"/>
      <x:c r="L51" s="32"/>
      <x:c r="M51" s="32"/>
      <x:c r="N51" s="18"/>
      <x:c r="O51" s="32"/>
      <x:c r="P51" s="18"/>
      <x:c r="Q51" s="18"/>
      <x:c r="T51" t="str">
        <x:f>IF(OR(NOT(ISNUMBER(R51)),R51&lt;=0,NOT(ISNUMBER(S51)),S51&lt;0,S51&gt;R51),"",S51/R51*100)</x:f>
      </x:c>
      <x:c r="U51"/>
      <x:c r="V51"/>
      <x:c r="W51"/>
      <x:c r="X51" t="str">
        <x:f>IF(AND(M51="Sí",P51="Evaluado con evidencia",O51&lt;&gt;"",ISNUMBER(R51),R51&gt;0,ISNUMBER(S51),S51&gt;0,S51&lt;=R51,ISNUMBER(L51),L51&gt;=0,L51&lt;=S51,U51="Sí",V51="Sí",I51&lt;&gt;"",K51&lt;&gt;""),"Sí","")</x:f>
      </x:c>
    </x:row>
    <x:row r="52" ht="27" customHeight="1">
      <x:c r="A52" s="18"/>
      <x:c r="B52" s="18"/>
      <x:c r="C52" s="18"/>
      <x:c r="D52" s="18"/>
      <x:c r="E52" s="18"/>
      <x:c r="F52" s="18"/>
      <x:c r="G52" s="18"/>
      <x:c r="H52" s="18"/>
      <x:c r="I52" s="32"/>
      <x:c r="J52" s="32"/>
      <x:c r="K52" s="32"/>
      <x:c r="L52" s="32"/>
      <x:c r="M52" s="32"/>
      <x:c r="N52" s="18"/>
      <x:c r="O52" s="32"/>
      <x:c r="P52" s="18"/>
      <x:c r="Q52" s="18"/>
      <x:c r="T52" t="str">
        <x:f>IF(OR(NOT(ISNUMBER(R52)),R52&lt;=0,NOT(ISNUMBER(S52)),S52&lt;0,S52&gt;R52),"",S52/R52*100)</x:f>
      </x:c>
      <x:c r="U52"/>
      <x:c r="V52"/>
      <x:c r="W52"/>
      <x:c r="X52" t="str">
        <x:f>IF(AND(M52="Sí",P52="Evaluado con evidencia",O52&lt;&gt;"",ISNUMBER(R52),R52&gt;0,ISNUMBER(S52),S52&gt;0,S52&lt;=R52,ISNUMBER(L52),L52&gt;=0,L52&lt;=S52,U52="Sí",V52="Sí",I52&lt;&gt;"",K52&lt;&gt;""),"Sí","")</x:f>
      </x:c>
    </x:row>
    <x:row r="53" ht="27" customHeight="1">
      <x:c r="A53" s="18"/>
      <x:c r="B53" s="18"/>
      <x:c r="C53" s="18"/>
      <x:c r="D53" s="18"/>
      <x:c r="E53" s="18"/>
      <x:c r="F53" s="18"/>
      <x:c r="G53" s="18"/>
      <x:c r="H53" s="18"/>
      <x:c r="I53" s="32"/>
      <x:c r="J53" s="32"/>
      <x:c r="K53" s="32"/>
      <x:c r="L53" s="32"/>
      <x:c r="M53" s="32"/>
      <x:c r="N53" s="18"/>
      <x:c r="O53" s="32"/>
      <x:c r="P53" s="18"/>
      <x:c r="Q53" s="18"/>
      <x:c r="T53" t="str">
        <x:f>IF(OR(NOT(ISNUMBER(R53)),R53&lt;=0,NOT(ISNUMBER(S53)),S53&lt;0,S53&gt;R53),"",S53/R53*100)</x:f>
      </x:c>
      <x:c r="U53"/>
      <x:c r="V53"/>
      <x:c r="W53"/>
      <x:c r="X53" t="str">
        <x:f>IF(AND(M53="Sí",P53="Evaluado con evidencia",O53&lt;&gt;"",ISNUMBER(R53),R53&gt;0,ISNUMBER(S53),S53&gt;0,S53&lt;=R53,ISNUMBER(L53),L53&gt;=0,L53&lt;=S53,U53="Sí",V53="Sí",I53&lt;&gt;"",K53&lt;&gt;""),"Sí","")</x:f>
      </x:c>
    </x:row>
    <x:row r="54" ht="27" customHeight="1">
      <x:c r="A54" s="18"/>
      <x:c r="B54" s="18"/>
      <x:c r="C54" s="18"/>
      <x:c r="D54" s="18"/>
      <x:c r="E54" s="18"/>
      <x:c r="F54" s="18"/>
      <x:c r="G54" s="18"/>
      <x:c r="H54" s="18"/>
      <x:c r="I54" s="32"/>
      <x:c r="J54" s="32"/>
      <x:c r="K54" s="32"/>
      <x:c r="L54" s="32"/>
      <x:c r="M54" s="32"/>
      <x:c r="N54" s="18"/>
      <x:c r="O54" s="32"/>
      <x:c r="P54" s="18"/>
      <x:c r="Q54" s="18"/>
      <x:c r="T54" t="str">
        <x:f>IF(OR(NOT(ISNUMBER(R54)),R54&lt;=0,NOT(ISNUMBER(S54)),S54&lt;0,S54&gt;R54),"",S54/R54*100)</x:f>
      </x:c>
      <x:c r="U54"/>
      <x:c r="V54"/>
      <x:c r="W54"/>
      <x:c r="X54" t="str">
        <x:f>IF(AND(M54="Sí",P54="Evaluado con evidencia",O54&lt;&gt;"",ISNUMBER(R54),R54&gt;0,ISNUMBER(S54),S54&gt;0,S54&lt;=R54,ISNUMBER(L54),L54&gt;=0,L54&lt;=S54,U54="Sí",V54="Sí",I54&lt;&gt;"",K54&lt;&gt;""),"Sí","")</x:f>
      </x:c>
    </x:row>
    <x:row r="55" ht="27" customHeight="1">
      <x:c r="A55" s="18"/>
      <x:c r="B55" s="18"/>
      <x:c r="C55" s="18"/>
      <x:c r="D55" s="18"/>
      <x:c r="E55" s="18"/>
      <x:c r="F55" s="18"/>
      <x:c r="G55" s="18"/>
      <x:c r="H55" s="18"/>
      <x:c r="I55" s="32"/>
      <x:c r="J55" s="32"/>
      <x:c r="K55" s="32"/>
      <x:c r="L55" s="32"/>
      <x:c r="M55" s="32"/>
      <x:c r="N55" s="18"/>
      <x:c r="O55" s="32"/>
      <x:c r="P55" s="18"/>
      <x:c r="Q55" s="18"/>
      <x:c r="T55" t="str">
        <x:f>IF(OR(NOT(ISNUMBER(R55)),R55&lt;=0,NOT(ISNUMBER(S55)),S55&lt;0,S55&gt;R55),"",S55/R55*100)</x:f>
      </x:c>
      <x:c r="U55"/>
      <x:c r="V55"/>
      <x:c r="W55"/>
      <x:c r="X55" t="str">
        <x:f>IF(AND(M55="Sí",P55="Evaluado con evidencia",O55&lt;&gt;"",ISNUMBER(R55),R55&gt;0,ISNUMBER(S55),S55&gt;0,S55&lt;=R55,ISNUMBER(L55),L55&gt;=0,L55&lt;=S55,U55="Sí",V55="Sí",I55&lt;&gt;"",K55&lt;&gt;""),"Sí","")</x:f>
      </x:c>
    </x:row>
    <x:row r="56" ht="27" customHeight="1">
      <x:c r="A56" s="18"/>
      <x:c r="B56" s="18"/>
      <x:c r="C56" s="18"/>
      <x:c r="D56" s="18"/>
      <x:c r="E56" s="18"/>
      <x:c r="F56" s="18"/>
      <x:c r="G56" s="18"/>
      <x:c r="H56" s="18"/>
      <x:c r="I56" s="32"/>
      <x:c r="J56" s="32"/>
      <x:c r="K56" s="32"/>
      <x:c r="L56" s="32"/>
      <x:c r="M56" s="32"/>
      <x:c r="N56" s="18"/>
      <x:c r="O56" s="32"/>
      <x:c r="P56" s="18"/>
      <x:c r="Q56" s="18"/>
      <x:c r="T56" t="str">
        <x:f>IF(OR(NOT(ISNUMBER(R56)),R56&lt;=0,NOT(ISNUMBER(S56)),S56&lt;0,S56&gt;R56),"",S56/R56*100)</x:f>
      </x:c>
      <x:c r="U56"/>
      <x:c r="V56"/>
      <x:c r="W56"/>
      <x:c r="X56" t="str">
        <x:f>IF(AND(M56="Sí",P56="Evaluado con evidencia",O56&lt;&gt;"",ISNUMBER(R56),R56&gt;0,ISNUMBER(S56),S56&gt;0,S56&lt;=R56,ISNUMBER(L56),L56&gt;=0,L56&lt;=S56,U56="Sí",V56="Sí",I56&lt;&gt;"",K56&lt;&gt;""),"Sí","")</x:f>
      </x:c>
    </x:row>
    <x:row r="57" ht="27" customHeight="1">
      <x:c r="A57" s="18"/>
      <x:c r="B57" s="18"/>
      <x:c r="C57" s="18"/>
      <x:c r="D57" s="18"/>
      <x:c r="E57" s="18"/>
      <x:c r="F57" s="18"/>
      <x:c r="G57" s="18"/>
      <x:c r="H57" s="18"/>
      <x:c r="I57" s="32"/>
      <x:c r="J57" s="32"/>
      <x:c r="K57" s="32"/>
      <x:c r="L57" s="32"/>
      <x:c r="M57" s="32"/>
      <x:c r="N57" s="18"/>
      <x:c r="O57" s="32"/>
      <x:c r="P57" s="18"/>
      <x:c r="Q57" s="18"/>
      <x:c r="T57" t="str">
        <x:f>IF(OR(NOT(ISNUMBER(R57)),R57&lt;=0,NOT(ISNUMBER(S57)),S57&lt;0,S57&gt;R57),"",S57/R57*100)</x:f>
      </x:c>
      <x:c r="U57"/>
      <x:c r="V57"/>
      <x:c r="W57"/>
      <x:c r="X57" t="str">
        <x:f>IF(AND(M57="Sí",P57="Evaluado con evidencia",O57&lt;&gt;"",ISNUMBER(R57),R57&gt;0,ISNUMBER(S57),S57&gt;0,S57&lt;=R57,ISNUMBER(L57),L57&gt;=0,L57&lt;=S57,U57="Sí",V57="Sí",I57&lt;&gt;"",K57&lt;&gt;""),"Sí","")</x:f>
      </x:c>
    </x:row>
    <x:row r="58" ht="27" customHeight="1">
      <x:c r="A58" s="18"/>
      <x:c r="B58" s="18"/>
      <x:c r="C58" s="18"/>
      <x:c r="D58" s="18"/>
      <x:c r="E58" s="18"/>
      <x:c r="F58" s="18"/>
      <x:c r="G58" s="18"/>
      <x:c r="H58" s="18"/>
      <x:c r="I58" s="32"/>
      <x:c r="J58" s="32"/>
      <x:c r="K58" s="32"/>
      <x:c r="L58" s="32"/>
      <x:c r="M58" s="32"/>
      <x:c r="N58" s="18"/>
      <x:c r="O58" s="32"/>
      <x:c r="P58" s="18"/>
      <x:c r="Q58" s="18"/>
      <x:c r="T58" t="str">
        <x:f>IF(OR(NOT(ISNUMBER(R58)),R58&lt;=0,NOT(ISNUMBER(S58)),S58&lt;0,S58&gt;R58),"",S58/R58*100)</x:f>
      </x:c>
      <x:c r="U58"/>
      <x:c r="V58"/>
      <x:c r="W58"/>
      <x:c r="X58" t="str">
        <x:f>IF(AND(M58="Sí",P58="Evaluado con evidencia",O58&lt;&gt;"",ISNUMBER(R58),R58&gt;0,ISNUMBER(S58),S58&gt;0,S58&lt;=R58,ISNUMBER(L58),L58&gt;=0,L58&lt;=S58,U58="Sí",V58="Sí",I58&lt;&gt;"",K58&lt;&gt;""),"Sí","")</x:f>
      </x:c>
    </x:row>
    <x:row r="59" ht="27" customHeight="1">
      <x:c r="A59" s="18"/>
      <x:c r="B59" s="18"/>
      <x:c r="C59" s="18"/>
      <x:c r="D59" s="18"/>
      <x:c r="E59" s="18"/>
      <x:c r="F59" s="18"/>
      <x:c r="G59" s="18"/>
      <x:c r="H59" s="18"/>
      <x:c r="I59" s="32"/>
      <x:c r="J59" s="32"/>
      <x:c r="K59" s="32"/>
      <x:c r="L59" s="32"/>
      <x:c r="M59" s="32"/>
      <x:c r="N59" s="18"/>
      <x:c r="O59" s="32"/>
      <x:c r="P59" s="18"/>
      <x:c r="Q59" s="18"/>
      <x:c r="T59" t="str">
        <x:f>IF(OR(NOT(ISNUMBER(R59)),R59&lt;=0,NOT(ISNUMBER(S59)),S59&lt;0,S59&gt;R59),"",S59/R59*100)</x:f>
      </x:c>
      <x:c r="U59"/>
      <x:c r="V59"/>
      <x:c r="W59"/>
      <x:c r="X59" t="str">
        <x:f>IF(AND(M59="Sí",P59="Evaluado con evidencia",O59&lt;&gt;"",ISNUMBER(R59),R59&gt;0,ISNUMBER(S59),S59&gt;0,S59&lt;=R59,ISNUMBER(L59),L59&gt;=0,L59&lt;=S59,U59="Sí",V59="Sí",I59&lt;&gt;"",K59&lt;&gt;""),"Sí","")</x:f>
      </x:c>
    </x:row>
    <x:row r="60" ht="27" customHeight="1">
      <x:c r="A60" s="18"/>
      <x:c r="B60" s="18"/>
      <x:c r="C60" s="18"/>
      <x:c r="D60" s="18"/>
      <x:c r="E60" s="18"/>
      <x:c r="F60" s="18"/>
      <x:c r="G60" s="18"/>
      <x:c r="H60" s="18"/>
      <x:c r="I60" s="32"/>
      <x:c r="J60" s="32"/>
      <x:c r="K60" s="32"/>
      <x:c r="L60" s="32"/>
      <x:c r="M60" s="32"/>
      <x:c r="N60" s="18"/>
      <x:c r="O60" s="32"/>
      <x:c r="P60" s="18"/>
      <x:c r="Q60" s="18"/>
      <x:c r="T60" t="str">
        <x:f>IF(OR(NOT(ISNUMBER(R60)),R60&lt;=0,NOT(ISNUMBER(S60)),S60&lt;0,S60&gt;R60),"",S60/R60*100)</x:f>
      </x:c>
      <x:c r="U60"/>
      <x:c r="V60"/>
      <x:c r="W60"/>
      <x:c r="X60" t="str">
        <x:f>IF(AND(M60="Sí",P60="Evaluado con evidencia",O60&lt;&gt;"",ISNUMBER(R60),R60&gt;0,ISNUMBER(S60),S60&gt;0,S60&lt;=R60,ISNUMBER(L60),L60&gt;=0,L60&lt;=S60,U60="Sí",V60="Sí",I60&lt;&gt;"",K60&lt;&gt;""),"Sí","")</x:f>
      </x:c>
    </x:row>
    <x:row r="61" ht="27" customHeight="1">
      <x:c r="A61" s="18"/>
      <x:c r="B61" s="18"/>
      <x:c r="C61" s="18"/>
      <x:c r="D61" s="18"/>
      <x:c r="E61" s="18"/>
      <x:c r="F61" s="18"/>
      <x:c r="G61" s="18"/>
      <x:c r="H61" s="18"/>
      <x:c r="I61" s="32"/>
      <x:c r="J61" s="32"/>
      <x:c r="K61" s="32"/>
      <x:c r="L61" s="32"/>
      <x:c r="M61" s="32"/>
      <x:c r="N61" s="18"/>
      <x:c r="O61" s="32"/>
      <x:c r="P61" s="18"/>
      <x:c r="Q61" s="18"/>
      <x:c r="T61" t="str">
        <x:f>IF(OR(NOT(ISNUMBER(R61)),R61&lt;=0,NOT(ISNUMBER(S61)),S61&lt;0,S61&gt;R61),"",S61/R61*100)</x:f>
      </x:c>
      <x:c r="U61"/>
      <x:c r="V61"/>
      <x:c r="W61"/>
      <x:c r="X61" t="str">
        <x:f>IF(AND(M61="Sí",P61="Evaluado con evidencia",O61&lt;&gt;"",ISNUMBER(R61),R61&gt;0,ISNUMBER(S61),S61&gt;0,S61&lt;=R61,ISNUMBER(L61),L61&gt;=0,L61&lt;=S61,U61="Sí",V61="Sí",I61&lt;&gt;"",K61&lt;&gt;""),"Sí","")</x:f>
      </x:c>
    </x:row>
    <x:row r="62" ht="27" customHeight="1">
      <x:c r="A62" s="18"/>
      <x:c r="B62" s="18"/>
      <x:c r="C62" s="18"/>
      <x:c r="D62" s="18"/>
      <x:c r="E62" s="18"/>
      <x:c r="F62" s="18"/>
      <x:c r="G62" s="18"/>
      <x:c r="H62" s="18"/>
      <x:c r="I62" s="32"/>
      <x:c r="J62" s="32"/>
      <x:c r="K62" s="32"/>
      <x:c r="L62" s="32"/>
      <x:c r="M62" s="32"/>
      <x:c r="N62" s="18"/>
      <x:c r="O62" s="32"/>
      <x:c r="P62" s="18"/>
      <x:c r="Q62" s="18"/>
      <x:c r="T62" t="str">
        <x:f>IF(OR(NOT(ISNUMBER(R62)),R62&lt;=0,NOT(ISNUMBER(S62)),S62&lt;0,S62&gt;R62),"",S62/R62*100)</x:f>
      </x:c>
      <x:c r="U62"/>
      <x:c r="V62"/>
      <x:c r="W62"/>
      <x:c r="X62" t="str">
        <x:f>IF(AND(M62="Sí",P62="Evaluado con evidencia",O62&lt;&gt;"",ISNUMBER(R62),R62&gt;0,ISNUMBER(S62),S62&gt;0,S62&lt;=R62,ISNUMBER(L62),L62&gt;=0,L62&lt;=S62,U62="Sí",V62="Sí",I62&lt;&gt;"",K62&lt;&gt;""),"Sí","")</x:f>
      </x:c>
    </x:row>
    <x:row r="63" ht="27" customHeight="1">
      <x:c r="A63" s="18"/>
      <x:c r="B63" s="18"/>
      <x:c r="C63" s="18"/>
      <x:c r="D63" s="18"/>
      <x:c r="E63" s="18"/>
      <x:c r="F63" s="18"/>
      <x:c r="G63" s="18"/>
      <x:c r="H63" s="18"/>
      <x:c r="I63" s="32"/>
      <x:c r="J63" s="32"/>
      <x:c r="K63" s="32"/>
      <x:c r="L63" s="32"/>
      <x:c r="M63" s="32"/>
      <x:c r="N63" s="18"/>
      <x:c r="O63" s="32"/>
      <x:c r="P63" s="18"/>
      <x:c r="Q63" s="18"/>
      <x:c r="T63" t="str">
        <x:f>IF(OR(NOT(ISNUMBER(R63)),R63&lt;=0,NOT(ISNUMBER(S63)),S63&lt;0,S63&gt;R63),"",S63/R63*100)</x:f>
      </x:c>
      <x:c r="U63"/>
      <x:c r="V63"/>
      <x:c r="W63"/>
      <x:c r="X63" t="str">
        <x:f>IF(AND(M63="Sí",P63="Evaluado con evidencia",O63&lt;&gt;"",ISNUMBER(R63),R63&gt;0,ISNUMBER(S63),S63&gt;0,S63&lt;=R63,ISNUMBER(L63),L63&gt;=0,L63&lt;=S63,U63="Sí",V63="Sí",I63&lt;&gt;"",K63&lt;&gt;""),"Sí","")</x:f>
      </x:c>
    </x:row>
    <x:row r="64" ht="27" customHeight="1">
      <x:c r="A64" s="18"/>
      <x:c r="B64" s="18"/>
      <x:c r="C64" s="18"/>
      <x:c r="D64" s="18"/>
      <x:c r="E64" s="18"/>
      <x:c r="F64" s="18"/>
      <x:c r="G64" s="18"/>
      <x:c r="H64" s="18"/>
      <x:c r="I64" s="32"/>
      <x:c r="J64" s="32"/>
      <x:c r="K64" s="32"/>
      <x:c r="L64" s="32"/>
      <x:c r="M64" s="32"/>
      <x:c r="N64" s="18"/>
      <x:c r="O64" s="32"/>
      <x:c r="P64" s="18"/>
      <x:c r="Q64" s="18"/>
      <x:c r="T64" t="str">
        <x:f>IF(OR(NOT(ISNUMBER(R64)),R64&lt;=0,NOT(ISNUMBER(S64)),S64&lt;0,S64&gt;R64),"",S64/R64*100)</x:f>
      </x:c>
      <x:c r="U64"/>
      <x:c r="V64"/>
      <x:c r="W64"/>
      <x:c r="X64" t="str">
        <x:f>IF(AND(M64="Sí",P64="Evaluado con evidencia",O64&lt;&gt;"",ISNUMBER(R64),R64&gt;0,ISNUMBER(S64),S64&gt;0,S64&lt;=R64,ISNUMBER(L64),L64&gt;=0,L64&lt;=S64,U64="Sí",V64="Sí",I64&lt;&gt;"",K64&lt;&gt;""),"Sí","")</x:f>
      </x:c>
    </x:row>
    <x:row r="65" ht="27" customHeight="1">
      <x:c r="A65" s="18"/>
      <x:c r="B65" s="18"/>
      <x:c r="C65" s="18"/>
      <x:c r="D65" s="18"/>
      <x:c r="E65" s="18"/>
      <x:c r="F65" s="18"/>
      <x:c r="G65" s="18"/>
      <x:c r="H65" s="18"/>
      <x:c r="I65" s="32"/>
      <x:c r="J65" s="32"/>
      <x:c r="K65" s="32"/>
      <x:c r="L65" s="32"/>
      <x:c r="M65" s="32"/>
      <x:c r="N65" s="18"/>
      <x:c r="O65" s="32"/>
      <x:c r="P65" s="18"/>
      <x:c r="Q65" s="18"/>
      <x:c r="T65" t="str">
        <x:f>IF(OR(NOT(ISNUMBER(R65)),R65&lt;=0,NOT(ISNUMBER(S65)),S65&lt;0,S65&gt;R65),"",S65/R65*100)</x:f>
      </x:c>
      <x:c r="U65"/>
      <x:c r="V65"/>
      <x:c r="W65"/>
      <x:c r="X65" t="str">
        <x:f>IF(AND(M65="Sí",P65="Evaluado con evidencia",O65&lt;&gt;"",ISNUMBER(R65),R65&gt;0,ISNUMBER(S65),S65&gt;0,S65&lt;=R65,ISNUMBER(L65),L65&gt;=0,L65&lt;=S65,U65="Sí",V65="Sí",I65&lt;&gt;"",K65&lt;&gt;""),"Sí","")</x:f>
      </x:c>
    </x:row>
    <x:row r="66" ht="27" customHeight="1">
      <x:c r="A66" s="18"/>
      <x:c r="B66" s="18"/>
      <x:c r="C66" s="18"/>
      <x:c r="D66" s="18"/>
      <x:c r="E66" s="18"/>
      <x:c r="F66" s="18"/>
      <x:c r="G66" s="18"/>
      <x:c r="H66" s="18"/>
      <x:c r="I66" s="32"/>
      <x:c r="J66" s="32"/>
      <x:c r="K66" s="32"/>
      <x:c r="L66" s="32"/>
      <x:c r="M66" s="32"/>
      <x:c r="N66" s="18"/>
      <x:c r="O66" s="32"/>
      <x:c r="P66" s="18"/>
      <x:c r="Q66" s="18"/>
      <x:c r="T66" t="str">
        <x:f>IF(OR(NOT(ISNUMBER(R66)),R66&lt;=0,NOT(ISNUMBER(S66)),S66&lt;0,S66&gt;R66),"",S66/R66*100)</x:f>
      </x:c>
      <x:c r="U66"/>
      <x:c r="V66"/>
      <x:c r="W66"/>
      <x:c r="X66" t="str">
        <x:f>IF(AND(M66="Sí",P66="Evaluado con evidencia",O66&lt;&gt;"",ISNUMBER(R66),R66&gt;0,ISNUMBER(S66),S66&gt;0,S66&lt;=R66,ISNUMBER(L66),L66&gt;=0,L66&lt;=S66,U66="Sí",V66="Sí",I66&lt;&gt;"",K66&lt;&gt;""),"Sí","")</x:f>
      </x:c>
    </x:row>
    <x:row r="67" ht="27" customHeight="1">
      <x:c r="A67" s="18"/>
      <x:c r="B67" s="18"/>
      <x:c r="C67" s="18"/>
      <x:c r="D67" s="18"/>
      <x:c r="E67" s="18"/>
      <x:c r="F67" s="18"/>
      <x:c r="G67" s="18"/>
      <x:c r="H67" s="18"/>
      <x:c r="I67" s="32"/>
      <x:c r="J67" s="32"/>
      <x:c r="K67" s="32"/>
      <x:c r="L67" s="32"/>
      <x:c r="M67" s="32"/>
      <x:c r="N67" s="18"/>
      <x:c r="O67" s="32"/>
      <x:c r="P67" s="18"/>
      <x:c r="Q67" s="18"/>
      <x:c r="T67" t="str">
        <x:f>IF(OR(NOT(ISNUMBER(R67)),R67&lt;=0,NOT(ISNUMBER(S67)),S67&lt;0,S67&gt;R67),"",S67/R67*100)</x:f>
      </x:c>
      <x:c r="U67"/>
      <x:c r="V67"/>
      <x:c r="W67"/>
      <x:c r="X67" t="str">
        <x:f>IF(AND(M67="Sí",P67="Evaluado con evidencia",O67&lt;&gt;"",ISNUMBER(R67),R67&gt;0,ISNUMBER(S67),S67&gt;0,S67&lt;=R67,ISNUMBER(L67),L67&gt;=0,L67&lt;=S67,U67="Sí",V67="Sí",I67&lt;&gt;"",K67&lt;&gt;""),"Sí","")</x:f>
      </x:c>
    </x:row>
    <x:row r="68" ht="27" customHeight="1">
      <x:c r="A68" s="18"/>
      <x:c r="B68" s="18"/>
      <x:c r="C68" s="18"/>
      <x:c r="D68" s="18"/>
      <x:c r="E68" s="18"/>
      <x:c r="F68" s="18"/>
      <x:c r="G68" s="18"/>
      <x:c r="H68" s="18"/>
      <x:c r="I68" s="32"/>
      <x:c r="J68" s="32"/>
      <x:c r="K68" s="32"/>
      <x:c r="L68" s="32"/>
      <x:c r="M68" s="32"/>
      <x:c r="N68" s="18"/>
      <x:c r="O68" s="32"/>
      <x:c r="P68" s="18"/>
      <x:c r="Q68" s="18"/>
      <x:c r="T68" t="str">
        <x:f>IF(OR(NOT(ISNUMBER(R68)),R68&lt;=0,NOT(ISNUMBER(S68)),S68&lt;0,S68&gt;R68),"",S68/R68*100)</x:f>
      </x:c>
      <x:c r="U68"/>
      <x:c r="V68"/>
      <x:c r="W68"/>
      <x:c r="X68" t="str">
        <x:f>IF(AND(M68="Sí",P68="Evaluado con evidencia",O68&lt;&gt;"",ISNUMBER(R68),R68&gt;0,ISNUMBER(S68),S68&gt;0,S68&lt;=R68,ISNUMBER(L68),L68&gt;=0,L68&lt;=S68,U68="Sí",V68="Sí",I68&lt;&gt;"",K68&lt;&gt;""),"Sí","")</x:f>
      </x:c>
    </x:row>
    <x:row r="69" ht="27" customHeight="1">
      <x:c r="A69" s="18"/>
      <x:c r="B69" s="18"/>
      <x:c r="C69" s="18"/>
      <x:c r="D69" s="18"/>
      <x:c r="E69" s="18"/>
      <x:c r="F69" s="18"/>
      <x:c r="G69" s="18"/>
      <x:c r="H69" s="18"/>
      <x:c r="I69" s="32"/>
      <x:c r="J69" s="32"/>
      <x:c r="K69" s="32"/>
      <x:c r="L69" s="32"/>
      <x:c r="M69" s="32"/>
      <x:c r="N69" s="18"/>
      <x:c r="O69" s="32"/>
      <x:c r="P69" s="18"/>
      <x:c r="Q69" s="18"/>
      <x:c r="T69" t="str">
        <x:f>IF(OR(NOT(ISNUMBER(R69)),R69&lt;=0,NOT(ISNUMBER(S69)),S69&lt;0,S69&gt;R69),"",S69/R69*100)</x:f>
      </x:c>
      <x:c r="U69"/>
      <x:c r="V69"/>
      <x:c r="W69"/>
      <x:c r="X69" t="str">
        <x:f>IF(AND(M69="Sí",P69="Evaluado con evidencia",O69&lt;&gt;"",ISNUMBER(R69),R69&gt;0,ISNUMBER(S69),S69&gt;0,S69&lt;=R69,ISNUMBER(L69),L69&gt;=0,L69&lt;=S69,U69="Sí",V69="Sí",I69&lt;&gt;"",K69&lt;&gt;""),"Sí","")</x:f>
      </x:c>
    </x:row>
    <x:row r="70" ht="27" customHeight="1">
      <x:c r="A70" s="18"/>
      <x:c r="B70" s="18"/>
      <x:c r="C70" s="18"/>
      <x:c r="D70" s="18"/>
      <x:c r="E70" s="18"/>
      <x:c r="F70" s="18"/>
      <x:c r="G70" s="18"/>
      <x:c r="H70" s="18"/>
      <x:c r="I70" s="32"/>
      <x:c r="J70" s="32"/>
      <x:c r="K70" s="32"/>
      <x:c r="L70" s="32"/>
      <x:c r="M70" s="32"/>
      <x:c r="N70" s="18"/>
      <x:c r="O70" s="32"/>
      <x:c r="P70" s="18"/>
      <x:c r="Q70" s="18"/>
      <x:c r="T70" t="str">
        <x:f>IF(OR(NOT(ISNUMBER(R70)),R70&lt;=0,NOT(ISNUMBER(S70)),S70&lt;0,S70&gt;R70),"",S70/R70*100)</x:f>
      </x:c>
      <x:c r="U70"/>
      <x:c r="V70"/>
      <x:c r="W70"/>
      <x:c r="X70" t="str">
        <x:f>IF(AND(M70="Sí",P70="Evaluado con evidencia",O70&lt;&gt;"",ISNUMBER(R70),R70&gt;0,ISNUMBER(S70),S70&gt;0,S70&lt;=R70,ISNUMBER(L70),L70&gt;=0,L70&lt;=S70,U70="Sí",V70="Sí",I70&lt;&gt;"",K70&lt;&gt;""),"Sí","")</x:f>
      </x:c>
    </x:row>
    <x:row r="71" ht="27" customHeight="1">
      <x:c r="A71" s="18"/>
      <x:c r="B71" s="18"/>
      <x:c r="C71" s="18"/>
      <x:c r="D71" s="18"/>
      <x:c r="E71" s="18"/>
      <x:c r="F71" s="18"/>
      <x:c r="G71" s="18"/>
      <x:c r="H71" s="18"/>
      <x:c r="I71" s="32"/>
      <x:c r="J71" s="32"/>
      <x:c r="K71" s="32"/>
      <x:c r="L71" s="32"/>
      <x:c r="M71" s="32"/>
      <x:c r="N71" s="18"/>
      <x:c r="O71" s="32"/>
      <x:c r="P71" s="18"/>
      <x:c r="Q71" s="18"/>
      <x:c r="T71" t="str">
        <x:f>IF(OR(NOT(ISNUMBER(R71)),R71&lt;=0,NOT(ISNUMBER(S71)),S71&lt;0,S71&gt;R71),"",S71/R71*100)</x:f>
      </x:c>
      <x:c r="U71"/>
      <x:c r="V71"/>
      <x:c r="W71"/>
      <x:c r="X71" t="str">
        <x:f>IF(AND(M71="Sí",P71="Evaluado con evidencia",O71&lt;&gt;"",ISNUMBER(R71),R71&gt;0,ISNUMBER(S71),S71&gt;0,S71&lt;=R71,ISNUMBER(L71),L71&gt;=0,L71&lt;=S71,U71="Sí",V71="Sí",I71&lt;&gt;"",K71&lt;&gt;""),"Sí","")</x:f>
      </x:c>
    </x:row>
    <x:row r="72" ht="27" customHeight="1">
      <x:c r="A72" s="18"/>
      <x:c r="B72" s="18"/>
      <x:c r="C72" s="18"/>
      <x:c r="D72" s="18"/>
      <x:c r="E72" s="18"/>
      <x:c r="F72" s="18"/>
      <x:c r="G72" s="18"/>
      <x:c r="H72" s="18"/>
      <x:c r="I72" s="32"/>
      <x:c r="J72" s="32"/>
      <x:c r="K72" s="32"/>
      <x:c r="L72" s="32"/>
      <x:c r="M72" s="32"/>
      <x:c r="N72" s="18"/>
      <x:c r="O72" s="32"/>
      <x:c r="P72" s="18"/>
      <x:c r="Q72" s="18"/>
      <x:c r="T72" t="str">
        <x:f>IF(OR(NOT(ISNUMBER(R72)),R72&lt;=0,NOT(ISNUMBER(S72)),S72&lt;0,S72&gt;R72),"",S72/R72*100)</x:f>
      </x:c>
      <x:c r="U72"/>
      <x:c r="V72"/>
      <x:c r="W72"/>
      <x:c r="X72" t="str">
        <x:f>IF(AND(M72="Sí",P72="Evaluado con evidencia",O72&lt;&gt;"",ISNUMBER(R72),R72&gt;0,ISNUMBER(S72),S72&gt;0,S72&lt;=R72,ISNUMBER(L72),L72&gt;=0,L72&lt;=S72,U72="Sí",V72="Sí",I72&lt;&gt;"",K72&lt;&gt;""),"Sí","")</x:f>
      </x:c>
    </x:row>
    <x:row r="73" ht="27" customHeight="1">
      <x:c r="A73" s="18"/>
      <x:c r="B73" s="18"/>
      <x:c r="C73" s="18"/>
      <x:c r="D73" s="18"/>
      <x:c r="E73" s="18"/>
      <x:c r="F73" s="18"/>
      <x:c r="G73" s="18"/>
      <x:c r="H73" s="18"/>
      <x:c r="I73" s="32"/>
      <x:c r="J73" s="32"/>
      <x:c r="K73" s="32"/>
      <x:c r="L73" s="32"/>
      <x:c r="M73" s="32"/>
      <x:c r="N73" s="18"/>
      <x:c r="O73" s="32"/>
      <x:c r="P73" s="18"/>
      <x:c r="Q73" s="18"/>
      <x:c r="T73" t="str">
        <x:f>IF(OR(NOT(ISNUMBER(R73)),R73&lt;=0,NOT(ISNUMBER(S73)),S73&lt;0,S73&gt;R73),"",S73/R73*100)</x:f>
      </x:c>
      <x:c r="U73"/>
      <x:c r="V73"/>
      <x:c r="W73"/>
      <x:c r="X73" t="str">
        <x:f>IF(AND(M73="Sí",P73="Evaluado con evidencia",O73&lt;&gt;"",ISNUMBER(R73),R73&gt;0,ISNUMBER(S73),S73&gt;0,S73&lt;=R73,ISNUMBER(L73),L73&gt;=0,L73&lt;=S73,U73="Sí",V73="Sí",I73&lt;&gt;"",K73&lt;&gt;""),"Sí","")</x:f>
      </x:c>
    </x:row>
    <x:row r="74" ht="27" customHeight="1">
      <x:c r="A74" s="18"/>
      <x:c r="B74" s="18"/>
      <x:c r="C74" s="18"/>
      <x:c r="D74" s="18"/>
      <x:c r="E74" s="18"/>
      <x:c r="F74" s="18"/>
      <x:c r="G74" s="18"/>
      <x:c r="H74" s="18"/>
      <x:c r="I74" s="32"/>
      <x:c r="J74" s="32"/>
      <x:c r="K74" s="32"/>
      <x:c r="L74" s="32"/>
      <x:c r="M74" s="32"/>
      <x:c r="N74" s="18"/>
      <x:c r="O74" s="32"/>
      <x:c r="P74" s="18"/>
      <x:c r="Q74" s="18"/>
      <x:c r="T74" t="str">
        <x:f>IF(OR(NOT(ISNUMBER(R74)),R74&lt;=0,NOT(ISNUMBER(S74)),S74&lt;0,S74&gt;R74),"",S74/R74*100)</x:f>
      </x:c>
      <x:c r="U74"/>
      <x:c r="V74"/>
      <x:c r="W74"/>
      <x:c r="X74" t="str">
        <x:f>IF(AND(M74="Sí",P74="Evaluado con evidencia",O74&lt;&gt;"",ISNUMBER(R74),R74&gt;0,ISNUMBER(S74),S74&gt;0,S74&lt;=R74,ISNUMBER(L74),L74&gt;=0,L74&lt;=S74,U74="Sí",V74="Sí",I74&lt;&gt;"",K74&lt;&gt;""),"Sí","")</x:f>
      </x:c>
    </x:row>
    <x:row r="75" ht="27" customHeight="1">
      <x:c r="A75" s="18"/>
      <x:c r="B75" s="18"/>
      <x:c r="C75" s="18"/>
      <x:c r="D75" s="18"/>
      <x:c r="E75" s="18"/>
      <x:c r="F75" s="18"/>
      <x:c r="G75" s="18"/>
      <x:c r="H75" s="18"/>
      <x:c r="I75" s="32"/>
      <x:c r="J75" s="32"/>
      <x:c r="K75" s="32"/>
      <x:c r="L75" s="32"/>
      <x:c r="M75" s="32"/>
      <x:c r="N75" s="18"/>
      <x:c r="O75" s="32"/>
      <x:c r="P75" s="18"/>
      <x:c r="Q75" s="18"/>
      <x:c r="T75" t="str">
        <x:f>IF(OR(NOT(ISNUMBER(R75)),R75&lt;=0,NOT(ISNUMBER(S75)),S75&lt;0,S75&gt;R75),"",S75/R75*100)</x:f>
      </x:c>
      <x:c r="U75"/>
      <x:c r="V75"/>
      <x:c r="W75"/>
      <x:c r="X75" t="str">
        <x:f>IF(AND(M75="Sí",P75="Evaluado con evidencia",O75&lt;&gt;"",ISNUMBER(R75),R75&gt;0,ISNUMBER(S75),S75&gt;0,S75&lt;=R75,ISNUMBER(L75),L75&gt;=0,L75&lt;=S75,U75="Sí",V75="Sí",I75&lt;&gt;"",K75&lt;&gt;""),"Sí","")</x:f>
      </x:c>
    </x:row>
  </x:sheetData>
  <x:mergeCells>
    <x:mergeCell ref="A1:Q2"/>
    <x:mergeCell ref="A3:Q3"/>
    <x:mergeCell ref="A4:Q4"/>
  </x:mergeCells>
  <x:conditionalFormatting sqref="P6:P75">
    <x:cfRule type="expression" dxfId="2" priority="1">
      <x:formula>AND($P6="Evaluado con evidencia",$O6="")</x:formula>
    </x:cfRule>
  </x:conditionalFormatting>
  <x:dataValidations count="5">
    <x:dataValidation type="list" sqref="B6:B75">
      <x:formula1>"MOD-01,MOD-02,MOD-03,MOD-04,MOD-05,MOD-06,MOD-07,MOD-08,MOD-09,MOD-10"</x:formula1>
    </x:dataValidation>
    <x:dataValidation type="list" sqref="M6:M75">
      <x:formula1>"Sí,No,Pendiente"</x:formula1>
    </x:dataValidation>
    <x:dataValidation type="list" sqref="P6:P75">
      <x:formula1>"Inventariado,Evaluado con evidencia,Fuera de alcance"</x:formula1>
    </x:dataValidation>
    <x:dataValidation type="whole" sqref="L6:L75">
      <x:formula1>0</x:formula1>
    </x:dataValidation>
    <x:dataValidation type="list" sqref="U6:V75">
      <x:formula1>"Sí,No,Pendiente"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701553bb44b0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9" hidden="0" customWidth="1"/>
    <x:col min="11" max="11" width="64" hidden="0" customWidth="1"/>
    <x:col min="12" max="12" width="25" hidden="0" customWidth="1"/>
    <x:col min="13" max="13" width="41" hidden="0" customWidth="1"/>
  </x:cols>
  <x:sheetData>
    <x:row r="1" ht="24" customHeight="1">
      <x:c r="A1" s="21" t="str">
        <x:v>COBERTURA DE CALIDAD | SIN MEDICIONES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 ht="21" customHeight="1">
      <x:c r="A4" s="26" t="str">
        <x:v>La cobertura sólo se calcula con universos evaluables y evidencia; OP-09 se mide en REGISTROS.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 ht="32" customHeight="1">
      <x:c r="A5" s="29" t="str">
        <x:v>Indicador OP</x:v>
      </x:c>
      <x:c r="B5" s="29" t="str">
        <x:v>Tipo de elemento</x:v>
      </x:c>
      <x:c r="C5" s="29" t="str">
        <x:v>Total elegible</x:v>
      </x:c>
      <x:c r="D5" s="29" t="str">
        <x:v>Total incluido</x:v>
      </x:c>
      <x:c r="E5" s="29" t="str">
        <x:v>Total evaluado</x:v>
      </x:c>
      <x:c r="F5" s="29" t="str">
        <x:v>Total conforme</x:v>
      </x:c>
      <x:c r="G5" s="29" t="str">
        <x:v>Total no conforme</x:v>
      </x:c>
      <x:c r="H5" s="29" t="str">
        <x:v>Cobertura (%)</x:v>
      </x:c>
      <x:c r="I5" s="29" t="str">
        <x:v>Resultado indicador</x:v>
      </x:c>
      <x:c r="J5" s="29" t="str">
        <x:v>Modalidad de selección</x:v>
      </x:c>
      <x:c r="K5" s="29" t="str">
        <x:v>Criterio aplicado</x:v>
      </x:c>
      <x:c r="L5" s="29" t="str">
        <x:v>Estado</x:v>
      </x:c>
      <x:c r="M5" s="29" t="str">
        <x:v>Evidencia</x:v>
      </x:c>
    </x:row>
    <x:row r="6" ht="27" customHeight="1">
      <x:c r="A6" s="18" t="str">
        <x:v>OP-08</x:v>
      </x:c>
      <x:c r="B6" s="18" t="str">
        <x:v>Formulario</x:v>
      </x:c>
      <x:c r="C6" s="32" t="str">
        <x:f>IF(OR(COUNTIF('03_INVENTARIO_FORMULARIOS'!K6:K90,"Pendiente")&gt;0,COUNTIF('03_INVENTARIO_FORMULARIOS'!K6:K90,"Sí")+COUNTIF('03_INVENTARIO_FORMULARIOS'!K6:K90,"No")=0),"",COUNTIF('03_INVENTARIO_FORMULARIOS'!K6:K90,"Sí"))</x:f>
      </x:c>
      <x:c r="D6" s="32" t="str">
        <x:f>IF(OR(C6="",COUNTIFS('03_INVENTARIO_FORMULARIOS'!K6:K90,"Sí",'03_INVENTARIO_FORMULARIOS'!L6:L90,"Pendiente")&gt;0),"",COUNTIFS('03_INVENTARIO_FORMULARIOS'!K6:K90,"Sí",'03_INVENTARIO_FORMULARIOS'!L6:L90,"Sí"))</x:f>
      </x:c>
      <x:c r="E6" s="32" t="str">
        <x:f>IF(OR(D6="",D6&lt;=0),"",COUNTIFS('03_INVENTARIO_FORMULARIOS'!K6:K90,"Sí",'03_INVENTARIO_FORMULARIOS'!L6:L90,"Sí",'03_INVENTARIO_FORMULARIOS'!O6:O90,"Evaluado con evidencia",'03_INVENTARIO_FORMULARIOS'!N6:N90,"&lt;&gt;",'03_INVENTARIO_FORMULARIOS'!Q6:Q90,"Sí",'03_INVENTARIO_FORMULARIOS'!M6:M90,"Conforme")+COUNTIFS('03_INVENTARIO_FORMULARIOS'!K6:K90,"Sí",'03_INVENTARIO_FORMULARIOS'!L6:L90,"Sí",'03_INVENTARIO_FORMULARIOS'!O6:O90,"Evaluado con evidencia",'03_INVENTARIO_FORMULARIOS'!N6:N90,"&lt;&gt;",'03_INVENTARIO_FORMULARIOS'!Q6:Q90,"Sí",'03_INVENTARIO_FORMULARIOS'!M6:M90,"No conforme"))</x:f>
      </x:c>
      <x:c r="F6" s="32" t="str">
        <x:f>IF(E6="","",COUNTIFS('03_INVENTARIO_FORMULARIOS'!K6:K90,"Sí",'03_INVENTARIO_FORMULARIOS'!L6:L90,"Sí",'03_INVENTARIO_FORMULARIOS'!O6:O90,"Evaluado con evidencia",'03_INVENTARIO_FORMULARIOS'!N6:N90,"&lt;&gt;",'03_INVENTARIO_FORMULARIOS'!Q6:Q90,"Sí",'03_INVENTARIO_FORMULARIOS'!M6:M90,"Conforme"))</x:f>
      </x:c>
      <x:c r="G6" s="32" t="str">
        <x:f>IF(E6="","",COUNTIFS('03_INVENTARIO_FORMULARIOS'!K6:K90,"Sí",'03_INVENTARIO_FORMULARIOS'!L6:L90,"Sí",'03_INVENTARIO_FORMULARIOS'!O6:O90,"Evaluado con evidencia",'03_INVENTARIO_FORMULARIOS'!N6:N90,"&lt;&gt;",'03_INVENTARIO_FORMULARIOS'!Q6:Q90,"Sí",'03_INVENTARIO_FORMULARIOS'!M6:M90,"No conforme"))</x:f>
      </x:c>
      <x:c r="H6" s="34" t="str">
        <x:f>IF(OR(C6="",C6&lt;=0,E6="",E6&lt;=0),"",E6/C6*100)</x:f>
      </x:c>
      <x:c r="I6" s="34" t="str">
        <x:f>IF(OR(E6="",E6&lt;=0,E6&lt;&gt;F6+G6),"",F6/E6*100)</x:f>
      </x:c>
      <x:c r="J6" s="18" t="str">
        <x:v>Censo o selección según universo definitivo (aún no cerrado)</x:v>
      </x:c>
      <x:c r="K6" s="18" t="str">
        <x:v>Contar cada formulario una sola vez</x:v>
      </x:c>
      <x:c r="L6" s="18" t="str">
        <x:v>Pendiente; formularios sólo inventariados</x:v>
      </x:c>
      <x:c r="M6" s="32"/>
    </x:row>
    <x:row r="7" ht="27" customHeight="1">
      <x:c r="A7" s="18" t="str">
        <x:v>OP-09</x:v>
      </x:c>
      <x:c r="B7" s="18" t="str">
        <x:v>Registro de entidad</x:v>
      </x:c>
      <x:c r="C7" s="32" t="str">
        <x:f>IF(OR(COUNTIF('04_ENTIDADES_DATOS'!M6:M75,"Pendiente")&gt;0,COUNTIF('04_ENTIDADES_DATOS'!M6:M75,"Sí")=0,COUNTIFS('04_ENTIDADES_DATOS'!M6:M75,"Sí",'04_ENTIDADES_DATOS'!R6:R75,"&gt;0")&lt;&gt;COUNTIF('04_ENTIDADES_DATOS'!M6:M75,"Sí")),"",SUMIFS('04_ENTIDADES_DATOS'!R6:R75,'04_ENTIDADES_DATOS'!M6:M75,"Sí"))</x:f>
      </x:c>
      <x:c r="D7" s="32" t="str">
        <x:f>IF(OR(C7="",COUNTIFS('04_ENTIDADES_DATOS'!M6:M75,"Sí",'04_ENTIDADES_DATOS'!W6:W75,"&gt;0")&lt;&gt;COUNTIF('04_ENTIDADES_DATOS'!M6:M75,"Sí")),"",SUMIFS('04_ENTIDADES_DATOS'!W6:W75,'04_ENTIDADES_DATOS'!M6:M75,"Sí"))</x:f>
      </x:c>
      <x:c r="E7" s="32" t="str">
        <x:f>IF(OR(C7="",COUNTIFS('04_ENTIDADES_DATOS'!M6:M75,"Sí",'04_ENTIDADES_DATOS'!X6:X75,"Sí")&lt;&gt;COUNTIF('04_ENTIDADES_DATOS'!M6:M75,"Sí")),"",SUMIFS('04_ENTIDADES_DATOS'!S6:S75,'04_ENTIDADES_DATOS'!M6:M75,"Sí",'04_ENTIDADES_DATOS'!X6:X75,"Sí"))</x:f>
      </x:c>
      <x:c r="F7" s="32"/>
      <x:c r="G7" s="32"/>
      <x:c r="H7" s="34" t="str">
        <x:f>IF(OR(C7="",C7&lt;=0,E7="",E7&lt;=0),"",E7/C7*100)</x:f>
      </x:c>
      <x:c r="I7" s="36" t="str">
        <x:f>IF(OR(E7="",E7&lt;=0,COUNTIFS('04_ENTIDADES_DATOS'!M6:M75,"Sí",'04_ENTIDADES_DATOS'!X6:X75,"Sí")&lt;&gt;COUNTIF('04_ENTIDADES_DATOS'!M6:M75,"Sí")),"",SUMIFS('04_ENTIDADES_DATOS'!L6:L75,'04_ENTIDADES_DATOS'!M6:M75,"Sí",'04_ENTIDADES_DATOS'!X6:X75,"Sí"))</x:f>
      </x:c>
      <x:c r="J7" s="18" t="str">
        <x:v>Por definir</x:v>
      </x:c>
      <x:c r="K7" s="18" t="str">
        <x:v>Sin dictamen de cero duplicados hasta aprobar reglas SQL y verificar el conjunto de registros definido.</x:v>
      </x:c>
      <x:c r="L7" s="18" t="str">
        <x:v>Pendiente; no interpretar celdas vacías como cero duplicados</x:v>
      </x:c>
      <x:c r="M7" s="32"/>
    </x:row>
    <x:row r="8" ht="27" customHeight="1">
      <x:c r="A8" s="18" t="str">
        <x:v>Complementario</x:v>
      </x:c>
      <x:c r="B8" s="18" t="str">
        <x:v>Interfaz / interacción</x:v>
      </x:c>
      <x:c r="C8" s="32"/>
      <x:c r="D8" s="32"/>
      <x:c r="E8" s="32"/>
      <x:c r="F8" s="32"/>
      <x:c r="G8" s="32"/>
      <x:c r="H8" s="34" t="str">
        <x:f>IF(OR(C8="",C8&lt;=0,E8="",E8&lt;=0),"",IFERROR(E8/C8*100,""))</x:f>
      </x:c>
      <x:c r="I8" s="34"/>
      <x:c r="J8" s="18" t="str">
        <x:v>Selección funcional</x:v>
      </x:c>
      <x:c r="K8" s="18" t="str">
        <x:v>Aplicar heurísticas a interfaces delimitadas</x:v>
      </x:c>
      <x:c r="L8" s="18" t="str">
        <x:v>Pendiente; protocolos Nielsen sin aplicar</x:v>
      </x:c>
      <x:c r="M8" s="32"/>
    </x:row>
    <x:row r="9" ht="27" customHeight="1">
      <x:c r="A9" s="18" t="str">
        <x:v>Referencia interna</x:v>
      </x:c>
      <x:c r="B9" s="18" t="str">
        <x:v>Agrupaciones MOD</x:v>
      </x:c>
      <x:c r="C9" s="32"/>
      <x:c r="D9" s="32"/>
      <x:c r="E9" s="32"/>
      <x:c r="F9" s="32"/>
      <x:c r="G9" s="32"/>
      <x:c r="H9" s="34" t="str">
        <x:f>IF(OR(C9="",C9&lt;=0,E9="",E9&lt;=0),"",IFERROR(E9/C9*100,""))</x:f>
      </x:c>
      <x:c r="I9" s="34"/>
      <x:c r="J9" s="18" t="str">
        <x:v>Por definir</x:v>
      </x:c>
      <x:c r="K9" s="18" t="str">
        <x:v>Los 10 MOD son agrupaciones preliminares</x:v>
      </x:c>
      <x:c r="L9" s="18" t="str">
        <x:v>Pendiente; inventario MOD preliminar</x:v>
      </x:c>
      <x:c r="M9" s="32"/>
    </x:row>
    <x:row r="10" ht="27" customHeight="1">
      <x:c r="A10" s="18"/>
      <x:c r="B10" s="18"/>
      <x:c r="C10" s="32"/>
      <x:c r="D10" s="32"/>
      <x:c r="E10" s="32"/>
      <x:c r="F10" s="32"/>
      <x:c r="G10" s="32"/>
      <x:c r="H10" s="18"/>
      <x:c r="I10" s="18"/>
      <x:c r="J10" s="18"/>
      <x:c r="K10" s="18"/>
      <x:c r="L10" s="18"/>
      <x:c r="M10" s="32"/>
    </x:row>
    <x:row r="11" ht="27" customHeight="1">
      <x:c r="A11" s="18"/>
      <x:c r="B11" s="18"/>
      <x:c r="C11" s="32"/>
      <x:c r="D11" s="32"/>
      <x:c r="E11" s="32"/>
      <x:c r="F11" s="32"/>
      <x:c r="G11" s="32"/>
      <x:c r="H11" s="18"/>
      <x:c r="I11" s="18"/>
      <x:c r="J11" s="18"/>
      <x:c r="K11" s="18"/>
      <x:c r="L11" s="18"/>
      <x:c r="M11" s="32"/>
    </x:row>
    <x:row r="12" ht="27" customHeight="1">
      <x:c r="A12" s="18"/>
      <x:c r="B12" s="18"/>
      <x:c r="C12" s="32"/>
      <x:c r="D12" s="32"/>
      <x:c r="E12" s="32"/>
      <x:c r="F12" s="32"/>
      <x:c r="G12" s="32"/>
      <x:c r="H12" s="18"/>
      <x:c r="I12" s="18"/>
      <x:c r="J12" s="18"/>
      <x:c r="K12" s="18"/>
      <x:c r="L12" s="18"/>
      <x:c r="M12" s="32"/>
    </x:row>
    <x:row r="13" ht="27" customHeight="1">
      <x:c r="A13" s="18"/>
      <x:c r="B13" s="18"/>
      <x:c r="C13" s="32"/>
      <x:c r="D13" s="32"/>
      <x:c r="E13" s="32"/>
      <x:c r="F13" s="32"/>
      <x:c r="G13" s="32"/>
      <x:c r="H13" s="18"/>
      <x:c r="I13" s="18"/>
      <x:c r="J13" s="18"/>
      <x:c r="K13" s="18"/>
      <x:c r="L13" s="18"/>
      <x:c r="M13" s="32"/>
    </x:row>
    <x:row r="14" ht="27" customHeight="1">
      <x:c r="A14" s="18"/>
      <x:c r="B14" s="18"/>
      <x:c r="C14" s="32"/>
      <x:c r="D14" s="32"/>
      <x:c r="E14" s="32"/>
      <x:c r="F14" s="32"/>
      <x:c r="G14" s="32"/>
      <x:c r="H14" s="18"/>
      <x:c r="I14" s="18"/>
      <x:c r="J14" s="18"/>
      <x:c r="K14" s="18"/>
      <x:c r="L14" s="18"/>
      <x:c r="M14" s="32"/>
    </x:row>
    <x:row r="15" ht="27" customHeight="1">
      <x:c r="A15" s="18"/>
      <x:c r="B15" s="18"/>
      <x:c r="C15" s="32"/>
      <x:c r="D15" s="32"/>
      <x:c r="E15" s="32"/>
      <x:c r="F15" s="32"/>
      <x:c r="G15" s="32"/>
      <x:c r="H15" s="18"/>
      <x:c r="I15" s="18"/>
      <x:c r="J15" s="18"/>
      <x:c r="K15" s="18"/>
      <x:c r="L15" s="18"/>
      <x:c r="M15" s="32"/>
    </x:row>
    <x:row r="16" ht="27" customHeight="1">
      <x:c r="A16" s="18"/>
      <x:c r="B16" s="18"/>
      <x:c r="C16" s="32"/>
      <x:c r="D16" s="32"/>
      <x:c r="E16" s="32"/>
      <x:c r="F16" s="32"/>
      <x:c r="G16" s="32"/>
      <x:c r="H16" s="18"/>
      <x:c r="I16" s="18"/>
      <x:c r="J16" s="18"/>
      <x:c r="K16" s="18"/>
      <x:c r="L16" s="18"/>
      <x:c r="M16" s="32"/>
    </x:row>
    <x:row r="17" ht="27" customHeight="1">
      <x:c r="A17" s="18"/>
      <x:c r="B17" s="18"/>
      <x:c r="C17" s="32"/>
      <x:c r="D17" s="32"/>
      <x:c r="E17" s="32"/>
      <x:c r="F17" s="32"/>
      <x:c r="G17" s="32"/>
      <x:c r="H17" s="18"/>
      <x:c r="I17" s="18"/>
      <x:c r="J17" s="18"/>
      <x:c r="K17" s="18"/>
      <x:c r="L17" s="18"/>
      <x:c r="M17" s="32"/>
    </x:row>
    <x:row r="18" ht="27" customHeight="1">
      <x:c r="A18" s="18"/>
      <x:c r="B18" s="18"/>
      <x:c r="C18" s="32"/>
      <x:c r="D18" s="32"/>
      <x:c r="E18" s="32"/>
      <x:c r="F18" s="32"/>
      <x:c r="G18" s="32"/>
      <x:c r="H18" s="18"/>
      <x:c r="I18" s="18"/>
      <x:c r="J18" s="18"/>
      <x:c r="K18" s="18"/>
      <x:c r="L18" s="18"/>
      <x:c r="M18" s="32"/>
    </x:row>
    <x:row r="19" ht="27" customHeight="1">
      <x:c r="A19" s="18"/>
      <x:c r="B19" s="18"/>
      <x:c r="C19" s="32"/>
      <x:c r="D19" s="32"/>
      <x:c r="E19" s="32"/>
      <x:c r="F19" s="32"/>
      <x:c r="G19" s="32"/>
      <x:c r="H19" s="18"/>
      <x:c r="I19" s="18"/>
      <x:c r="J19" s="18"/>
      <x:c r="K19" s="18"/>
      <x:c r="L19" s="18"/>
      <x:c r="M19" s="32"/>
    </x:row>
    <x:row r="20" ht="27" customHeight="1">
      <x:c r="A20" s="18"/>
      <x:c r="B20" s="18"/>
      <x:c r="C20" s="32"/>
      <x:c r="D20" s="32"/>
      <x:c r="E20" s="32"/>
      <x:c r="F20" s="32"/>
      <x:c r="G20" s="32"/>
      <x:c r="H20" s="18"/>
      <x:c r="I20" s="18"/>
      <x:c r="J20" s="18"/>
      <x:c r="K20" s="18"/>
      <x:c r="L20" s="18"/>
      <x:c r="M20" s="32"/>
    </x:row>
    <x:row r="21" ht="27" customHeight="1">
      <x:c r="A21" s="18"/>
      <x:c r="B21" s="18"/>
      <x:c r="C21" s="32"/>
      <x:c r="D21" s="32"/>
      <x:c r="E21" s="32"/>
      <x:c r="F21" s="32"/>
      <x:c r="G21" s="32"/>
      <x:c r="H21" s="18"/>
      <x:c r="I21" s="18"/>
      <x:c r="J21" s="18"/>
      <x:c r="K21" s="18"/>
      <x:c r="L21" s="18"/>
      <x:c r="M21" s="32"/>
    </x:row>
    <x:row r="22" ht="27" customHeight="1">
      <x:c r="A22" s="18"/>
      <x:c r="B22" s="18"/>
      <x:c r="C22" s="32"/>
      <x:c r="D22" s="32"/>
      <x:c r="E22" s="32"/>
      <x:c r="F22" s="32"/>
      <x:c r="G22" s="32"/>
      <x:c r="H22" s="18"/>
      <x:c r="I22" s="18"/>
      <x:c r="J22" s="18"/>
      <x:c r="K22" s="18"/>
      <x:c r="L22" s="18"/>
      <x:c r="M22" s="32"/>
    </x:row>
    <x:row r="23" ht="27" customHeight="1">
      <x:c r="A23" s="18"/>
      <x:c r="B23" s="18"/>
      <x:c r="C23" s="32"/>
      <x:c r="D23" s="32"/>
      <x:c r="E23" s="32"/>
      <x:c r="F23" s="32"/>
      <x:c r="G23" s="32"/>
      <x:c r="H23" s="18"/>
      <x:c r="I23" s="18"/>
      <x:c r="J23" s="18"/>
      <x:c r="K23" s="18"/>
      <x:c r="L23" s="18"/>
      <x:c r="M23" s="32"/>
    </x:row>
    <x:row r="24" ht="27" customHeight="1">
      <x:c r="A24" s="18"/>
      <x:c r="B24" s="18"/>
      <x:c r="C24" s="32"/>
      <x:c r="D24" s="32"/>
      <x:c r="E24" s="32"/>
      <x:c r="F24" s="32"/>
      <x:c r="G24" s="32"/>
      <x:c r="H24" s="18"/>
      <x:c r="I24" s="18"/>
      <x:c r="J24" s="18"/>
      <x:c r="K24" s="18"/>
      <x:c r="L24" s="18"/>
      <x:c r="M24" s="32"/>
    </x:row>
    <x:row r="25" ht="27" customHeight="1">
      <x:c r="A25" s="18"/>
      <x:c r="B25" s="18"/>
      <x:c r="C25" s="32"/>
      <x:c r="D25" s="32"/>
      <x:c r="E25" s="32"/>
      <x:c r="F25" s="32"/>
      <x:c r="G25" s="32"/>
      <x:c r="H25" s="18"/>
      <x:c r="I25" s="18"/>
      <x:c r="J25" s="18"/>
      <x:c r="K25" s="18"/>
      <x:c r="L25" s="18"/>
      <x:c r="M25" s="32"/>
    </x:row>
    <x:row r="26" ht="27" customHeight="1">
      <x:c r="A26" s="18"/>
      <x:c r="B26" s="18"/>
      <x:c r="C26" s="32"/>
      <x:c r="D26" s="32"/>
      <x:c r="E26" s="32"/>
      <x:c r="F26" s="32"/>
      <x:c r="G26" s="32"/>
      <x:c r="H26" s="18"/>
      <x:c r="I26" s="18"/>
      <x:c r="J26" s="18"/>
      <x:c r="K26" s="18"/>
      <x:c r="L26" s="18"/>
      <x:c r="M26" s="32"/>
    </x:row>
    <x:row r="27" ht="27" customHeight="1">
      <x:c r="A27" s="18"/>
      <x:c r="B27" s="18"/>
      <x:c r="C27" s="32"/>
      <x:c r="D27" s="32"/>
      <x:c r="E27" s="32"/>
      <x:c r="F27" s="32"/>
      <x:c r="G27" s="32"/>
      <x:c r="H27" s="18"/>
      <x:c r="I27" s="18"/>
      <x:c r="J27" s="18"/>
      <x:c r="K27" s="18"/>
      <x:c r="L27" s="18"/>
      <x:c r="M27" s="32"/>
    </x:row>
    <x:row r="28" ht="27" customHeight="1">
      <x:c r="A28" s="18"/>
      <x:c r="B28" s="18"/>
      <x:c r="C28" s="32"/>
      <x:c r="D28" s="32"/>
      <x:c r="E28" s="32"/>
      <x:c r="F28" s="32"/>
      <x:c r="G28" s="32"/>
      <x:c r="H28" s="18"/>
      <x:c r="I28" s="18"/>
      <x:c r="J28" s="18"/>
      <x:c r="K28" s="18"/>
      <x:c r="L28" s="18"/>
      <x:c r="M28" s="32"/>
    </x:row>
    <x:row r="29" ht="27" customHeight="1">
      <x:c r="A29" s="18"/>
      <x:c r="B29" s="18"/>
      <x:c r="C29" s="32"/>
      <x:c r="D29" s="32"/>
      <x:c r="E29" s="32"/>
      <x:c r="F29" s="32"/>
      <x:c r="G29" s="32"/>
      <x:c r="H29" s="18"/>
      <x:c r="I29" s="18"/>
      <x:c r="J29" s="18"/>
      <x:c r="K29" s="18"/>
      <x:c r="L29" s="18"/>
      <x:c r="M29" s="32"/>
    </x:row>
    <x:row r="30" ht="27" customHeight="1">
      <x:c r="A30" s="18"/>
      <x:c r="B30" s="18"/>
      <x:c r="C30" s="32"/>
      <x:c r="D30" s="32"/>
      <x:c r="E30" s="32"/>
      <x:c r="F30" s="32"/>
      <x:c r="G30" s="32"/>
      <x:c r="H30" s="18"/>
      <x:c r="I30" s="18"/>
      <x:c r="J30" s="18"/>
      <x:c r="K30" s="18"/>
      <x:c r="L30" s="18"/>
      <x:c r="M30" s="32"/>
    </x:row>
    <x:row r="31" ht="27" customHeight="1">
      <x:c r="A31" s="18"/>
      <x:c r="B31" s="18"/>
      <x:c r="C31" s="32"/>
      <x:c r="D31" s="32"/>
      <x:c r="E31" s="32"/>
      <x:c r="F31" s="32"/>
      <x:c r="G31" s="32"/>
      <x:c r="H31" s="18"/>
      <x:c r="I31" s="18"/>
      <x:c r="J31" s="18"/>
      <x:c r="K31" s="18"/>
      <x:c r="L31" s="18"/>
      <x:c r="M31" s="32"/>
    </x:row>
    <x:row r="32" ht="27" customHeight="1">
      <x:c r="A32" s="18"/>
      <x:c r="B32" s="18"/>
      <x:c r="C32" s="32"/>
      <x:c r="D32" s="32"/>
      <x:c r="E32" s="32"/>
      <x:c r="F32" s="32"/>
      <x:c r="G32" s="32"/>
      <x:c r="H32" s="18"/>
      <x:c r="I32" s="18"/>
      <x:c r="J32" s="18"/>
      <x:c r="K32" s="18"/>
      <x:c r="L32" s="18"/>
      <x:c r="M32" s="32"/>
    </x:row>
    <x:row r="33" ht="27" customHeight="1">
      <x:c r="A33" s="18"/>
      <x:c r="B33" s="18"/>
      <x:c r="C33" s="32"/>
      <x:c r="D33" s="32"/>
      <x:c r="E33" s="32"/>
      <x:c r="F33" s="32"/>
      <x:c r="G33" s="32"/>
      <x:c r="H33" s="18"/>
      <x:c r="I33" s="18"/>
      <x:c r="J33" s="18"/>
      <x:c r="K33" s="18"/>
      <x:c r="L33" s="18"/>
      <x:c r="M33" s="32"/>
    </x:row>
    <x:row r="34" ht="27" customHeight="1">
      <x:c r="A34" s="18"/>
      <x:c r="B34" s="18"/>
      <x:c r="C34" s="32"/>
      <x:c r="D34" s="32"/>
      <x:c r="E34" s="32"/>
      <x:c r="F34" s="32"/>
      <x:c r="G34" s="32"/>
      <x:c r="H34" s="18"/>
      <x:c r="I34" s="18"/>
      <x:c r="J34" s="18"/>
      <x:c r="K34" s="18"/>
      <x:c r="L34" s="18"/>
      <x:c r="M34" s="32"/>
    </x:row>
    <x:row r="35" ht="27" customHeight="1">
      <x:c r="A35" s="18"/>
      <x:c r="B35" s="18"/>
      <x:c r="C35" s="32"/>
      <x:c r="D35" s="32"/>
      <x:c r="E35" s="32"/>
      <x:c r="F35" s="32"/>
      <x:c r="G35" s="32"/>
      <x:c r="H35" s="18"/>
      <x:c r="I35" s="18"/>
      <x:c r="J35" s="18"/>
      <x:c r="K35" s="18"/>
      <x:c r="L35" s="18"/>
      <x:c r="M35" s="32"/>
    </x:row>
    <x:row r="36" ht="27" customHeight="1">
      <x:c r="A36" s="18"/>
      <x:c r="B36" s="18"/>
      <x:c r="C36" s="32"/>
      <x:c r="D36" s="32"/>
      <x:c r="E36" s="32"/>
      <x:c r="F36" s="32"/>
      <x:c r="G36" s="32"/>
      <x:c r="H36" s="18"/>
      <x:c r="I36" s="18"/>
      <x:c r="J36" s="18"/>
      <x:c r="K36" s="18"/>
      <x:c r="L36" s="18"/>
      <x:c r="M36" s="32"/>
    </x:row>
    <x:row r="37" ht="27" customHeight="1">
      <x:c r="A37" s="18"/>
      <x:c r="B37" s="18"/>
      <x:c r="C37" s="32"/>
      <x:c r="D37" s="32"/>
      <x:c r="E37" s="32"/>
      <x:c r="F37" s="32"/>
      <x:c r="G37" s="32"/>
      <x:c r="H37" s="18"/>
      <x:c r="I37" s="18"/>
      <x:c r="J37" s="18"/>
      <x:c r="K37" s="18"/>
      <x:c r="L37" s="18"/>
      <x:c r="M37" s="32"/>
    </x:row>
    <x:row r="38" ht="27" customHeight="1">
      <x:c r="A38" s="18"/>
      <x:c r="B38" s="18"/>
      <x:c r="C38" s="32"/>
      <x:c r="D38" s="32"/>
      <x:c r="E38" s="32"/>
      <x:c r="F38" s="32"/>
      <x:c r="G38" s="32"/>
      <x:c r="H38" s="18"/>
      <x:c r="I38" s="18"/>
      <x:c r="J38" s="18"/>
      <x:c r="K38" s="18"/>
      <x:c r="L38" s="18"/>
      <x:c r="M38" s="32"/>
    </x:row>
    <x:row r="39" ht="27" customHeight="1">
      <x:c r="A39" s="18"/>
      <x:c r="B39" s="18"/>
      <x:c r="C39" s="32"/>
      <x:c r="D39" s="32"/>
      <x:c r="E39" s="32"/>
      <x:c r="F39" s="32"/>
      <x:c r="G39" s="32"/>
      <x:c r="H39" s="18"/>
      <x:c r="I39" s="18"/>
      <x:c r="J39" s="18"/>
      <x:c r="K39" s="18"/>
      <x:c r="L39" s="18"/>
      <x:c r="M39" s="32"/>
    </x:row>
    <x:row r="40" ht="27" customHeight="1">
      <x:c r="A40" s="18"/>
      <x:c r="B40" s="18"/>
      <x:c r="C40" s="32"/>
      <x:c r="D40" s="32"/>
      <x:c r="E40" s="32"/>
      <x:c r="F40" s="32"/>
      <x:c r="G40" s="32"/>
      <x:c r="H40" s="18"/>
      <x:c r="I40" s="18"/>
      <x:c r="J40" s="18"/>
      <x:c r="K40" s="18"/>
      <x:c r="L40" s="18"/>
      <x:c r="M40" s="32"/>
    </x:row>
    <x:row r="41" ht="27" customHeight="1">
      <x:c r="A41" s="18"/>
      <x:c r="B41" s="18"/>
      <x:c r="C41" s="32"/>
      <x:c r="D41" s="32"/>
      <x:c r="E41" s="32"/>
      <x:c r="F41" s="32"/>
      <x:c r="G41" s="32"/>
      <x:c r="H41" s="18"/>
      <x:c r="I41" s="18"/>
      <x:c r="J41" s="18"/>
      <x:c r="K41" s="18"/>
      <x:c r="L41" s="18"/>
      <x:c r="M41" s="32"/>
    </x:row>
    <x:row r="42" ht="27" customHeight="1">
      <x:c r="A42" s="18"/>
      <x:c r="B42" s="18"/>
      <x:c r="C42" s="32"/>
      <x:c r="D42" s="32"/>
      <x:c r="E42" s="32"/>
      <x:c r="F42" s="32"/>
      <x:c r="G42" s="32"/>
      <x:c r="H42" s="18"/>
      <x:c r="I42" s="18"/>
      <x:c r="J42" s="18"/>
      <x:c r="K42" s="18"/>
      <x:c r="L42" s="18"/>
      <x:c r="M42" s="32"/>
    </x:row>
    <x:row r="43" ht="27" customHeight="1">
      <x:c r="A43" s="18"/>
      <x:c r="B43" s="18"/>
      <x:c r="C43" s="32"/>
      <x:c r="D43" s="32"/>
      <x:c r="E43" s="32"/>
      <x:c r="F43" s="32"/>
      <x:c r="G43" s="32"/>
      <x:c r="H43" s="18"/>
      <x:c r="I43" s="18"/>
      <x:c r="J43" s="18"/>
      <x:c r="K43" s="18"/>
      <x:c r="L43" s="18"/>
      <x:c r="M43" s="32"/>
    </x:row>
    <x:row r="44" ht="27" customHeight="1">
      <x:c r="A44" s="18"/>
      <x:c r="B44" s="18"/>
      <x:c r="C44" s="32"/>
      <x:c r="D44" s="32"/>
      <x:c r="E44" s="32"/>
      <x:c r="F44" s="32"/>
      <x:c r="G44" s="32"/>
      <x:c r="H44" s="18"/>
      <x:c r="I44" s="18"/>
      <x:c r="J44" s="18"/>
      <x:c r="K44" s="18"/>
      <x:c r="L44" s="18"/>
      <x:c r="M44" s="32"/>
    </x:row>
    <x:row r="45" ht="27" customHeight="1">
      <x:c r="A45" s="18"/>
      <x:c r="B45" s="18"/>
      <x:c r="C45" s="32"/>
      <x:c r="D45" s="32"/>
      <x:c r="E45" s="32"/>
      <x:c r="F45" s="32"/>
      <x:c r="G45" s="32"/>
      <x:c r="H45" s="18"/>
      <x:c r="I45" s="18"/>
      <x:c r="J45" s="18"/>
      <x:c r="K45" s="18"/>
      <x:c r="L45" s="18"/>
      <x:c r="M45" s="32"/>
    </x:row>
  </x:sheetData>
  <x:mergeCells>
    <x:mergeCell ref="A1:M2"/>
    <x:mergeCell ref="A3:M3"/>
    <x:mergeCell ref="A4:M4"/>
  </x:mergeCells>
  <x:conditionalFormatting sqref="E6:E45">
    <x:cfRule type="expression" dxfId="3" priority="1">
      <x:formula>AND(ISNUMBER($C6),ISNUMBER($E6),$E6&gt;$C6)</x:formula>
    </x:cfRule>
  </x:conditionalFormatting>
  <x:conditionalFormatting sqref="G6:G45">
    <x:cfRule type="expression" dxfId="4" priority="2">
      <x:formula>AND(ISNUMBER($E6),ISNUMBER($F6),ISNUMBER($G6),$F6+$G6&gt;$E6)</x:formula>
    </x:cfRule>
  </x:conditionalFormatting>
  <x:dataValidations count="6">
    <x:dataValidation type="whole" sqref="C6:C45">
      <x:formula1>0</x:formula1>
    </x:dataValidation>
    <x:dataValidation type="whole" sqref="D6:D45">
      <x:formula1>0</x:formula1>
    </x:dataValidation>
    <x:dataValidation type="whole" sqref="E6:E45">
      <x:formula1>0</x:formula1>
    </x:dataValidation>
    <x:dataValidation type="whole" sqref="F6:F45">
      <x:formula1>0</x:formula1>
    </x:dataValidation>
    <x:dataValidation type="whole" sqref="G6:G45">
      <x:formula1>0</x:formula1>
    </x:dataValidation>
    <x:dataValidation type="list" sqref="L6:L45">
      <x:formula1>"Pendiente,Definido,Evaluado con evidencia,Validado"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907057cbb040e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3" hidden="0" customWidth="1"/>
    <x:col min="3" max="3" width="32" hidden="0" customWidth="1"/>
    <x:col min="4" max="4" width="69" hidden="0" customWidth="1"/>
    <x:col min="5" max="5" width="52" hidden="0" customWidth="1"/>
    <x:col min="6" max="6" width="19" hidden="0" customWidth="1"/>
    <x:col min="7" max="7" width="19" hidden="0" customWidth="1"/>
    <x:col min="8" max="8" width="47" hidden="0" customWidth="1"/>
    <x:col min="9" max="9" width="55" hidden="0" customWidth="1"/>
  </x:cols>
  <x:sheetData>
    <x:row r="1" ht="35" customHeight="1">
      <x:c r="A1" s="44" t="str">
        <x:v>CHECKLIST DE CONFORMIDAD — CRITERIOS PROPUESTOS</x:v>
      </x:c>
      <x:c r="B1" s="44"/>
      <x:c r="C1" s="44"/>
      <x:c r="D1" s="44"/>
      <x:c r="E1" s="44"/>
      <x:c r="F1" s="44"/>
      <x:c r="G1" s="44"/>
      <x:c r="H1" s="44"/>
      <x:c r="I1" s="44"/>
    </x:row>
    <x:row r="2" ht="30" customHeight="1">
      <x:c r="A2" s="47" t="str">
        <x:v>Rúbrica candidata. No declarar conformidad hasta verificar todos los criterios relevantes del formulario y conservar evidencia verificable.</x:v>
      </x:c>
      <x:c r="B2" s="47"/>
      <x:c r="C2" s="47"/>
      <x:c r="D2" s="47"/>
      <x:c r="E2" s="47"/>
      <x:c r="F2" s="47"/>
      <x:c r="G2" s="47"/>
      <x:c r="H2" s="47"/>
      <x:c r="I2" s="47"/>
    </x:row>
    <x:row r="4" ht="37" customHeight="1">
      <x:c r="A4" s="50" t="str">
        <x:v>Código formulario</x:v>
      </x:c>
      <x:c r="B4" s="50" t="str">
        <x:v>Formulario</x:v>
      </x:c>
      <x:c r="C4" s="50" t="str">
        <x:v>Dimensión</x:v>
      </x:c>
      <x:c r="D4" s="50" t="str">
        <x:v>Criterio de comprobación candidato</x:v>
      </x:c>
      <x:c r="E4" s="50" t="str">
        <x:v>Requisito/campo específico</x:v>
      </x:c>
      <x:c r="F4" s="50" t="str">
        <x:v>Prueba realizada</x:v>
      </x:c>
      <x:c r="G4" s="50" t="str">
        <x:v>Resultado</x:v>
      </x:c>
      <x:c r="H4" s="50" t="str">
        <x:v>Evidencia</x:v>
      </x:c>
      <x:c r="I4" s="50" t="str">
        <x:v>Advertencia</x:v>
      </x:c>
    </x:row>
    <x:row r="5" ht="46" customHeight="1">
      <x:c r="A5" s="18" t="str">
        <x:v>FOR-001</x:v>
      </x:c>
      <x:c r="B5" s="18" t="str">
        <x:v>Formulario usuarios</x:v>
      </x:c>
      <x:c r="C5" s="18" t="str">
        <x:v>Obligatorios y formatos</x:v>
      </x:c>
      <x:c r="D5" s="18" t="str">
        <x:v>Bloquear campos vacíos/no válidos y mostrar aviso contextual</x:v>
      </x:c>
      <x:c r="E5" s="18"/>
      <x:c r="F5" s="18"/>
      <x:c r="G5" s="18"/>
      <x:c r="H5" s="18"/>
      <x:c r="I5" s="18" t="str">
        <x:v>Propuesto; validar la regla concreta por formulario</x:v>
      </x:c>
    </x:row>
    <x:row r="6" ht="46" customHeight="1">
      <x:c r="A6" s="18" t="str">
        <x:v>FOR-001</x:v>
      </x:c>
      <x:c r="B6" s="18" t="str">
        <x:v>Formulario usuarios</x:v>
      </x:c>
      <x:c r="C6" s="18" t="str">
        <x:v>Rangos, coherencia y permisos</x:v>
      </x:c>
      <x:c r="D6" s="18" t="str">
        <x:v>Respetar reglas de negocio, rol/proyecto y consistencia de datos</x:v>
      </x:c>
      <x:c r="E6" s="18"/>
      <x:c r="F6" s="18"/>
      <x:c r="G6" s="18"/>
      <x:c r="H6" s="18"/>
      <x:c r="I6" s="18" t="str">
        <x:v>Propuesto; validar reglas y casos negativos</x:v>
      </x:c>
    </x:row>
    <x:row r="7" ht="46" customHeight="1">
      <x:c r="A7" s="18" t="str">
        <x:v>FOR-001</x:v>
      </x:c>
      <x:c r="B7" s="18" t="str">
        <x:v>Formulario usuarios</x:v>
      </x:c>
      <x:c r="C7" s="18" t="str">
        <x:v>Persistencia y trazabilidad</x:v>
      </x:c>
      <x:c r="D7" s="18" t="str">
        <x:v>Guardar una vez, recuperar registro y contrastar trazabilidad</x:v>
      </x:c>
      <x:c r="E7" s="18"/>
      <x:c r="F7" s="18"/>
      <x:c r="G7" s="18"/>
      <x:c r="H7" s="18"/>
      <x:c r="I7" s="18" t="str">
        <x:v>Propuesto; requiere ambiente, datos y evidencia</x:v>
      </x:c>
    </x:row>
    <x:row r="8" ht="46" customHeight="1">
      <x:c r="A8" s="18" t="str">
        <x:v>FOR-002</x:v>
      </x:c>
      <x:c r="B8" s="18" t="str">
        <x:v>Formulario proyectos</x:v>
      </x:c>
      <x:c r="C8" s="18" t="str">
        <x:v>Obligatorios y formatos</x:v>
      </x:c>
      <x:c r="D8" s="18" t="str">
        <x:v>Bloquear campos vacíos/no válidos y mostrar aviso contextual</x:v>
      </x:c>
      <x:c r="E8" s="18"/>
      <x:c r="F8" s="18"/>
      <x:c r="G8" s="18"/>
      <x:c r="H8" s="18"/>
      <x:c r="I8" s="18" t="str">
        <x:v>Propuesto; validar la regla concreta por formulario</x:v>
      </x:c>
    </x:row>
    <x:row r="9" ht="46" customHeight="1">
      <x:c r="A9" s="18" t="str">
        <x:v>FOR-002</x:v>
      </x:c>
      <x:c r="B9" s="18" t="str">
        <x:v>Formulario proyectos</x:v>
      </x:c>
      <x:c r="C9" s="18" t="str">
        <x:v>Rangos, coherencia y permisos</x:v>
      </x:c>
      <x:c r="D9" s="18" t="str">
        <x:v>Respetar reglas de negocio, rol/proyecto y consistencia de datos</x:v>
      </x:c>
      <x:c r="E9" s="18"/>
      <x:c r="F9" s="18"/>
      <x:c r="G9" s="18"/>
      <x:c r="H9" s="18"/>
      <x:c r="I9" s="18" t="str">
        <x:v>Propuesto; validar reglas y casos negativos</x:v>
      </x:c>
    </x:row>
    <x:row r="10" ht="46" customHeight="1">
      <x:c r="A10" s="18" t="str">
        <x:v>FOR-002</x:v>
      </x:c>
      <x:c r="B10" s="18" t="str">
        <x:v>Formulario proyectos</x:v>
      </x:c>
      <x:c r="C10" s="18" t="str">
        <x:v>Persistencia y trazabilidad</x:v>
      </x:c>
      <x:c r="D10" s="18" t="str">
        <x:v>Guardar una vez, recuperar registro y contrastar trazabilidad</x:v>
      </x:c>
      <x:c r="E10" s="18"/>
      <x:c r="F10" s="18"/>
      <x:c r="G10" s="18"/>
      <x:c r="H10" s="18"/>
      <x:c r="I10" s="18" t="str">
        <x:v>Propuesto; requiere ambiente, datos y evidencia</x:v>
      </x:c>
    </x:row>
    <x:row r="11" ht="46" customHeight="1">
      <x:c r="A11" s="18" t="str">
        <x:v>FOR-003</x:v>
      </x:c>
      <x:c r="B11" s="18" t="str">
        <x:v>Formulario rubros</x:v>
      </x:c>
      <x:c r="C11" s="18" t="str">
        <x:v>Obligatorios y formatos</x:v>
      </x:c>
      <x:c r="D11" s="18" t="str">
        <x:v>Bloquear campos vacíos/no válidos y mostrar aviso contextual</x:v>
      </x:c>
      <x:c r="E11" s="18"/>
      <x:c r="F11" s="18"/>
      <x:c r="G11" s="18"/>
      <x:c r="H11" s="18"/>
      <x:c r="I11" s="18" t="str">
        <x:v>Propuesto; validar la regla concreta por formulario</x:v>
      </x:c>
    </x:row>
    <x:row r="12" ht="46" customHeight="1">
      <x:c r="A12" s="18" t="str">
        <x:v>FOR-003</x:v>
      </x:c>
      <x:c r="B12" s="18" t="str">
        <x:v>Formulario rubros</x:v>
      </x:c>
      <x:c r="C12" s="18" t="str">
        <x:v>Rangos, coherencia y permisos</x:v>
      </x:c>
      <x:c r="D12" s="18" t="str">
        <x:v>Respetar reglas de negocio, rol/proyecto y consistencia de datos</x:v>
      </x:c>
      <x:c r="E12" s="18"/>
      <x:c r="F12" s="18"/>
      <x:c r="G12" s="18"/>
      <x:c r="H12" s="18"/>
      <x:c r="I12" s="18" t="str">
        <x:v>Propuesto; validar reglas y casos negativos</x:v>
      </x:c>
    </x:row>
    <x:row r="13" ht="46" customHeight="1">
      <x:c r="A13" s="18" t="str">
        <x:v>FOR-003</x:v>
      </x:c>
      <x:c r="B13" s="18" t="str">
        <x:v>Formulario rubros</x:v>
      </x:c>
      <x:c r="C13" s="18" t="str">
        <x:v>Persistencia y trazabilidad</x:v>
      </x:c>
      <x:c r="D13" s="18" t="str">
        <x:v>Guardar una vez, recuperar registro y contrastar trazabilidad</x:v>
      </x:c>
      <x:c r="E13" s="18"/>
      <x:c r="F13" s="18"/>
      <x:c r="G13" s="18"/>
      <x:c r="H13" s="18"/>
      <x:c r="I13" s="18" t="str">
        <x:v>Propuesto; requiere ambiente, datos y evidencia</x:v>
      </x:c>
    </x:row>
    <x:row r="14" ht="46" customHeight="1">
      <x:c r="A14" s="18" t="str">
        <x:v>FOR-004</x:v>
      </x:c>
      <x:c r="B14" s="18" t="str">
        <x:v>Formulario acceso a proyectos</x:v>
      </x:c>
      <x:c r="C14" s="18" t="str">
        <x:v>Obligatorios y formatos</x:v>
      </x:c>
      <x:c r="D14" s="18" t="str">
        <x:v>Bloquear campos vacíos/no válidos y mostrar aviso contextual</x:v>
      </x:c>
      <x:c r="E14" s="18"/>
      <x:c r="F14" s="18"/>
      <x:c r="G14" s="18"/>
      <x:c r="H14" s="18"/>
      <x:c r="I14" s="18" t="str">
        <x:v>Propuesto; validar la regla concreta por formulario</x:v>
      </x:c>
    </x:row>
    <x:row r="15" ht="46" customHeight="1">
      <x:c r="A15" s="18" t="str">
        <x:v>FOR-004</x:v>
      </x:c>
      <x:c r="B15" s="18" t="str">
        <x:v>Formulario acceso a proyectos</x:v>
      </x:c>
      <x:c r="C15" s="18" t="str">
        <x:v>Rangos, coherencia y permisos</x:v>
      </x:c>
      <x:c r="D15" s="18" t="str">
        <x:v>Respetar reglas de negocio, rol/proyecto y consistencia de datos</x:v>
      </x:c>
      <x:c r="E15" s="18"/>
      <x:c r="F15" s="18"/>
      <x:c r="G15" s="18"/>
      <x:c r="H15" s="18"/>
      <x:c r="I15" s="18" t="str">
        <x:v>Propuesto; validar reglas y casos negativos</x:v>
      </x:c>
    </x:row>
    <x:row r="16" ht="46" customHeight="1">
      <x:c r="A16" s="18" t="str">
        <x:v>FOR-004</x:v>
      </x:c>
      <x:c r="B16" s="18" t="str">
        <x:v>Formulario acceso a proyectos</x:v>
      </x:c>
      <x:c r="C16" s="18" t="str">
        <x:v>Persistencia y trazabilidad</x:v>
      </x:c>
      <x:c r="D16" s="18" t="str">
        <x:v>Guardar una vez, recuperar registro y contrastar trazabilidad</x:v>
      </x:c>
      <x:c r="E16" s="18"/>
      <x:c r="F16" s="18"/>
      <x:c r="G16" s="18"/>
      <x:c r="H16" s="18"/>
      <x:c r="I16" s="18" t="str">
        <x:v>Propuesto; requiere ambiente, datos y evidencia</x:v>
      </x:c>
    </x:row>
    <x:row r="17" ht="46" customHeight="1">
      <x:c r="A17" s="18" t="str">
        <x:v>FOR-005</x:v>
      </x:c>
      <x:c r="B17" s="18" t="str">
        <x:v>Formulario catálogo de materiales</x:v>
      </x:c>
      <x:c r="C17" s="18" t="str">
        <x:v>Obligatorios y formatos</x:v>
      </x:c>
      <x:c r="D17" s="18" t="str">
        <x:v>Bloquear campos vacíos/no válidos y mostrar aviso contextual</x:v>
      </x:c>
      <x:c r="E17" s="18"/>
      <x:c r="F17" s="18"/>
      <x:c r="G17" s="18"/>
      <x:c r="H17" s="18"/>
      <x:c r="I17" s="18" t="str">
        <x:v>Propuesto; validar la regla concreta por formulario</x:v>
      </x:c>
    </x:row>
    <x:row r="18" ht="46" customHeight="1">
      <x:c r="A18" s="18" t="str">
        <x:v>FOR-005</x:v>
      </x:c>
      <x:c r="B18" s="18" t="str">
        <x:v>Formulario catálogo de materiales</x:v>
      </x:c>
      <x:c r="C18" s="18" t="str">
        <x:v>Rangos, coherencia y permisos</x:v>
      </x:c>
      <x:c r="D18" s="18" t="str">
        <x:v>Respetar reglas de negocio, rol/proyecto y consistencia de datos</x:v>
      </x:c>
      <x:c r="E18" s="18"/>
      <x:c r="F18" s="18"/>
      <x:c r="G18" s="18"/>
      <x:c r="H18" s="18"/>
      <x:c r="I18" s="18" t="str">
        <x:v>Propuesto; validar reglas y casos negativos</x:v>
      </x:c>
    </x:row>
    <x:row r="19" ht="46" customHeight="1">
      <x:c r="A19" s="18" t="str">
        <x:v>FOR-005</x:v>
      </x:c>
      <x:c r="B19" s="18" t="str">
        <x:v>Formulario catálogo de materiales</x:v>
      </x:c>
      <x:c r="C19" s="18" t="str">
        <x:v>Persistencia y trazabilidad</x:v>
      </x:c>
      <x:c r="D19" s="18" t="str">
        <x:v>Guardar una vez, recuperar registro y contrastar trazabilidad</x:v>
      </x:c>
      <x:c r="E19" s="18"/>
      <x:c r="F19" s="18"/>
      <x:c r="G19" s="18"/>
      <x:c r="H19" s="18"/>
      <x:c r="I19" s="18" t="str">
        <x:v>Propuesto; requiere ambiente, datos y evidencia</x:v>
      </x:c>
    </x:row>
    <x:row r="20" ht="46" customHeight="1">
      <x:c r="A20" s="18" t="str">
        <x:v>FOR-006</x:v>
      </x:c>
      <x:c r="B20" s="18" t="str">
        <x:v>Formulario de requerimiento</x:v>
      </x:c>
      <x:c r="C20" s="18" t="str">
        <x:v>Obligatorios y formatos</x:v>
      </x:c>
      <x:c r="D20" s="18" t="str">
        <x:v>Bloquear campos vacíos/no válidos y mostrar aviso contextual</x:v>
      </x:c>
      <x:c r="E20" s="18"/>
      <x:c r="F20" s="18"/>
      <x:c r="G20" s="18"/>
      <x:c r="H20" s="18"/>
      <x:c r="I20" s="18" t="str">
        <x:v>Propuesto; validar la regla concreta por formulario</x:v>
      </x:c>
    </x:row>
    <x:row r="21" ht="46" customHeight="1">
      <x:c r="A21" s="18" t="str">
        <x:v>FOR-006</x:v>
      </x:c>
      <x:c r="B21" s="18" t="str">
        <x:v>Formulario de requerimiento</x:v>
      </x:c>
      <x:c r="C21" s="18" t="str">
        <x:v>Rangos, coherencia y permisos</x:v>
      </x:c>
      <x:c r="D21" s="18" t="str">
        <x:v>Respetar reglas de negocio, rol/proyecto y consistencia de datos</x:v>
      </x:c>
      <x:c r="E21" s="18"/>
      <x:c r="F21" s="18"/>
      <x:c r="G21" s="18"/>
      <x:c r="H21" s="18"/>
      <x:c r="I21" s="18" t="str">
        <x:v>Propuesto; validar reglas y casos negativos</x:v>
      </x:c>
    </x:row>
    <x:row r="22" ht="46" customHeight="1">
      <x:c r="A22" s="18" t="str">
        <x:v>FOR-006</x:v>
      </x:c>
      <x:c r="B22" s="18" t="str">
        <x:v>Formulario de requerimiento</x:v>
      </x:c>
      <x:c r="C22" s="18" t="str">
        <x:v>Persistencia y trazabilidad</x:v>
      </x:c>
      <x:c r="D22" s="18" t="str">
        <x:v>Guardar una vez, recuperar registro y contrastar trazabilidad</x:v>
      </x:c>
      <x:c r="E22" s="18"/>
      <x:c r="F22" s="18"/>
      <x:c r="G22" s="18"/>
      <x:c r="H22" s="18"/>
      <x:c r="I22" s="18" t="str">
        <x:v>Propuesto; requiere ambiente, datos y evidencia</x:v>
      </x:c>
    </x:row>
    <x:row r="23" ht="46" customHeight="1">
      <x:c r="A23" s="18" t="str">
        <x:v>FOR-007</x:v>
      </x:c>
      <x:c r="B23" s="18" t="str">
        <x:v>Formulario de recepción</x:v>
      </x:c>
      <x:c r="C23" s="18" t="str">
        <x:v>Obligatorios y formatos</x:v>
      </x:c>
      <x:c r="D23" s="18" t="str">
        <x:v>Bloquear campos vacíos/no válidos y mostrar aviso contextual</x:v>
      </x:c>
      <x:c r="E23" s="18"/>
      <x:c r="F23" s="18"/>
      <x:c r="G23" s="18"/>
      <x:c r="H23" s="18"/>
      <x:c r="I23" s="18" t="str">
        <x:v>Propuesto; validar la regla concreta por formulario</x:v>
      </x:c>
    </x:row>
    <x:row r="24" ht="46" customHeight="1">
      <x:c r="A24" s="18" t="str">
        <x:v>FOR-007</x:v>
      </x:c>
      <x:c r="B24" s="18" t="str">
        <x:v>Formulario de recepción</x:v>
      </x:c>
      <x:c r="C24" s="18" t="str">
        <x:v>Rangos, coherencia y permisos</x:v>
      </x:c>
      <x:c r="D24" s="18" t="str">
        <x:v>Respetar reglas de negocio, rol/proyecto y consistencia de datos</x:v>
      </x:c>
      <x:c r="E24" s="18"/>
      <x:c r="F24" s="18"/>
      <x:c r="G24" s="18"/>
      <x:c r="H24" s="18"/>
      <x:c r="I24" s="18" t="str">
        <x:v>Propuesto; validar reglas y casos negativos</x:v>
      </x:c>
    </x:row>
    <x:row r="25" ht="46" customHeight="1">
      <x:c r="A25" s="18" t="str">
        <x:v>FOR-007</x:v>
      </x:c>
      <x:c r="B25" s="18" t="str">
        <x:v>Formulario de recepción</x:v>
      </x:c>
      <x:c r="C25" s="18" t="str">
        <x:v>Persistencia y trazabilidad</x:v>
      </x:c>
      <x:c r="D25" s="18" t="str">
        <x:v>Guardar una vez, recuperar registro y contrastar trazabilidad</x:v>
      </x:c>
      <x:c r="E25" s="18"/>
      <x:c r="F25" s="18"/>
      <x:c r="G25" s="18"/>
      <x:c r="H25" s="18"/>
      <x:c r="I25" s="18" t="str">
        <x:v>Propuesto; requiere ambiente, datos y evidencia</x:v>
      </x:c>
    </x:row>
    <x:row r="26" ht="46" customHeight="1">
      <x:c r="A26" s="18" t="str">
        <x:v>FOR-008</x:v>
      </x:c>
      <x:c r="B26" s="18" t="str">
        <x:v>Formulario de consumo</x:v>
      </x:c>
      <x:c r="C26" s="18" t="str">
        <x:v>Obligatorios y formatos</x:v>
      </x:c>
      <x:c r="D26" s="18" t="str">
        <x:v>Bloquear campos vacíos/no válidos y mostrar aviso contextual</x:v>
      </x:c>
      <x:c r="E26" s="18"/>
      <x:c r="F26" s="18"/>
      <x:c r="G26" s="18"/>
      <x:c r="H26" s="18"/>
      <x:c r="I26" s="18" t="str">
        <x:v>Propuesto; validar la regla concreta por formulario</x:v>
      </x:c>
    </x:row>
    <x:row r="27" ht="46" customHeight="1">
      <x:c r="A27" s="18" t="str">
        <x:v>FOR-008</x:v>
      </x:c>
      <x:c r="B27" s="18" t="str">
        <x:v>Formulario de consumo</x:v>
      </x:c>
      <x:c r="C27" s="18" t="str">
        <x:v>Rangos, coherencia y permisos</x:v>
      </x:c>
      <x:c r="D27" s="18" t="str">
        <x:v>Respetar reglas de negocio, rol/proyecto y consistencia de datos</x:v>
      </x:c>
      <x:c r="E27" s="18"/>
      <x:c r="F27" s="18"/>
      <x:c r="G27" s="18"/>
      <x:c r="H27" s="18"/>
      <x:c r="I27" s="18" t="str">
        <x:v>Propuesto; validar reglas y casos negativos</x:v>
      </x:c>
    </x:row>
    <x:row r="28" ht="46" customHeight="1">
      <x:c r="A28" s="18" t="str">
        <x:v>FOR-008</x:v>
      </x:c>
      <x:c r="B28" s="18" t="str">
        <x:v>Formulario de consumo</x:v>
      </x:c>
      <x:c r="C28" s="18" t="str">
        <x:v>Persistencia y trazabilidad</x:v>
      </x:c>
      <x:c r="D28" s="18" t="str">
        <x:v>Guardar una vez, recuperar registro y contrastar trazabilidad</x:v>
      </x:c>
      <x:c r="E28" s="18"/>
      <x:c r="F28" s="18"/>
      <x:c r="G28" s="18"/>
      <x:c r="H28" s="18"/>
      <x:c r="I28" s="18" t="str">
        <x:v>Propuesto; requiere ambiente, datos y evidencia</x:v>
      </x:c>
    </x:row>
    <x:row r="29" ht="46" customHeight="1">
      <x:c r="A29" s="18" t="str">
        <x:v>FOR-009</x:v>
      </x:c>
      <x:c r="B29" s="18" t="str">
        <x:v>Formulario de avance</x:v>
      </x:c>
      <x:c r="C29" s="18" t="str">
        <x:v>Obligatorios y formatos</x:v>
      </x:c>
      <x:c r="D29" s="18" t="str">
        <x:v>Bloquear campos vacíos/no válidos y mostrar aviso contextual</x:v>
      </x:c>
      <x:c r="E29" s="18"/>
      <x:c r="F29" s="18"/>
      <x:c r="G29" s="18"/>
      <x:c r="H29" s="18"/>
      <x:c r="I29" s="18" t="str">
        <x:v>Propuesto; validar la regla concreta por formulario</x:v>
      </x:c>
    </x:row>
    <x:row r="30" ht="46" customHeight="1">
      <x:c r="A30" s="18" t="str">
        <x:v>FOR-009</x:v>
      </x:c>
      <x:c r="B30" s="18" t="str">
        <x:v>Formulario de avance</x:v>
      </x:c>
      <x:c r="C30" s="18" t="str">
        <x:v>Rangos, coherencia y permisos</x:v>
      </x:c>
      <x:c r="D30" s="18" t="str">
        <x:v>Respetar reglas de negocio, rol/proyecto y consistencia de datos</x:v>
      </x:c>
      <x:c r="E30" s="18"/>
      <x:c r="F30" s="18"/>
      <x:c r="G30" s="18"/>
      <x:c r="H30" s="18"/>
      <x:c r="I30" s="18" t="str">
        <x:v>Propuesto; validar reglas y casos negativos</x:v>
      </x:c>
    </x:row>
    <x:row r="31" ht="46" customHeight="1">
      <x:c r="A31" s="18" t="str">
        <x:v>FOR-009</x:v>
      </x:c>
      <x:c r="B31" s="18" t="str">
        <x:v>Formulario de avance</x:v>
      </x:c>
      <x:c r="C31" s="18" t="str">
        <x:v>Persistencia y trazabilidad</x:v>
      </x:c>
      <x:c r="D31" s="18" t="str">
        <x:v>Guardar una vez, recuperar registro y contrastar trazabilidad</x:v>
      </x:c>
      <x:c r="E31" s="18"/>
      <x:c r="F31" s="18"/>
      <x:c r="G31" s="18"/>
      <x:c r="H31" s="18"/>
      <x:c r="I31" s="18" t="str">
        <x:v>Propuesto; requiere ambiente, datos y evidencia</x:v>
      </x:c>
    </x:row>
    <x:row r="32" ht="46" customHeight="1">
      <x:c r="A32" s="18" t="str">
        <x:v>FOR-010</x:v>
      </x:c>
      <x:c r="B32" s="18" t="str">
        <x:v>Formulario línea de requerimiento</x:v>
      </x:c>
      <x:c r="C32" s="18" t="str">
        <x:v>Obligatorios y formatos</x:v>
      </x:c>
      <x:c r="D32" s="18" t="str">
        <x:v>Bloquear campos vacíos/no válidos y mostrar aviso contextual</x:v>
      </x:c>
      <x:c r="E32" s="18"/>
      <x:c r="F32" s="18"/>
      <x:c r="G32" s="18"/>
      <x:c r="H32" s="18"/>
      <x:c r="I32" s="18" t="str">
        <x:v>Propuesto; validar la regla concreta por formulario</x:v>
      </x:c>
    </x:row>
    <x:row r="33" ht="46" customHeight="1">
      <x:c r="A33" s="18" t="str">
        <x:v>FOR-010</x:v>
      </x:c>
      <x:c r="B33" s="18" t="str">
        <x:v>Formulario línea de requerimiento</x:v>
      </x:c>
      <x:c r="C33" s="18" t="str">
        <x:v>Rangos, coherencia y permisos</x:v>
      </x:c>
      <x:c r="D33" s="18" t="str">
        <x:v>Respetar reglas de negocio, rol/proyecto y consistencia de datos</x:v>
      </x:c>
      <x:c r="E33" s="18"/>
      <x:c r="F33" s="18"/>
      <x:c r="G33" s="18"/>
      <x:c r="H33" s="18"/>
      <x:c r="I33" s="18" t="str">
        <x:v>Propuesto; validar reglas y casos negativos</x:v>
      </x:c>
    </x:row>
    <x:row r="34" ht="46" customHeight="1">
      <x:c r="A34" s="18" t="str">
        <x:v>FOR-010</x:v>
      </x:c>
      <x:c r="B34" s="18" t="str">
        <x:v>Formulario línea de requerimiento</x:v>
      </x:c>
      <x:c r="C34" s="18" t="str">
        <x:v>Persistencia y trazabilidad</x:v>
      </x:c>
      <x:c r="D34" s="18" t="str">
        <x:v>Guardar una vez, recuperar registro y contrastar trazabilidad</x:v>
      </x:c>
      <x:c r="E34" s="18"/>
      <x:c r="F34" s="18"/>
      <x:c r="G34" s="18"/>
      <x:c r="H34" s="18"/>
      <x:c r="I34" s="18" t="str">
        <x:v>Propuesto; requiere ambiente, datos y evidencia</x:v>
      </x:c>
    </x:row>
  </x:sheetData>
  <x:mergeCells>
    <x:mergeCell ref="A1:I1"/>
    <x:mergeCell ref="A2:I2"/>
  </x:mergeCells>
  <x:dataValidations count="2">
    <x:dataValidation type="list" sqref="F5:F84">
      <x:formula1>"Sí,No,Pendiente"</x:formula1>
    </x:dataValidation>
    <x:dataValidation type="list" sqref="G5:G84">
      <x:formula1>"Cumple,No cumple,No aplica,Pendiente"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40" hidden="0" customWidth="1"/>
    <x:col min="4" max="4" width="64" hidden="0" customWidth="1"/>
    <x:col min="5" max="5" width="25" hidden="0" customWidth="1"/>
    <x:col min="6" max="6" width="48" hidden="0" customWidth="1"/>
    <x:col min="7" max="7" width="13" hidden="0" customWidth="1"/>
    <x:col min="8" max="8" width="15" hidden="0" customWidth="1"/>
    <x:col min="9" max="9" width="19" hidden="0" customWidth="1"/>
    <x:col min="10" max="10" width="52" hidden="0" customWidth="1"/>
  </x:cols>
  <x:sheetData>
    <x:row r="1" ht="35" customHeight="1">
      <x:c r="A1" s="44" t="str">
        <x:v>CONTROL DE ESPACIOS EN BLANCO Y DECISIONES PENDIENTES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0" customHeight="1">
      <x:c r="A2" s="47" t="str">
        <x:v>Cada línea explica un campo o conjunto homogéneo de celdas que debe continuar vacío hasta disponer de respaldo. No supone aprobación del director.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4" ht="37" customHeight="1">
      <x:c r="A4" s="50" t="str">
        <x:v>ID</x:v>
      </x:c>
      <x:c r="B4" s="50" t="str">
        <x:v>Hoja y rango sin completar</x:v>
      </x:c>
      <x:c r="C4" s="50" t="str">
        <x:v>Dato/decisión pendiente</x:v>
      </x:c>
      <x:c r="D4" s="50" t="str">
        <x:v>Qué se necesita para rellenarlo</x:v>
      </x:c>
      <x:c r="E4" s="50" t="str">
        <x:v>Responsable de verificar</x:v>
      </x:c>
      <x:c r="F4" s="50" t="str">
        <x:v>Fuente/evidencia esperada</x:v>
      </x:c>
      <x:c r="G4" s="50" t="str">
        <x:v>Prioridad</x:v>
      </x:c>
      <x:c r="H4" s="50" t="str">
        <x:v>Estado</x:v>
      </x:c>
      <x:c r="I4" s="50" t="str">
        <x:v>Fecha de verificación</x:v>
      </x:c>
      <x:c r="J4" s="50" t="str">
        <x:v>Ruta o referencia de evidencia</x:v>
      </x:c>
    </x:row>
    <x:row r="5" ht="46" customHeight="1">
      <x:c r="A5" s="18" t="str">
        <x:v>P-01</x:v>
      </x:c>
      <x:c r="B5" s="18" t="str">
        <x:v>02_INVENTARIO_MODULOS!H6:I15</x:v>
      </x:c>
      <x:c r="C5" s="18" t="str">
        <x:v>Módulos incorporados / excluidos sin decisión final</x:v>
      </x:c>
      <x:c r="D5" s="18" t="str">
        <x:v>Definir módulo, actor y alcance homologado con requisitos y casos de uso; justificar exclusiones</x:v>
      </x:c>
      <x:c r="E5" s="18" t="str">
        <x:v>Equipo + director</x:v>
      </x:c>
      <x:c r="F5" s="18" t="str">
        <x:v>SRS vigente, catálogo CU y recorrido frontend</x:v>
      </x:c>
      <x:c r="G5" s="18" t="str">
        <x:v>Alta</x:v>
      </x:c>
      <x:c r="H5" s="18" t="str">
        <x:v>Pendiente</x:v>
      </x:c>
      <x:c r="I5" s="18"/>
      <x:c r="J5" s="18"/>
    </x:row>
    <x:row r="6" ht="46" customHeight="1">
      <x:c r="A6" s="18" t="str">
        <x:v>P-02</x:v>
      </x:c>
      <x:c r="B6" s="18" t="str">
        <x:v>02_INVENTARIO_MODULOS!G6:G15</x:v>
      </x:c>
      <x:c r="C6" s="18" t="str">
        <x:v>Estado de implementación funcional sin ensayo</x:v>
      </x:c>
      <x:c r="D6" s="18" t="str">
        <x:v>Ejecutar recorrido real y verificar API, persistencia y permisos por módulo</x:v>
      </x:c>
      <x:c r="E6" s="18" t="str">
        <x:v>Equipo técnico</x:v>
      </x:c>
      <x:c r="F6" s="18" t="str">
        <x:v>Prueba dinámica por módulo / registros</x:v>
      </x:c>
      <x:c r="G6" s="18" t="str">
        <x:v>Alta</x:v>
      </x:c>
      <x:c r="H6" s="18" t="str">
        <x:v>Pendiente</x:v>
      </x:c>
      <x:c r="I6" s="18"/>
      <x:c r="J6" s="18"/>
    </x:row>
    <x:row r="7" ht="46" customHeight="1">
      <x:c r="A7" s="18" t="str">
        <x:v>P-03</x:v>
      </x:c>
      <x:c r="B7" s="18" t="str">
        <x:v>02_INVENTARIO_MODULOS!D6:D15</x:v>
      </x:c>
      <x:c r="C7" s="18" t="str">
        <x:v>Cobertura exhaustiva de vistas no establecida</x:v>
      </x:c>
      <x:c r="D7" s="18" t="str">
        <x:v>Revisar árbol completo, rutas, componentes y estados; añadir las agrupaciones ausentes</x:v>
      </x:c>
      <x:c r="E7" s="18" t="str">
        <x:v>Equipo técnico</x:v>
      </x:c>
      <x:c r="F7" s="18" t="str">
        <x:v>Inventario de GitHub y matriz de navegación</x:v>
      </x:c>
      <x:c r="G7" s="18" t="str">
        <x:v>Alta</x:v>
      </x:c>
      <x:c r="H7" s="18" t="str">
        <x:v>Pendiente</x:v>
      </x:c>
      <x:c r="I7" s="18"/>
      <x:c r="J7" s="18"/>
    </x:row>
    <x:row r="8" ht="46" customHeight="1">
      <x:c r="A8" s="18" t="str">
        <x:v>P-04</x:v>
      </x:c>
      <x:c r="B8" s="18" t="str">
        <x:v>03_INVENTARIO_FORMULARIOS!G6:J15</x:v>
      </x:c>
      <x:c r="C8" s="18" t="str">
        <x:v>Campos, validaciones, RF/RNF y rúbrica individual</x:v>
      </x:c>
      <x:c r="D8" s="18" t="str">
        <x:v>Extraer campos y reglas del código y contrastar con SRS; acordar criterios por formulario</x:v>
      </x:c>
      <x:c r="E8" s="18" t="str">
        <x:v>Equipo + director</x:v>
      </x:c>
      <x:c r="F8" s="18" t="str">
        <x:v>SRS, código y checklist 06</x:v>
      </x:c>
      <x:c r="G8" s="18" t="str">
        <x:v>Alta</x:v>
      </x:c>
      <x:c r="H8" s="18" t="str">
        <x:v>Pendiente</x:v>
      </x:c>
      <x:c r="I8" s="18"/>
      <x:c r="J8" s="18"/>
    </x:row>
    <x:row r="9" ht="46" customHeight="1">
      <x:c r="A9" s="18" t="str">
        <x:v>P-05</x:v>
      </x:c>
      <x:c r="B9" s="18" t="str">
        <x:v>03_INVENTARIO_FORMULARIOS!K6:L15</x:v>
      </x:c>
      <x:c r="C9" s="18" t="str">
        <x:v>Elegibilidad e inclusión por formulario</x:v>
      </x:c>
      <x:c r="D9" s="18" t="str">
        <x:v>Confirmar universo completo, justificar cada Sí/No con alcance aprobado</x:v>
      </x:c>
      <x:c r="E9" s="18" t="str">
        <x:v>Equipo + director</x:v>
      </x:c>
      <x:c r="F9" s="18" t="str">
        <x:v>Lista verificada de formularios y CU</x:v>
      </x:c>
      <x:c r="G9" s="18" t="str">
        <x:v>Alta</x:v>
      </x:c>
      <x:c r="H9" s="18" t="str">
        <x:v>Pendiente</x:v>
      </x:c>
      <x:c r="I9" s="18"/>
      <x:c r="J9" s="18"/>
    </x:row>
    <x:row r="10" ht="46" customHeight="1">
      <x:c r="A10" s="18" t="str">
        <x:v>P-06</x:v>
      </x:c>
      <x:c r="B10" s="18" t="str">
        <x:v>03_INVENTARIO_FORMULARIOS!M6:N15</x:v>
      </x:c>
      <x:c r="C10" s="18" t="str">
        <x:v>Veredicto y evidencia de conformidad</x:v>
      </x:c>
      <x:c r="D10" s="18" t="str">
        <x:v>Ejecutar checklist funcional/negativo y registrar prueba con resultado y captura</x:v>
      </x:c>
      <x:c r="E10" s="18" t="str">
        <x:v>Equipo de pruebas</x:v>
      </x:c>
      <x:c r="F10" s="18" t="str">
        <x:v>Informe de pruebas / 06_RUBRICA_FORMULARIOS</x:v>
      </x:c>
      <x:c r="G10" s="18" t="str">
        <x:v>Alta</x:v>
      </x:c>
      <x:c r="H10" s="18" t="str">
        <x:v>Pendiente</x:v>
      </x:c>
      <x:c r="I10" s="18"/>
      <x:c r="J10" s="18"/>
    </x:row>
    <x:row r="11" ht="46" customHeight="1">
      <x:c r="A11" s="18" t="str">
        <x:v>P-07</x:v>
      </x:c>
      <x:c r="B11" s="18" t="str">
        <x:v>04_ENTIDADES_DATOS!G6:G24</x:v>
      </x:c>
      <x:c r="C11" s="18" t="str">
        <x:v>Claves de negocio por entidad sin aprobación</x:v>
      </x:c>
      <x:c r="D11" s="18" t="str">
        <x:v>Documentar clave candidata y si duplicación se define por proyecto/periodo/origen offline</x:v>
      </x:c>
      <x:c r="E11" s="18" t="str">
        <x:v>Equipo + responsable funcional</x:v>
      </x:c>
      <x:c r="F11" s="18" t="str">
        <x:v>SRS y reglas de negocio validadas</x:v>
      </x:c>
      <x:c r="G11" s="18" t="str">
        <x:v>Alta</x:v>
      </x:c>
      <x:c r="H11" s="18" t="str">
        <x:v>Pendiente</x:v>
      </x:c>
      <x:c r="I11" s="18"/>
      <x:c r="J11" s="18"/>
    </x:row>
    <x:row r="12" ht="46" customHeight="1">
      <x:c r="A12" s="18" t="str">
        <x:v>P-08</x:v>
      </x:c>
      <x:c r="B12" s="18" t="str">
        <x:v>04_ENTIDADES_DATOS!I6:I24</x:v>
      </x:c>
      <x:c r="C12" s="18" t="str">
        <x:v>Definición de duplicado indebido</x:v>
      </x:c>
      <x:c r="D12" s="18" t="str">
        <x:v>Establecer equivalencia semántica, temporalidad, reintentos, claves de idempotencia y excepciones</x:v>
      </x:c>
      <x:c r="E12" s="18" t="str">
        <x:v>Equipo + director</x:v>
      </x:c>
      <x:c r="F12" s="18" t="str">
        <x:v>Política de integridad y casos de uso</x:v>
      </x:c>
      <x:c r="G12" s="18" t="str">
        <x:v>Alta</x:v>
      </x:c>
      <x:c r="H12" s="18" t="str">
        <x:v>Pendiente</x:v>
      </x:c>
      <x:c r="I12" s="18"/>
      <x:c r="J12" s="18"/>
    </x:row>
    <x:row r="13" ht="46" customHeight="1">
      <x:c r="A13" s="18" t="str">
        <x:v>P-09</x:v>
      </x:c>
      <x:c r="B13" s="18" t="str">
        <x:v>04_ENTIDADES_DATOS!J6:K24</x:v>
      </x:c>
      <x:c r="C13" s="18" t="str">
        <x:v>Conjunto real y SQL de verificación</x:v>
      </x:c>
      <x:c r="D13" s="18" t="str">
        <x:v>Definir base/versión, universo, filtros y consultas SQL reproducibles por entidad</x:v>
      </x:c>
      <x:c r="E13" s="18" t="str">
        <x:v>Equipo DBA/técnico</x:v>
      </x:c>
      <x:c r="F13" s="18" t="str">
        <x:v>Consulta parametrizada revisada y export</x:v>
      </x:c>
      <x:c r="G13" s="18" t="str">
        <x:v>Alta</x:v>
      </x:c>
      <x:c r="H13" s="18" t="str">
        <x:v>Pendiente</x:v>
      </x:c>
      <x:c r="I13" s="18"/>
      <x:c r="J13" s="18"/>
    </x:row>
    <x:row r="14" ht="46" customHeight="1">
      <x:c r="A14" s="18" t="str">
        <x:v>P-10</x:v>
      </x:c>
      <x:c r="B14" s="18" t="str">
        <x:v>04_ENTIDADES_DATOS!L6:L24</x:v>
      </x:c>
      <x:c r="C14" s="18" t="str">
        <x:v>Conteos de duplicados reales, no asumir 0</x:v>
      </x:c>
      <x:c r="D14" s="18" t="str">
        <x:v>Ejecutar cada consulta con conjunto definido y registrar el número encontrado</x:v>
      </x:c>
      <x:c r="E14" s="18" t="str">
        <x:v>Equipo técnico</x:v>
      </x:c>
      <x:c r="F14" s="18" t="str">
        <x:v>Log SQL y acta de verificación</x:v>
      </x:c>
      <x:c r="G14" s="18" t="str">
        <x:v>Alta</x:v>
      </x:c>
      <x:c r="H14" s="18" t="str">
        <x:v>Pendiente</x:v>
      </x:c>
      <x:c r="I14" s="18"/>
      <x:c r="J14" s="18"/>
    </x:row>
    <x:row r="15" ht="46" customHeight="1">
      <x:c r="A15" s="18" t="str">
        <x:v>P-11</x:v>
      </x:c>
      <x:c r="B15" s="18" t="str">
        <x:v>04_ENTIDADES_DATOS!M6:M24</x:v>
      </x:c>
      <x:c r="C15" s="18" t="str">
        <x:v>Entidades incluidas por alcance</x:v>
      </x:c>
      <x:c r="D15" s="18" t="str">
        <x:v>Decidir Sí/No y criterios de exclusión; no confundir 19 modelos con muestra definitiva</x:v>
      </x:c>
      <x:c r="E15" s="18" t="str">
        <x:v>Director + equipo técnico</x:v>
      </x:c>
      <x:c r="F15" s="18" t="str">
        <x:v>Acta de selección UA-08</x:v>
      </x:c>
      <x:c r="G15" s="18" t="str">
        <x:v>Alta</x:v>
      </x:c>
      <x:c r="H15" s="18" t="str">
        <x:v>Pendiente</x:v>
      </x:c>
      <x:c r="I15" s="18"/>
      <x:c r="J15" s="18"/>
    </x:row>
    <x:row r="16" ht="46" customHeight="1">
      <x:c r="A16" s="18" t="str">
        <x:v>P-12</x:v>
      </x:c>
      <x:c r="B16" s="18" t="str">
        <x:v>04_ENTIDADES_DATOS!O6:P24</x:v>
      </x:c>
      <x:c r="C16" s="18" t="str">
        <x:v>Evidencia/estado de las comprobaciones</x:v>
      </x:c>
      <x:c r="D16" s="18" t="str">
        <x:v>Guardar ruta/hash de extracción y marcar Evaluado con evidencia sólo tras control</x:v>
      </x:c>
      <x:c r="E16" s="18" t="str">
        <x:v>Equipo técnico</x:v>
      </x:c>
      <x:c r="F16" s="18" t="str">
        <x:v>Bitácora de pruebas SQL</x:v>
      </x:c>
      <x:c r="G16" s="18" t="str">
        <x:v>Alta</x:v>
      </x:c>
      <x:c r="H16" s="18" t="str">
        <x:v>Pendiente</x:v>
      </x:c>
      <x:c r="I16" s="18"/>
      <x:c r="J16" s="18"/>
    </x:row>
    <x:row r="17" ht="46" customHeight="1">
      <x:c r="A17" s="18" t="str">
        <x:v>P-13</x:v>
      </x:c>
      <x:c r="B17" s="18" t="str">
        <x:v>04_ENTIDADES_DATOS!R6:S24</x:v>
      </x:c>
      <x:c r="C17" s="18" t="str">
        <x:v>Universos y registros examinados</x:v>
      </x:c>
      <x:c r="D17" s="18" t="str">
        <x:v>Medir número N de registros elegibles y n efectivamente revisados (por entidad)</x:v>
      </x:c>
      <x:c r="E17" s="18" t="str">
        <x:v>Equipo técnico</x:v>
      </x:c>
      <x:c r="F17" s="18" t="str">
        <x:v>Export de datos y muestra verificada</x:v>
      </x:c>
      <x:c r="G17" s="18" t="str">
        <x:v>Alta</x:v>
      </x:c>
      <x:c r="H17" s="18" t="str">
        <x:v>Pendiente</x:v>
      </x:c>
      <x:c r="I17" s="18"/>
      <x:c r="J17" s="18"/>
    </x:row>
    <x:row r="18" ht="46" customHeight="1">
      <x:c r="A18" s="18" t="str">
        <x:v>P-14</x:v>
      </x:c>
      <x:c r="B18" s="18" t="str">
        <x:v>04_ENTIDADES_DATOS!U6:V24</x:v>
      </x:c>
      <x:c r="C18" s="18" t="str">
        <x:v>Regla y SQL aprobados</x:v>
      </x:c>
      <x:c r="D18" s="18" t="str">
        <x:v>Solicitar aceptación técnica de clave de negocio y validar consulta antes de dictamen</x:v>
      </x:c>
      <x:c r="E18" s="18" t="str">
        <x:v>Responsable funcional + DBA</x:v>
      </x:c>
      <x:c r="F18" s="18" t="str">
        <x:v>Acta de validación</x:v>
      </x:c>
      <x:c r="G18" s="18" t="str">
        <x:v>Alta</x:v>
      </x:c>
      <x:c r="H18" s="18" t="str">
        <x:v>Pendiente</x:v>
      </x:c>
      <x:c r="I18" s="18"/>
      <x:c r="J18" s="18"/>
    </x:row>
    <x:row r="19" ht="46" customHeight="1">
      <x:c r="A19" s="18" t="str">
        <x:v>P-15</x:v>
      </x:c>
      <x:c r="B19" s="18" t="str">
        <x:v>04_ENTIDADES_DATOS!W6:W24</x:v>
      </x:c>
      <x:c r="C19" s="18" t="str">
        <x:v>Tamaño de muestra de registros previsto</x:v>
      </x:c>
      <x:c r="D19" s="18" t="str">
        <x:v>Predefinir censo/muestreo dirigido o aleatorio, estratos y número previsto</x:v>
      </x:c>
      <x:c r="E19" s="18" t="str">
        <x:v>Equipo investigador + director</x:v>
      </x:c>
      <x:c r="F19" s="18" t="str">
        <x:v>Diseño de muestra y precisión</x:v>
      </x:c>
      <x:c r="G19" s="18" t="str">
        <x:v>Alta</x:v>
      </x:c>
      <x:c r="H19" s="18" t="str">
        <x:v>Pendiente</x:v>
      </x:c>
      <x:c r="I19" s="18"/>
      <x:c r="J19" s="18"/>
    </x:row>
    <x:row r="20" ht="46" customHeight="1">
      <x:c r="A20" s="18" t="str">
        <x:v>P-16</x:v>
      </x:c>
      <x:c r="B20" s="18" t="str">
        <x:v>05_COBERTURA_EVALUACION!C6:I6</x:v>
      </x:c>
      <x:c r="C20" s="18" t="str">
        <x:v>OP-08 no calculable con clasificación incompleta</x:v>
      </x:c>
      <x:c r="D20" s="18" t="str">
        <x:v>Cerrar universo de formularios, obtener pruebas y veredictos válidos; fórmula deja indicadores en blanco</x:v>
      </x:c>
      <x:c r="E20" s="18" t="str">
        <x:v>Equipo pruebas</x:v>
      </x:c>
      <x:c r="F20" s="18" t="str">
        <x:v>Catálogo final y evidencias</x:v>
      </x:c>
      <x:c r="G20" s="18" t="str">
        <x:v>Alta</x:v>
      </x:c>
      <x:c r="H20" s="18" t="str">
        <x:v>Pendiente</x:v>
      </x:c>
      <x:c r="I20" s="18"/>
      <x:c r="J20" s="18"/>
    </x:row>
    <x:row r="21" ht="46" customHeight="1">
      <x:c r="A21" s="18" t="str">
        <x:v>P-17</x:v>
      </x:c>
      <x:c r="B21" s="18" t="str">
        <x:v>05_COBERTURA_EVALUACION!C7:I7</x:v>
      </x:c>
      <x:c r="C21" s="18" t="str">
        <x:v>OP-09: no emitir cero o cobertura hasta evaluar registros</x:v>
      </x:c>
      <x:c r="D21" s="18" t="str">
        <x:v>Exigir N/n por entidad, SQL, reglas, conteos y evidencias completas</x:v>
      </x:c>
      <x:c r="E21" s="18" t="str">
        <x:v>Equipo técnico</x:v>
      </x:c>
      <x:c r="F21" s="18" t="str">
        <x:v>Reporte por entidad con trazabilidad</x:v>
      </x:c>
      <x:c r="G21" s="18" t="str">
        <x:v>Alta</x:v>
      </x:c>
      <x:c r="H21" s="18" t="str">
        <x:v>Pendiente</x:v>
      </x:c>
      <x:c r="I21" s="18"/>
      <x:c r="J21" s="18"/>
    </x:row>
    <x:row r="22" ht="46" customHeight="1">
      <x:c r="A22" s="18" t="str">
        <x:v>P-18</x:v>
      </x:c>
      <x:c r="B22" s="18" t="str">
        <x:v>05_COBERTURA_EVALUACION!C8:G9</x:v>
      </x:c>
      <x:c r="C22" s="18" t="str">
        <x:v>Cobertura Nielsen y MOD aún no trazada</x:v>
      </x:c>
      <x:c r="D22" s="18" t="str">
        <x:v>Definir universo de interacciones y módulos, conteos incluidos y realmente inspeccionados</x:v>
      </x:c>
      <x:c r="E22" s="18" t="str">
        <x:v>Evaluadores Nielsen</x:v>
      </x:c>
      <x:c r="F22" s="18" t="str">
        <x:v>Protocolo y listado completo</x:v>
      </x:c>
      <x:c r="G22" s="18" t="str">
        <x:v>Media</x:v>
      </x:c>
      <x:c r="H22" s="18" t="str">
        <x:v>Pendiente</x:v>
      </x:c>
      <x:c r="I22" s="18"/>
      <x:c r="J22" s="18"/>
    </x:row>
    <x:row r="23" ht="46" customHeight="1">
      <x:c r="A23" s="18" t="str">
        <x:v>P-19</x:v>
      </x:c>
      <x:c r="B23" s="18" t="str">
        <x:v>06_RUBRICA_FORMULARIOS!E5:H34</x:v>
      </x:c>
      <x:c r="C23" s="18" t="str">
        <x:v>Criterios por campo y evidencias por dimensión</x:v>
      </x:c>
      <x:c r="D23" s="18" t="str">
        <x:v>Personalizar las tres dimensiones por formulario con requisitos y pruebas documentadas</x:v>
      </x:c>
      <x:c r="E23" s="18" t="str">
        <x:v>Equipo funcional y pruebas</x:v>
      </x:c>
      <x:c r="F23" s="18" t="str">
        <x:v>SRS y resultados de prueba por formulario</x:v>
      </x:c>
      <x:c r="G23" s="18" t="str">
        <x:v>Alta</x:v>
      </x:c>
      <x:c r="H23" s="18" t="str">
        <x:v>Pendiente</x:v>
      </x:c>
      <x:c r="I23" s="18"/>
      <x:c r="J23" s="18"/>
    </x:row>
    <x:row r="24" ht="46" customHeight="1">
      <x:c r="A24" s="18" t="str">
        <x:v>P-20</x:v>
      </x:c>
      <x:c r="B24" s="18" t="str">
        <x:v>05_COBERTURA_EVALUACION!L6:L9</x:v>
      </x:c>
      <x:c r="C24" s="18" t="str">
        <x:v>Aprobación y estado final de cada indicador</x:v>
      </x:c>
      <x:c r="D24" s="18" t="str">
        <x:v>Cerrar revisión académica tras incorporar evidencia completa</x:v>
      </x:c>
      <x:c r="E24" s="18" t="str">
        <x:v>Director académico</x:v>
      </x:c>
      <x:c r="F24" s="18" t="str">
        <x:v>Acta de revisión de capítulo 3.4</x:v>
      </x:c>
      <x:c r="G24" s="18" t="str">
        <x:v>Alta</x:v>
      </x:c>
      <x:c r="H24" s="18" t="str">
        <x:v>Pendiente</x:v>
      </x:c>
      <x:c r="I24" s="18"/>
      <x:c r="J24" s="18"/>
    </x:row>
    <x:row r="25">
      <x:c r="A25" t="str">
        <x:v>P-21</x:v>
      </x:c>
      <x:c r="B25" t="str">
        <x:v>03_INVENTARIO_FORMULARIOS!Q6:R15</x:v>
      </x:c>
      <x:c r="C25" t="str">
        <x:v>Rúbrica de formularios todavía sin completar</x:v>
      </x:c>
      <x:c r="D25" t="str">
        <x:v>Q y R permanecen en blanco hasta completar tres dimensiones con requisito/campo, prueba, dictamen y evidencia por fila</x:v>
      </x:c>
      <x:c r="E25" t="str">
        <x:v>Equipo pruebas</x:v>
      </x:c>
      <x:c r="F25" t="str">
        <x:v>06_RUBRICA_FORMULARIOS / pruebas verificables</x:v>
      </x:c>
      <x:c r="G25" t="str">
        <x:v>Alta</x:v>
      </x:c>
      <x:c r="H25" t="str">
        <x:v>Pendiente</x:v>
      </x:c>
    </x:row>
  </x:sheetData>
  <x:mergeCells>
    <x:mergeCell ref="A1:J1"/>
    <x:mergeCell ref="A2:J2"/>
  </x:mergeCells>
  <x:dataValidations count="2">
    <x:dataValidation type="list" sqref="H5:H24">
      <x:formula1>"Pendiente,En revisión,Validado,No aplica"</x:formula1>
    </x:dataValidation>
    <x:dataValidation type="list" sqref="G5:G24">
      <x:formula1>"Crítica,Alta,Media,Baja"</x:formula1>
    </x:dataValidation>
  </x:dataValidations>
  <x:pageMargins left="0.7" right="0.7" top="0.75" bottom="0.75" header="0.3" footer="0.3"/>
</x:worksheet>
</file>