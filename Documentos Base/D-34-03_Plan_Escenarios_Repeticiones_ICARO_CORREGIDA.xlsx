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ad8917f1a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FICHA_GENERAL" sheetId="1" r:id="Rcc255ec6ae434814"/>
    <x:sheet xmlns:r="http://schemas.openxmlformats.org/officeDocument/2006/relationships" name="02_ESCENARIOS" sheetId="2" r:id="R3279d4f88428455a"/>
    <x:sheet xmlns:r="http://schemas.openxmlformats.org/officeDocument/2006/relationships" name="03_CONFIG_CARGA" sheetId="3" r:id="R91a8fdb5904e4c30"/>
    <x:sheet xmlns:r="http://schemas.openxmlformats.org/officeDocument/2006/relationships" name="04_PLAN_REPETICIONES" sheetId="4" r:id="Rc2f78b3be1974cfb"/>
    <x:sheet xmlns:r="http://schemas.openxmlformats.org/officeDocument/2006/relationships" name="05_DISPONIBILIDAD" sheetId="5" r:id="R9f0b3f37d2244aa5"/>
    <x:sheet xmlns:r="http://schemas.openxmlformats.org/officeDocument/2006/relationships" name="06_PRECISION_Y_CONTROL" sheetId="6" r:id="R0b50263b151a430c"/>
    <x:sheet xmlns:r="http://schemas.openxmlformats.org/officeDocument/2006/relationships" name="07_RESULTADOS_POR_ET" sheetId="7" r:id="Rfd88b0175ff3464f"/>
    <x:sheet xmlns:r="http://schemas.openxmlformats.org/officeDocument/2006/relationships" name="09_PENDIENTES_PARA_COMPLETAR" sheetId="8" r:id="R80a1865587e6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0.00&quot;%&quot;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4"/>
      <x:color rgb="FF142E4B"/>
      <x:name val="Carlito"/>
    </x:font>
    <x:font>
      <x:b/>
      <x:sz val="11"/>
      <x:color rgb="FFFFFFFF"/>
      <x:name val="Carlito"/>
    </x:font>
    <x:font>
      <x:b/>
      <x:sz val="11"/>
      <x:color rgb="FF142E4B"/>
      <x:name val="Carlito"/>
    </x:font>
    <x:font>
      <x:b/>
      <x:sz val="15"/>
      <x:color rgb="FFFFFFFF"/>
      <x:name val="Carlito"/>
    </x:font>
    <x:font>
      <x:b/>
      <x:sz val="11"/>
      <x:color rgb="FF0F6B77"/>
      <x:name val="Carlito"/>
    </x:font>
    <x:font>
      <x:i/>
      <x:sz val="11"/>
      <x:color rgb="FF5B6C7C"/>
      <x:name val="Carlito"/>
    </x:font>
    <x:font>
      <x:b/>
      <x:sz val="16"/>
      <x:color rgb="FFFFFFFF"/>
      <x:name val="Carlito"/>
    </x:font>
    <x:font>
      <x:sz val="10"/>
      <x:color rgb="FF273444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E4B"/>
      </x:patternFill>
    </x:fill>
    <x:fill>
      <x:patternFill patternType="solid">
        <x:fgColor rgb="FFE8F3F5"/>
      </x:patternFill>
    </x:fill>
    <x:fill>
      <x:patternFill patternType="solid">
        <x:fgColor rgb="FF0F6B77"/>
      </x:patternFill>
    </x:fill>
    <x:fill>
      <x:patternFill patternType="solid">
        <x:fgColor rgb="FFFFF1D5"/>
      </x:patternFill>
    </x:fill>
    <x:fill>
      <x:patternFill patternType="solid">
        <x:fgColor rgb="FF19324E"/>
      </x:patternFill>
    </x:fill>
    <x:fill>
      <x:patternFill patternType="solid">
        <x:fgColor rgb="FFFFF4D5"/>
      </x:patternFill>
    </x:fill>
    <x:fill>
      <x:patternFill patternType="solid">
        <x:fgColor rgb="FF087E87"/>
      </x:patternFill>
    </x:fill>
    <x:fill>
      <x:patternFill patternType="solid">
        <x:fgColor rgb="FF087E87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FCE4E4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a7f068b4b4409" /><Relationship Type="http://schemas.openxmlformats.org/officeDocument/2006/relationships/theme" Target="/xl/theme/theme1.xml" Id="R3909cfe785be4fcd" /><Relationship Type="http://schemas.openxmlformats.org/officeDocument/2006/relationships/sharedStrings" Target="/xl/sharedStrings.xml" Id="R23abc78e497c493a" /><Relationship Type="http://schemas.openxmlformats.org/officeDocument/2006/relationships/worksheet" Target="/xl/worksheets/sheet1.xml" Id="Rcc255ec6ae434814" /><Relationship Type="http://schemas.openxmlformats.org/officeDocument/2006/relationships/worksheet" Target="/xl/worksheets/sheet2.xml" Id="R3279d4f88428455a" /><Relationship Type="http://schemas.openxmlformats.org/officeDocument/2006/relationships/worksheet" Target="/xl/worksheets/sheet3.xml" Id="R91a8fdb5904e4c30" /><Relationship Type="http://schemas.openxmlformats.org/officeDocument/2006/relationships/worksheet" Target="/xl/worksheets/sheet4.xml" Id="Rc2f78b3be1974cfb" /><Relationship Type="http://schemas.openxmlformats.org/officeDocument/2006/relationships/worksheet" Target="/xl/worksheets/sheet5.xml" Id="R9f0b3f37d2244aa5" /><Relationship Type="http://schemas.openxmlformats.org/officeDocument/2006/relationships/worksheet" Target="/xl/worksheets/sheet6.xml" Id="R0b50263b151a430c" /><Relationship Type="http://schemas.openxmlformats.org/officeDocument/2006/relationships/worksheet" Target="/xl/worksheets/sheet7.xml" Id="Rfd88b0175ff3464f" /><Relationship Type="http://schemas.openxmlformats.org/officeDocument/2006/relationships/worksheet" Target="/xl/worksheets/sheet8.xml" Id="R80a1865587e6474e" /></Relationships>
</file>

<file path=xl/tables/table1.xml><?xml version="1.0" encoding="utf-8"?>
<x:table xmlns:x="http://schemas.openxmlformats.org/spreadsheetml/2006/main" id="1" name="T3403Escenarios" displayName="T3403Escenarios" ref="A5:O51" headerRowCount="1" totalsRowCount="0" totalsRowShown="0">
  <x:tableColumns count="15">
    <x:tableColumn id="1" name="Código ET"/>
    <x:tableColumn id="2" name="Indicador OP"/>
    <x:tableColumn id="3" name="Módulo"/>
    <x:tableColumn id="4" name="Endpoint o proceso"/>
    <x:tableColumn id="5" name="Método HTTP"/>
    <x:tableColumn id="6" name="Tipo de operación"/>
    <x:tableColumn id="7" name="Perfil autorizado"/>
    <x:tableColumn id="8" name="Datos necesarios"/>
    <x:tableColumn id="9" name="Resultado esperado"/>
    <x:tableColumn id="10" name="Unidad de análisis"/>
    <x:tableColumn id="11" name="Instrumento"/>
    <x:tableColumn id="12" name="Estado de implementación"/>
    <x:tableColumn id="13" name="Estado de ejecución"/>
    <x:tableColumn id="14" name="Fuente GitHub"/>
    <x:tableColumn id="15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403Repeticiones" displayName="T3403Repeticiones" ref="A5:N53" headerRowCount="1" totalsRowCount="0" totalsRowShown="0">
  <x:tableColumns count="14">
    <x:tableColumn id="1" name="Código ET"/>
    <x:tableColumn id="2" name="Indicador OP"/>
    <x:tableColumn id="3" name="Unidad observada"/>
    <x:tableColumn id="4" name="Número previsto"/>
    <x:tableColumn id="5" name="Número obtenido"/>
    <x:tableColumn id="6" name="Observaciones válidas"/>
    <x:tableColumn id="7" name="Observaciones excluidas"/>
    <x:tableColumn id="8" name="Método estadístico"/>
    <x:tableColumn id="9" name="Precisión deseada"/>
    <x:tableColumn id="10" name="Nivel de confianza si aplica"/>
    <x:tableColumn id="11" name="Justificación"/>
    <x:tableColumn id="12" name="Estado"/>
    <x:tableColumn id="13" name="Ruta de evidencia"/>
    <x:tableColumn id="14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403Disponibilidad" displayName="T3403Disponibilidad" ref="A5:N57" headerRowCount="1" totalsRowCount="0" totalsRowShown="0">
  <x:tableColumns count="14">
    <x:tableColumn id="1" name="ID"/>
    <x:tableColumn id="2" name="Servicio monitorizado"/>
    <x:tableColumn id="3" name="Periodo"/>
    <x:tableColumn id="4" name="Fecha inicial"/>
    <x:tableColumn id="5" name="Fecha final"/>
    <x:tableColumn id="6" name="Duración programada (min)"/>
    <x:tableColumn id="7" name="Duración operativa (min)"/>
    <x:tableColumn id="8" name="Duración no operativa (min)"/>
    <x:tableColumn id="9" name="Resolución del monitoreo"/>
    <x:tableColumn id="10" name="Número de comprobaciones"/>
    <x:tableColumn id="11" name="Disponibilidad (%)"/>
    <x:tableColumn id="12" name="Umbral (%)"/>
    <x:tableColumn id="13" name="Cumplimiento"/>
    <x:tableColumn id="14" name="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403Precision" displayName="T3403Precision" ref="A5:J45" headerRowCount="1" totalsRowCount="0" totalsRowShown="0">
  <x:tableColumns count="10">
    <x:tableColumn id="1" name="Código OP"/>
    <x:tableColumn id="2" name="Estadístico"/>
    <x:tableColumn id="3" name="Requisito de precisión"/>
    <x:tableColumn id="4" name="Método de estimación"/>
    <x:tableColumn id="5" name="Supuestos"/>
    <x:tableColumn id="6" name="Número de observaciones previsto"/>
    <x:tableColumn id="7" name="Procedimiento de comprobación"/>
    <x:tableColumn id="8" name="Estado"/>
    <x:tableColumn id="9" name="Fuente académica"/>
    <x:tableColumn id="10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e5b8bef4f949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c0bbeadcbd042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b5a0817c0614f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2c8a7a338704931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25" customHeight="1">
      <x:c r="A1" s="4" t="str">
        <x:v>ICARO | INSTRUMENTO METODOLÓGICO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9" t="str">
        <x:v>Plan de escenarios y repeticiones técnicas</x:v>
      </x:c>
      <x:c r="B3" s="9"/>
      <x:c r="C3" s="9"/>
      <x:c r="D3" s="9"/>
      <x:c r="E3" s="9"/>
      <x:c r="F3" s="9"/>
      <x:c r="G3" s="9"/>
      <x:c r="H3" s="9"/>
    </x:row>
    <x:row r="5" ht="26" customHeight="1">
      <x:c r="A5" s="13" t="str">
        <x:v>Campo</x:v>
      </x:c>
      <x:c r="B5" s="13" t="str">
        <x:v>Valor</x:v>
      </x:c>
    </x:row>
    <x:row r="6" ht="29" customHeight="1">
      <x:c r="A6" s="16" t="str">
        <x:v>Código</x:v>
      </x:c>
      <x:c r="B6" s="18" t="str">
        <x:v>D-34-03</x:v>
      </x:c>
    </x:row>
    <x:row r="7" ht="29" customHeight="1">
      <x:c r="A7" s="16" t="str">
        <x:v>Proyecto</x:v>
      </x:c>
      <x:c r="B7" s="18" t="str">
        <x:v>Sistema de Gestión Integral ICARO — ICARO CONSTRUCTORES BMGM S.A.S.</x:v>
      </x:c>
    </x:row>
    <x:row r="8" ht="29" customHeight="1">
      <x:c r="A8" s="16" t="str">
        <x:v>Trabajo</x:v>
      </x:c>
      <x:c r="B8" s="18" t="str">
        <x:v>Desarrollo de un sistema web y móvil para la gestión integral en la empresa ICARO CONSTRUCTORES BMGM S.A.S.</x:v>
      </x:c>
    </x:row>
    <x:row r="9" ht="29" customHeight="1">
      <x:c r="A9" s="16" t="str">
        <x:v>Capítulo</x:v>
      </x:c>
      <x:c r="B9" s="18" t="str">
        <x:v>III — Marco metodológico</x:v>
      </x:c>
    </x:row>
    <x:row r="10" ht="29" customHeight="1">
      <x:c r="A10" s="16" t="str">
        <x:v>Apartado</x:v>
      </x:c>
      <x:c r="B10" s="18" t="str">
        <x:v>3.4. Población, muestra y unidades de análisis</x:v>
      </x:c>
    </x:row>
    <x:row r="11" ht="29" customHeight="1">
      <x:c r="A11" s="16" t="str">
        <x:v>Objetivo</x:v>
      </x:c>
      <x:c r="B11" s="18" t="str">
        <x:v>Planificar escenarios técnicos, repeticiones y periodos de observación de UA-04, UA-05 y UA-06.</x:v>
      </x:c>
    </x:row>
    <x:row r="12" ht="29" customHeight="1">
      <x:c r="A12" s="16" t="str">
        <x:v>Versión</x:v>
      </x:c>
      <x:c r="B12" s="18" t="str">
        <x:v>2.0 — Revisado tras auditoría metodológica; sin ejecución ni aprobación</x:v>
      </x:c>
    </x:row>
    <x:row r="13" ht="29" customHeight="1">
      <x:c r="A13" s="16" t="str">
        <x:v>Estado</x:v>
      </x:c>
      <x:c r="B13" s="18" t="str">
        <x:v>Instrumento corregido para planificación; pendiente de decisiones, validación y aplicación</x:v>
      </x:c>
    </x:row>
    <x:row r="14" ht="29" customHeight="1">
      <x:c r="A14" s="16" t="str">
        <x:v>Fecha de actualización</x:v>
      </x:c>
      <x:c r="B14" s="18" t="str">
        <x:v>2026-10-14</x:v>
      </x:c>
    </x:row>
    <x:row r="15" ht="29" customHeight="1">
      <x:c r="A15" s="16" t="str">
        <x:v>Responsable</x:v>
      </x:c>
      <x:c r="B15" s="18" t="str">
        <x:v>Equipo de titulación ICARO; confirmación pendiente</x:v>
      </x:c>
    </x:row>
    <x:row r="16" ht="29" customHeight="1">
      <x:c r="A16" s="16" t="str">
        <x:v>Fuentes</x:v>
      </x:c>
      <x:c r="B16" s="18" t="str">
        <x:v>GitHub: backend/tests/load_test.js y backend/src/routes; apartado 3.3; matrices de calidad.</x:v>
      </x:c>
    </x:row>
    <x:row r="17" ht="29" customHeight="1">
      <x:c r="A17" s="16" t="str">
        <x:v>Repositorio</x:v>
      </x:c>
      <x:c r="B17" s="18" t="str">
        <x:v>https://github.com/SebastianCM020/Sistema_Gestion_Integral_Constructora</x:v>
      </x:c>
    </x:row>
    <x:row r="18" ht="29" customHeight="1">
      <x:c r="A18" s="16" t="str">
        <x:v>Commit de referencia</x:v>
      </x:c>
      <x:c r="B18" s="18" t="str">
        <x:v>dd2984f50fe74ab0aac01c72d6d4bf13c6bfb491</x:v>
      </x:c>
    </x:row>
    <x:row r="19" ht="29" customHeight="1">
      <x:c r="A19" s="16" t="str">
        <x:v>Advertencia metodológica</x:v>
      </x:c>
      <x:c r="B19" s="18" t="str">
        <x:v>Planificación únicamente. Las celdas en blanco y los resultados ausentes NO representan cero, incumplimiento ni ejecución.</x:v>
      </x:c>
    </x:row>
    <x:row r="20" ht="29" customHeight="1">
      <x:c r="A20" s="16" t="str">
        <x:v>Leyenda | Documentado</x:v>
      </x:c>
      <x:c r="B20" s="18" t="str">
        <x:v>Azul verdoso: identificado en documentación o repositorio.</x:v>
      </x:c>
    </x:row>
    <x:row r="21" ht="29" customHeight="1">
      <x:c r="A21" s="16" t="str">
        <x:v>Leyenda | Pendiente</x:v>
      </x:c>
      <x:c r="B21" s="18" t="str">
        <x:v>Amarillo: captura o decisión sin evidencia confirmada.</x:v>
      </x:c>
    </x:row>
    <x:row r="22" ht="29" customHeight="1">
      <x:c r="A22" s="16" t="str">
        <x:v>Leyenda | Validado</x:v>
      </x:c>
      <x:c r="B22" s="18" t="str">
        <x:v>Verde: solo al incorporar evidencia revisada.</x:v>
      </x:c>
    </x:row>
    <x:row r="23" ht="29" customHeight="1">
      <x:c r="A23" s="16" t="str">
        <x:v>Leyenda | Alerta</x:v>
      </x:c>
      <x:c r="B23" s="18" t="str">
        <x:v>Rojo: inconsistencia de datos o valores incompatibles.</x:v>
      </x:c>
    </x:row>
    <x:row r="24" ht="29" customHeight="1">
      <x:c r="A24" s="16" t="str">
        <x:v>Privacidad</x:v>
      </x:c>
      <x:c r="B24" s="18" t="str">
        <x:v>No introducir identificadores personales ni credenciales reales.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73" hidden="0" customWidth="1"/>
    <x:col min="5" max="5" width="21" hidden="0" customWidth="1"/>
    <x:col min="6" max="6" width="21" hidden="0" customWidth="1"/>
    <x:col min="7" max="7" width="37" hidden="0" customWidth="1"/>
    <x:col min="8" max="8" width="47" hidden="0" customWidth="1"/>
    <x:col min="9" max="9" width="46" hidden="0" customWidth="1"/>
    <x:col min="10" max="10" width="25" hidden="0" customWidth="1"/>
    <x:col min="11" max="11" width="21" hidden="0" customWidth="1"/>
    <x:col min="12" max="12" width="24" hidden="0" customWidth="1"/>
    <x:col min="13" max="13" width="21" hidden="0" customWidth="1"/>
    <x:col min="14" max="14" width="80" hidden="0" customWidth="1"/>
    <x:col min="15" max="15" width="57" hidden="0" customWidth="1"/>
  </x:cols>
  <x:sheetData>
    <x:row r="1" ht="24" customHeight="1">
      <x:c r="A1" s="21" t="str">
        <x:v>ESCENARIOS Y UNIDADES TÉCNICAS | ET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21" customHeight="1">
      <x:c r="A4" s="26" t="str">
        <x:v>Complete solo con información verificable. Los campos amarillos requieren confirmación o evidencia.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</x:row>
    <x:row r="5" ht="32" customHeight="1">
      <x:c r="A5" s="29" t="str">
        <x:v>Código ET</x:v>
      </x:c>
      <x:c r="B5" s="29" t="str">
        <x:v>Indicador OP</x:v>
      </x:c>
      <x:c r="C5" s="29" t="str">
        <x:v>Módulo</x:v>
      </x:c>
      <x:c r="D5" s="29" t="str">
        <x:v>Endpoint o proceso</x:v>
      </x:c>
      <x:c r="E5" s="29" t="str">
        <x:v>Método HTTP</x:v>
      </x:c>
      <x:c r="F5" s="29" t="str">
        <x:v>Tipo de operación</x:v>
      </x:c>
      <x:c r="G5" s="29" t="str">
        <x:v>Perfil autorizado</x:v>
      </x:c>
      <x:c r="H5" s="29" t="str">
        <x:v>Datos necesarios</x:v>
      </x:c>
      <x:c r="I5" s="29" t="str">
        <x:v>Resultado esperado</x:v>
      </x:c>
      <x:c r="J5" s="29" t="str">
        <x:v>Unidad de análisis</x:v>
      </x:c>
      <x:c r="K5" s="29" t="str">
        <x:v>Instrumento</x:v>
      </x:c>
      <x:c r="L5" s="29" t="str">
        <x:v>Estado de implementación</x:v>
      </x:c>
      <x:c r="M5" s="29" t="str">
        <x:v>Estado de ejecución</x:v>
      </x:c>
      <x:c r="N5" s="29" t="str">
        <x:v>Fuente GitHub</x:v>
      </x:c>
      <x:c r="O5" s="29" t="str">
        <x:v>Observaciones</x:v>
      </x:c>
    </x:row>
    <x:row r="6" ht="27" customHeight="1">
      <x:c r="A6" s="18" t="str">
        <x:v>ET-01</x:v>
      </x:c>
      <x:c r="B6" s="18" t="str">
        <x:v>OP-06; OP-07</x:v>
      </x:c>
      <x:c r="C6" s="18" t="str">
        <x:v>MOD-09</x:v>
      </x:c>
      <x:c r="D6" s="18" t="str">
        <x:v>/api/v1/reportes/dashboard</x:v>
      </x:c>
      <x:c r="E6" s="18" t="str">
        <x:v>GET</x:v>
      </x:c>
      <x:c r="F6" s="18" t="str">
        <x:v>Lectura</x:v>
      </x:c>
      <x:c r="G6" s="18" t="str">
        <x:v>Admin / Gerente / Contador / Auxiliar</x:v>
      </x:c>
      <x:c r="H6" s="18" t="str">
        <x:v>Token válido y datos de proyecto</x:v>
      </x:c>
      <x:c r="I6" s="18" t="str">
        <x:v>HTTP 200 bajo escenario autorizado</x:v>
      </x:c>
      <x:c r="J6" s="18" t="str">
        <x:v>Solicitud HTTP</x:v>
      </x:c>
      <x:c r="K6" s="18" t="str">
        <x:v>k6: load_test.js</x:v>
      </x:c>
      <x:c r="L6" s="18" t="str">
        <x:v>Ruta localizada</x:v>
      </x:c>
      <x:c r="M6" s="32" t="str">
        <x:v>Pendiente</x:v>
      </x:c>
      <x:c r="N6" s="18" t="str">
        <x:v>https://github.com/SebastianCM020/Sistema_Gestion_Integral_Constructora/blob/main/backend/src/routes/reportes.routes.js</x:v>
      </x:c>
      <x:c r="O6" s="18" t="str">
        <x:v>Ruta protegida real. P95/P99 se requieren POR ENDPOINT; el script actual de k6 sólo define P95 global. No ejecutar sin token válido.</x:v>
      </x:c>
    </x:row>
    <x:row r="7" ht="27" customHeight="1">
      <x:c r="A7" s="18" t="str">
        <x:v>ET-02</x:v>
      </x:c>
      <x:c r="B7" s="18" t="str">
        <x:v>OP-06; OP-07</x:v>
      </x:c>
      <x:c r="C7" s="18" t="str">
        <x:v>MOD-08</x:v>
      </x:c>
      <x:c r="D7" s="18" t="str">
        <x:v>/api/v1/cierres-contables</x:v>
      </x:c>
      <x:c r="E7" s="18" t="str">
        <x:v>GET</x:v>
      </x:c>
      <x:c r="F7" s="18" t="str">
        <x:v>Lectura</x:v>
      </x:c>
      <x:c r="G7" s="18" t="str">
        <x:v>Admin / Gerente / Contador / Auxiliar</x:v>
      </x:c>
      <x:c r="H7" s="18" t="str">
        <x:v>Token válido; filtros de consulta según escenario</x:v>
      </x:c>
      <x:c r="I7" s="18" t="str">
        <x:v>HTTP 200 autorizado</x:v>
      </x:c>
      <x:c r="J7" s="18" t="str">
        <x:v>Solicitud HTTP</x:v>
      </x:c>
      <x:c r="K7" s="18" t="str">
        <x:v>k6: load_test.js</x:v>
      </x:c>
      <x:c r="L7" s="18" t="str">
        <x:v>Ruta localizada</x:v>
      </x:c>
      <x:c r="M7" s="32" t="str">
        <x:v>Pendiente</x:v>
      </x:c>
      <x:c r="N7" s="18" t="str">
        <x:v>https://github.com/SebastianCM020/Sistema_Gestion_Integral_Constructora/blob/main/backend/src/routes/cierresContables.routes.js</x:v>
      </x:c>
      <x:c r="O7" s="18" t="str">
        <x:v>Ruta protegida real. Definir agrupación por endpoint y calcular P95/P99 por separado, con n y evidencia.</x:v>
      </x:c>
    </x:row>
    <x:row r="8" ht="27" customHeight="1">
      <x:c r="A8" s="18" t="str">
        <x:v>ET-03</x:v>
      </x:c>
      <x:c r="B8" s="18" t="str">
        <x:v>OP-01</x:v>
      </x:c>
      <x:c r="C8" s="18" t="str">
        <x:v>MOD-03</x:v>
      </x:c>
      <x:c r="D8" s="18" t="str">
        <x:v>/api/v1/avances</x:v>
      </x:c>
      <x:c r="E8" s="18" t="str">
        <x:v>POST</x:v>
      </x:c>
      <x:c r="F8" s="18" t="str">
        <x:v>Escritura</x:v>
      </x:c>
      <x:c r="G8" s="18" t="str">
        <x:v>Residente / Admin</x:v>
      </x:c>
      <x:c r="H8" s="18" t="str">
        <x:v>Proyecto, rubro, avance y autorización</x:v>
      </x:c>
      <x:c r="I8" s="18" t="str">
        <x:v>Registro según validaciones de negocio</x:v>
      </x:c>
      <x:c r="J8" s="18" t="str">
        <x:v>Ejecución</x:v>
      </x:c>
      <x:c r="K8" s="18" t="str">
        <x:v>Protocolo funcional</x:v>
      </x:c>
      <x:c r="L8" s="18" t="str">
        <x:v>Ruta localizada</x:v>
      </x:c>
      <x:c r="M8" s="32" t="str">
        <x:v>Pendiente</x:v>
      </x:c>
      <x:c r="N8" s="18" t="str">
        <x:v>https://github.com/SebastianCM020/Sistema_Gestion_Integral_Constructora/blob/main/backend/src/routes/avances.routes.js</x:v>
      </x:c>
      <x:c r="O8" s="18" t="str">
        <x:v>HTTP 4xx de validación esperada NO se considera automáticamente fallo atribuible al sistema.</x:v>
      </x:c>
    </x:row>
    <x:row r="9" ht="27" customHeight="1">
      <x:c r="A9" s="18" t="str">
        <x:v>ET-04</x:v>
      </x:c>
      <x:c r="B9" s="18" t="str">
        <x:v>OP-01; OP-09</x:v>
      </x:c>
      <x:c r="C9" s="18" t="str">
        <x:v>MOD-05</x:v>
      </x:c>
      <x:c r="D9" s="18" t="str">
        <x:v>/api/v1/consumo/proyectos/:idProyecto/consumir</x:v>
      </x:c>
      <x:c r="E9" s="18" t="str">
        <x:v>POST</x:v>
      </x:c>
      <x:c r="F9" s="18" t="str">
        <x:v>Escritura</x:v>
      </x:c>
      <x:c r="G9" s="18" t="str">
        <x:v>Residente / Admin</x:v>
      </x:c>
      <x:c r="H9" s="18" t="str">
        <x:v>Proyecto, material, cantidad y autorización</x:v>
      </x:c>
      <x:c r="I9" s="18" t="str">
        <x:v>Consumo o rechazo esperado según caso</x:v>
      </x:c>
      <x:c r="J9" s="18" t="str">
        <x:v>Ejecución / registro</x:v>
      </x:c>
      <x:c r="K9" s="18" t="str">
        <x:v>Protocolo técnico</x:v>
      </x:c>
      <x:c r="L9" s="18" t="str">
        <x:v>Ruta localizada</x:v>
      </x:c>
      <x:c r="M9" s="32" t="str">
        <x:v>Pendiente</x:v>
      </x:c>
      <x:c r="N9" s="18" t="str">
        <x:v>https://github.com/SebastianCM020/Sistema_Gestion_Integral_Constructora/blob/main/backend/src/routes/consumo.routes.js</x:v>
      </x:c>
      <x:c r="O9" s="18" t="str">
        <x:v>Idempotencia/sincronización exige prueba por clave de negocio y persistencia; no asumir cero duplicados por el código.</x:v>
      </x:c>
    </x:row>
    <x:row r="10" ht="27" customHeight="1">
      <x:c r="A10" s="18" t="str">
        <x:v>ET-05</x:v>
      </x:c>
      <x:c r="B10" s="18" t="str">
        <x:v>OP-01</x:v>
      </x:c>
      <x:c r="C10" s="18" t="str">
        <x:v>MOD-07</x:v>
      </x:c>
      <x:c r="D10" s="18" t="str">
        <x:v>/api/v1/bodega/proyectos/:idProyecto/requerimientos/:idRequerimiento/recepcionar</x:v>
      </x:c>
      <x:c r="E10" s="18" t="str">
        <x:v>POST</x:v>
      </x:c>
      <x:c r="F10" s="18" t="str">
        <x:v>Escritura</x:v>
      </x:c>
      <x:c r="G10" s="18" t="str">
        <x:v>Bodeguero / Admin</x:v>
      </x:c>
      <x:c r="H10" s="18" t="str">
        <x:v>Requerimiento aprobado y detalles</x:v>
      </x:c>
      <x:c r="I10" s="18" t="str">
        <x:v>Recepción o respuesta de negocio esperada</x:v>
      </x:c>
      <x:c r="J10" s="18" t="str">
        <x:v>Ejecución</x:v>
      </x:c>
      <x:c r="K10" s="18" t="str">
        <x:v>Protocolo técnico</x:v>
      </x:c>
      <x:c r="L10" s="18" t="str">
        <x:v>Ruta localizada</x:v>
      </x:c>
      <x:c r="M10" s="32" t="str">
        <x:v>Pendiente</x:v>
      </x:c>
      <x:c r="N10" s="18" t="str">
        <x:v>https://github.com/SebastianCM020/Sistema_Gestion_Integral_Constructora/blob/main/backend/src/routes/bodega.routes.js</x:v>
      </x:c>
      <x:c r="O10" s="18" t="str">
        <x:v>Prueba de rechazo esperado no equivale a caída del servidor.</x:v>
      </x:c>
    </x:row>
    <x:row r="11" ht="27" customHeight="1">
      <x:c r="A11" s="18" t="str">
        <x:v>ET-06</x:v>
      </x:c>
      <x:c r="B11" s="18" t="str">
        <x:v>OP-02; OP-03</x:v>
      </x:c>
      <x:c r="C11" s="18" t="str">
        <x:v>Servicio API</x:v>
      </x:c>
      <x:c r="D11" s="18" t="str">
        <x:v>/health</x:v>
      </x:c>
      <x:c r="E11" s="18" t="str">
        <x:v>GET</x:v>
      </x:c>
      <x:c r="F11" s="18" t="str">
        <x:v>Monitorización</x:v>
      </x:c>
      <x:c r="G11" s="18" t="str">
        <x:v>Sin rol requerido en ruta /health</x:v>
      </x:c>
      <x:c r="H11" s="18" t="str">
        <x:v>Base URL y ventana de observación</x:v>
      </x:c>
      <x:c r="I11" s="18" t="str">
        <x:v>Estado de servicio según protocolo</x:v>
      </x:c>
      <x:c r="J11" s="18" t="str">
        <x:v>Intervalo de servicio</x:v>
      </x:c>
      <x:c r="K11" s="18" t="str">
        <x:v>Monitor externo</x:v>
      </x:c>
      <x:c r="L11" s="18" t="str">
        <x:v>Ruta localizada</x:v>
      </x:c>
      <x:c r="M11" s="32" t="str">
        <x:v>Pendiente</x:v>
      </x:c>
      <x:c r="N11" s="18" t="str">
        <x:v>https://github.com/SebastianCM020/Sistema_Gestion_Integral_Constructora/blob/main/backend/src/server.js</x:v>
      </x:c>
      <x:c r="O11" s="18" t="str">
        <x:v>El endpoint /health únicamente prueba el backend; no representa por sí solo web/PWA/API/BD y servicios esenciales.</x:v>
      </x:c>
    </x:row>
    <x:row r="12" ht="27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32"/>
      <x:c r="N12" s="18"/>
      <x:c r="O12" s="18"/>
    </x:row>
    <x:row r="13" ht="27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32"/>
      <x:c r="N13" s="18"/>
      <x:c r="O13" s="18"/>
    </x:row>
    <x:row r="14" ht="27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32"/>
      <x:c r="N14" s="18"/>
      <x:c r="O14" s="18"/>
    </x:row>
    <x:row r="15" ht="27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32"/>
      <x:c r="N15" s="18"/>
      <x:c r="O15" s="18"/>
    </x:row>
    <x:row r="16" ht="27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32"/>
      <x:c r="N16" s="18"/>
      <x:c r="O16" s="18"/>
    </x:row>
    <x:row r="17" ht="27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32"/>
      <x:c r="N17" s="18"/>
      <x:c r="O17" s="18"/>
    </x:row>
    <x:row r="18" ht="27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32"/>
      <x:c r="N18" s="18"/>
      <x:c r="O18" s="18"/>
    </x:row>
    <x:row r="19" ht="27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32"/>
      <x:c r="N19" s="18"/>
      <x:c r="O19" s="18"/>
    </x:row>
    <x:row r="20" ht="27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32"/>
      <x:c r="N20" s="18"/>
      <x:c r="O20" s="18"/>
    </x:row>
    <x:row r="21" ht="27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32"/>
      <x:c r="N21" s="18"/>
      <x:c r="O21" s="18"/>
    </x:row>
    <x:row r="22" ht="27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32"/>
      <x:c r="N22" s="18"/>
      <x:c r="O22" s="18"/>
    </x:row>
    <x:row r="23" ht="27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32"/>
      <x:c r="N23" s="18"/>
      <x:c r="O23" s="18"/>
    </x:row>
    <x:row r="24" ht="27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32"/>
      <x:c r="N24" s="18"/>
      <x:c r="O24" s="18"/>
    </x:row>
    <x:row r="25" ht="27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32"/>
      <x:c r="N25" s="18"/>
      <x:c r="O25" s="18"/>
    </x:row>
    <x:row r="26" ht="27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32"/>
      <x:c r="N26" s="18"/>
      <x:c r="O26" s="18"/>
    </x:row>
    <x:row r="27" ht="27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32"/>
      <x:c r="N27" s="18"/>
      <x:c r="O27" s="18"/>
    </x:row>
    <x:row r="28" ht="27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32"/>
      <x:c r="N28" s="18"/>
      <x:c r="O28" s="18"/>
    </x:row>
    <x:row r="29" ht="27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32"/>
      <x:c r="N29" s="18"/>
      <x:c r="O29" s="18"/>
    </x:row>
    <x:row r="30" ht="27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32"/>
      <x:c r="N30" s="18"/>
      <x:c r="O30" s="18"/>
    </x:row>
    <x:row r="31" ht="27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32"/>
      <x:c r="N31" s="18"/>
      <x:c r="O31" s="18"/>
    </x:row>
    <x:row r="32" ht="27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32"/>
      <x:c r="N32" s="18"/>
      <x:c r="O32" s="18"/>
    </x:row>
    <x:row r="33" ht="27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32"/>
      <x:c r="N33" s="18"/>
      <x:c r="O33" s="18"/>
    </x:row>
    <x:row r="34" ht="27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32"/>
      <x:c r="N34" s="18"/>
      <x:c r="O34" s="18"/>
    </x:row>
    <x:row r="35" ht="27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32"/>
      <x:c r="N35" s="18"/>
      <x:c r="O35" s="18"/>
    </x:row>
    <x:row r="36" ht="27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32"/>
      <x:c r="N36" s="18"/>
      <x:c r="O36" s="18"/>
    </x:row>
    <x:row r="37" ht="27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32"/>
      <x:c r="N37" s="18"/>
      <x:c r="O37" s="18"/>
    </x:row>
    <x:row r="38" ht="27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32"/>
      <x:c r="N38" s="18"/>
      <x:c r="O38" s="18"/>
    </x:row>
    <x:row r="39" ht="27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32"/>
      <x:c r="N39" s="18"/>
      <x:c r="O39" s="18"/>
    </x:row>
    <x:row r="40" ht="27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32"/>
      <x:c r="N40" s="18"/>
      <x:c r="O40" s="18"/>
    </x:row>
    <x:row r="41" ht="27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32"/>
      <x:c r="N41" s="18"/>
      <x:c r="O41" s="18"/>
    </x:row>
    <x:row r="42" ht="27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32"/>
      <x:c r="N42" s="18"/>
      <x:c r="O42" s="18"/>
    </x:row>
    <x:row r="43" ht="27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32"/>
      <x:c r="N43" s="18"/>
      <x:c r="O43" s="18"/>
    </x:row>
    <x:row r="44" ht="27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32"/>
      <x:c r="N44" s="18"/>
      <x:c r="O44" s="18"/>
    </x:row>
    <x:row r="45" ht="27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32"/>
      <x:c r="N45" s="18"/>
      <x:c r="O45" s="18"/>
    </x:row>
    <x:row r="46" ht="27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32"/>
      <x:c r="N46" s="18"/>
      <x:c r="O46" s="18"/>
    </x:row>
    <x:row r="47" ht="27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32"/>
      <x:c r="N47" s="18"/>
      <x:c r="O47" s="18"/>
    </x:row>
    <x:row r="48" ht="27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32"/>
      <x:c r="N48" s="18"/>
      <x:c r="O48" s="18"/>
    </x:row>
    <x:row r="49" ht="27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32"/>
      <x:c r="N49" s="18"/>
      <x:c r="O49" s="18"/>
    </x:row>
    <x:row r="50" ht="27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32"/>
      <x:c r="N50" s="18"/>
      <x:c r="O50" s="18"/>
    </x:row>
    <x:row r="51" ht="27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32"/>
      <x:c r="N51" s="18"/>
      <x:c r="O51" s="18"/>
    </x:row>
  </x:sheetData>
  <x:mergeCells>
    <x:mergeCell ref="A1:O2"/>
    <x:mergeCell ref="A3:O3"/>
    <x:mergeCell ref="A4:O4"/>
  </x:mergeCells>
  <x:dataValidations count="3">
    <x:dataValidation type="list" sqref="E6:E51">
      <x:formula1>"GET,POST,PUT,PATCH,DELETE,N/A"</x:formula1>
    </x:dataValidation>
    <x:dataValidation type="list" sqref="L6:L51">
      <x:formula1>"Ruta localizada,Por verificar,Pendiente de implementación,Implementación verificada"</x:formula1>
    </x:dataValidation>
    <x:dataValidation type="list" sqref="M6:M51">
      <x:formula1>"Pendiente,Programado,Ejecutado con evidencia,Cancelado"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e5b8bef4f949d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56" hidden="0" customWidth="1"/>
    <x:col min="3" max="3" width="65" hidden="0" customWidth="1"/>
    <x:col min="4" max="4" width="68" hidden="0" customWidth="1"/>
  </x:cols>
  <x:sheetData>
    <x:row r="1" ht="25" customHeight="1">
      <x:c r="A1" s="34" t="str">
        <x:v>CONFIGURACIÓN k6 | NO ES UNA EJECUCIÓN</x:v>
      </x:c>
      <x:c r="B1" s="34"/>
      <x:c r="C1" s="34"/>
      <x:c r="D1" s="34"/>
      <x:c r="E1" s="34"/>
    </x:row>
    <x:row r="2" ht="25" customHeight="1">
      <x:c r="A2" s="34"/>
      <x:c r="B2" s="34"/>
      <x:c r="C2" s="34"/>
      <x:c r="D2" s="34"/>
      <x:c r="E2" s="34"/>
    </x:row>
    <x:row r="5" ht="27" customHeight="1">
      <x:c r="A5" s="13" t="str">
        <x:v>Parámetro</x:v>
      </x:c>
      <x:c r="B5" s="13" t="str">
        <x:v>Valor documentado</x:v>
      </x:c>
      <x:c r="C5" s="13" t="str">
        <x:v>Fuente / comentario</x:v>
      </x:c>
    </x:row>
    <x:row r="6">
      <x:c r="A6" s="16" t="str">
        <x:v>Herramienta</x:v>
      </x:c>
      <x:c r="B6" t="str">
        <x:v>k6</x:v>
      </x:c>
      <x:c r="C6" t="str">
        <x:v>https://github.com/SebastianCM020/Sistema_Gestion_Integral_Constructora/blob/main/backend/tests/load_test.js</x:v>
      </x:c>
    </x:row>
    <x:row r="7">
      <x:c r="A7" s="16" t="str">
        <x:v>Script</x:v>
      </x:c>
      <x:c r="B7" t="str">
        <x:v>backend/tests/load_test.js</x:v>
      </x:c>
      <x:c r="C7" t="str">
        <x:v>https://github.com/SebastianCM020/Sistema_Gestion_Integral_Constructora/blob/main/backend/tests/load_test.js</x:v>
      </x:c>
    </x:row>
    <x:row r="8">
      <x:c r="A8" s="16" t="str">
        <x:v>Duración de incremento (s)</x:v>
      </x:c>
      <x:c r="B8" t="n">
        <x:v>30</x:v>
      </x:c>
      <x:c r="C8" t="str">
        <x:v>stage 1: 30s → 20 VU</x:v>
      </x:c>
    </x:row>
    <x:row r="9">
      <x:c r="A9" s="16" t="str">
        <x:v>Concurrencia objetivo (VU)</x:v>
      </x:c>
      <x:c r="B9" t="n">
        <x:v>20</x:v>
      </x:c>
      <x:c r="C9" t="str">
        <x:v>stages.target = 20; NO es muestra humana</x:v>
      </x:c>
    </x:row>
    <x:row r="10">
      <x:c r="A10" s="16" t="str">
        <x:v>Duración sostenida (s)</x:v>
      </x:c>
      <x:c r="B10" t="n">
        <x:v>60</x:v>
      </x:c>
      <x:c r="C10" t="str">
        <x:v>stage 2: 1m → 20 VU</x:v>
      </x:c>
    </x:row>
    <x:row r="11">
      <x:c r="A11" s="16" t="str">
        <x:v>Duración de reducción (s)</x:v>
      </x:c>
      <x:c r="B11" t="n">
        <x:v>30</x:v>
      </x:c>
      <x:c r="C11" t="str">
        <x:v>stage 3: 30s → 0 VU</x:v>
      </x:c>
    </x:row>
    <x:row r="12">
      <x:c r="A12" s="16" t="str">
        <x:v>Duración total configurada (s)</x:v>
      </x:c>
      <x:c r="B12" t="n">
        <x:f>SUM(B8,B10,B11)</x:f>
        <x:v>120</x:v>
      </x:c>
      <x:c r="C12" t="str">
        <x:v>Suma de los tres stages; no se infiere n de solicitudes</x:v>
      </x:c>
    </x:row>
    <x:row r="13">
      <x:c r="A13" s="16" t="str">
        <x:v>Rutas consultadas</x:v>
      </x:c>
      <x:c r="B13" t="str">
        <x:v>Dashboard y cierres contables</x:v>
      </x:c>
      <x:c r="C13" t="str">
        <x:v>https://github.com/SebastianCM020/Sistema_Gestion_Integral_Constructora/blob/main/backend/tests/load_test.js</x:v>
      </x:c>
    </x:row>
    <x:row r="14">
      <x:c r="A14" s="16" t="str">
        <x:v>Umbral técnico P95 (ms)</x:v>
      </x:c>
      <x:c r="B14" t="n">
        <x:v>2000</x:v>
      </x:c>
      <x:c r="C14" t="str">
        <x:v>Script k6: P95 global &lt; 2000 ms, no por endpoint; requiere instrumentar umbrales por ruta.</x:v>
      </x:c>
    </x:row>
    <x:row r="15">
      <x:c r="A15" s="16" t="str">
        <x:v>Umbral técnico de fallos HTTP</x:v>
      </x:c>
      <x:c r="B15" s="36" t="n">
        <x:v>0.01</x:v>
      </x:c>
      <x:c r="C15" t="str">
        <x:v>Script k6: http_req_failed &lt;1 %. NO corresponde a OP-01 (≤1 fallo por 1000 operaciones).</x:v>
      </x:c>
    </x:row>
    <x:row r="16">
      <x:c r="A16" s="16" t="str">
        <x:v>Token</x:v>
      </x:c>
      <x:c r="B16" t="str">
        <x:v>Marcador de prueba; sustituir en entorno seguro</x:v>
      </x:c>
      <x:c r="C16" t="str">
        <x:v>NO registrar credenciales aquí</x:v>
      </x:c>
    </x:row>
    <x:row r="17">
      <x:c r="A17" s="16" t="str">
        <x:v>Ambiente de ejecución</x:v>
      </x:c>
      <x:c r="B17" s="38"/>
      <x:c r="C17" t="str">
        <x:v>Pendiente de confirmación</x:v>
      </x:c>
    </x:row>
    <x:row r="18">
      <x:c r="A18" s="16" t="str">
        <x:v>Evidencia de ejecución</x:v>
      </x:c>
      <x:c r="B18" s="38"/>
      <x:c r="C18" t="str">
        <x:v>Pendiente; NO afirmar resultado</x:v>
      </x:c>
    </x:row>
    <x:row r="21" ht="28" customHeight="1">
      <x:c r="A21" s="13" t="str">
        <x:v>Indicador</x:v>
      </x:c>
      <x:c r="B21" s="13" t="str">
        <x:v>Criterio del proyecto</x:v>
      </x:c>
      <x:c r="C21" s="13" t="str">
        <x:v>Umbral k6</x:v>
      </x:c>
      <x:c r="D21" s="13" t="str">
        <x:v>Situación / acción</x:v>
      </x:c>
    </x:row>
    <x:row r="22" ht="42" customHeight="1">
      <x:c r="A22" s="18" t="str">
        <x:v>Fallos por operaciones</x:v>
      </x:c>
      <x:c r="B22" s="18" t="str">
        <x:v>≤ 1 / 1000 (&lt; o igual a 0,1 %)</x:v>
      </x:c>
      <x:c r="C22" s="18" t="str">
        <x:v>&lt; 1 % HTTP</x:v>
      </x:c>
      <x:c r="D22" s="18" t="str">
        <x:v>NO equivalentes: denominador y umbral deben armonizarse</x:v>
      </x:c>
    </x:row>
    <x:row r="23" ht="42" customHeight="1">
      <x:c r="A23" s="18" t="str">
        <x:v>Disponibilidad semanal</x:v>
      </x:c>
      <x:c r="B23" s="18" t="str">
        <x:v>≥ 99 %</x:v>
      </x:c>
      <x:c r="C23" s="18" t="str">
        <x:v>No configurado</x:v>
      </x:c>
      <x:c r="D23" s="18" t="str">
        <x:v>Monitorización requerida</x:v>
      </x:c>
    </x:row>
    <x:row r="24" ht="42" customHeight="1">
      <x:c r="A24" s="18" t="str">
        <x:v>Disponibilidad mensual</x:v>
      </x:c>
      <x:c r="B24" s="18"/>
      <x:c r="C24" s="18" t="str">
        <x:v>No configurado</x:v>
      </x:c>
      <x:c r="D24" s="18" t="str">
        <x:v>SIN RESOLVER: SRS mensual ≥99%; matriz previa 99,5%. Registrar aprobación antes de completar.</x:v>
      </x:c>
    </x:row>
    <x:row r="25" ht="42" customHeight="1">
      <x:c r="A25" s="18" t="str">
        <x:v>P95</x:v>
      </x:c>
      <x:c r="B25" s="18"/>
      <x:c r="C25" s="18" t="str">
        <x:v>&lt; 2000 ms</x:v>
      </x:c>
      <x:c r="D25" s="18" t="str">
        <x:v>SIN RESOLVER: SRS/plan ≤2000 ms y script k6 &lt;2000 ms; no aceptar comparadores distintos sin decisión.</x:v>
      </x:c>
    </x:row>
    <x:row r="26" ht="42" customHeight="1">
      <x:c r="A26" s="18" t="str">
        <x:v>P99</x:v>
      </x:c>
      <x:c r="B26" s="18" t="str">
        <x:v>&lt; 5000 ms</x:v>
      </x:c>
      <x:c r="C26" s="18" t="str">
        <x:v>P99 &lt;5000 ms previsto; NO configurado en script. Añadir métrica por endpoint tras acuerdo.</x:v>
      </x:c>
      <x:c r="D26" s="18" t="str">
        <x:v>Requiere cálculo y precisión específica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30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44" hidden="0" customWidth="1"/>
    <x:col min="9" max="9" width="29" hidden="0" customWidth="1"/>
    <x:col min="10" max="10" width="21" hidden="0" customWidth="1"/>
    <x:col min="11" max="11" width="54" hidden="0" customWidth="1"/>
    <x:col min="12" max="12" width="21" hidden="0" customWidth="1"/>
    <x:col min="13" max="13" width="40" hidden="0" customWidth="1"/>
    <x:col min="14" max="14" width="50" hidden="0" customWidth="1"/>
  </x:cols>
  <x:sheetData>
    <x:row r="1" ht="24" customHeight="1">
      <x:c r="A1" s="21" t="str">
        <x:v>NÚMERO DE OBSERVACIONES Y PRECISIÓN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21" customHeight="1">
      <x:c r="A4" s="26" t="str">
        <x:v>Complete solo con información verificable. Los campos amarillos requieren confirmación o evidencia.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 ht="32" customHeight="1">
      <x:c r="A5" s="29" t="str">
        <x:v>Código ET</x:v>
      </x:c>
      <x:c r="B5" s="29" t="str">
        <x:v>Indicador OP</x:v>
      </x:c>
      <x:c r="C5" s="29" t="str">
        <x:v>Unidad observada</x:v>
      </x:c>
      <x:c r="D5" s="29" t="str">
        <x:v>Número previsto</x:v>
      </x:c>
      <x:c r="E5" s="29" t="str">
        <x:v>Número obtenido</x:v>
      </x:c>
      <x:c r="F5" s="29" t="str">
        <x:v>Observaciones válidas</x:v>
      </x:c>
      <x:c r="G5" s="29" t="str">
        <x:v>Observaciones excluidas</x:v>
      </x:c>
      <x:c r="H5" s="29" t="str">
        <x:v>Método estadístico</x:v>
      </x:c>
      <x:c r="I5" s="29" t="str">
        <x:v>Precisión deseada</x:v>
      </x:c>
      <x:c r="J5" s="29" t="str">
        <x:v>Nivel de confianza si aplica</x:v>
      </x:c>
      <x:c r="K5" s="29" t="str">
        <x:v>Justificación</x:v>
      </x:c>
      <x:c r="L5" s="29" t="str">
        <x:v>Estado</x:v>
      </x:c>
      <x:c r="M5" s="29" t="str">
        <x:v>Ruta de evidencia</x:v>
      </x:c>
      <x:c r="N5" s="29" t="str">
        <x:v>Observaciones</x:v>
      </x:c>
    </x:row>
    <x:row r="6" ht="27" customHeight="1">
      <x:c r="A6" s="18" t="str">
        <x:v>ET-01</x:v>
      </x:c>
      <x:c r="B6" s="18" t="str">
        <x:v>OP-06; OP-07</x:v>
      </x:c>
      <x:c r="C6" s="18" t="str">
        <x:v>Solicitud HTTP</x:v>
      </x:c>
      <x:c r="D6" s="32"/>
      <x:c r="E6" s="32" t="str">
        <x:f>IF(OR('07_RESULTADOS_POR_ET'!$O$5="",'07_RESULTADOS_POR_ET'!$D$5=""),"",'07_RESULTADOS_POR_ET'!$D$5)</x:f>
      </x:c>
      <x:c r="F6" s="32" t="str">
        <x:f>IF(OR('07_RESULTADOS_POR_ET'!$O$5="",'07_RESULTADOS_POR_ET'!$E$5=""),"",'07_RESULTADOS_POR_ET'!$E$5)</x:f>
      </x:c>
      <x:c r="G6" s="32" t="str">
        <x:f>IF(OR('07_RESULTADOS_POR_ET'!$O$5="",'07_RESULTADOS_POR_ET'!$F$5=""),"",'07_RESULTADOS_POR_ET'!$F$5)</x:f>
      </x:c>
      <x:c r="H6" s="18" t="str">
        <x:v>Percentiles empíricos P95/P99</x:v>
      </x:c>
      <x:c r="I6" s="32"/>
      <x:c r="J6" s="32"/>
      <x:c r="K6" s="18" t="str">
        <x:v>Justificar n para cola de distribución</x:v>
      </x:c>
      <x:c r="L6" s="18" t="str">
        <x:v>Pendiente</x:v>
      </x:c>
      <x:c r="M6" s="32"/>
      <x:c r="N6" s="18" t="str">
        <x:v>No confundir VU con solicitudes; medir P95/P99 de ET-01 de forma separada.</x:v>
      </x:c>
    </x:row>
    <x:row r="7" ht="27" customHeight="1">
      <x:c r="A7" s="18" t="str">
        <x:v>ET-02</x:v>
      </x:c>
      <x:c r="B7" s="18" t="str">
        <x:v>OP-06; OP-07</x:v>
      </x:c>
      <x:c r="C7" s="18" t="str">
        <x:v>Solicitud HTTP</x:v>
      </x:c>
      <x:c r="D7" s="32"/>
      <x:c r="E7" s="32" t="str">
        <x:f>IF(OR('07_RESULTADOS_POR_ET'!$O$6="",'07_RESULTADOS_POR_ET'!$D$6=""),"",'07_RESULTADOS_POR_ET'!$D$6)</x:f>
      </x:c>
      <x:c r="F7" s="32" t="str">
        <x:f>IF(OR('07_RESULTADOS_POR_ET'!$O$6="",'07_RESULTADOS_POR_ET'!$E$6=""),"",'07_RESULTADOS_POR_ET'!$E$6)</x:f>
      </x:c>
      <x:c r="G7" s="32" t="str">
        <x:f>IF(OR('07_RESULTADOS_POR_ET'!$O$6="",'07_RESULTADOS_POR_ET'!$F$6=""),"",'07_RESULTADOS_POR_ET'!$F$6)</x:f>
      </x:c>
      <x:c r="H7" s="18" t="str">
        <x:v>Percentiles empíricos P95/P99</x:v>
      </x:c>
      <x:c r="I7" s="32"/>
      <x:c r="J7" s="32"/>
      <x:c r="K7" s="18" t="str">
        <x:v>Justificar precisión para P99</x:v>
      </x:c>
      <x:c r="L7" s="18" t="str">
        <x:v>Pendiente</x:v>
      </x:c>
      <x:c r="M7" s="32"/>
      <x:c r="N7" s="18" t="str">
        <x:v>No inferir P99 por ruta desde umbral P95 agregado.</x:v>
      </x:c>
    </x:row>
    <x:row r="8" ht="27" customHeight="1">
      <x:c r="A8" s="18" t="str">
        <x:v>ET-03</x:v>
      </x:c>
      <x:c r="B8" s="18" t="str">
        <x:v>OP-01</x:v>
      </x:c>
      <x:c r="C8" s="18" t="str">
        <x:v>Operación funcional</x:v>
      </x:c>
      <x:c r="D8" s="32"/>
      <x:c r="E8" s="32" t="str">
        <x:f>IF(OR('07_RESULTADOS_POR_ET'!$O$7="",'07_RESULTADOS_POR_ET'!$D$7=""),"",'07_RESULTADOS_POR_ET'!$D$7)</x:f>
      </x:c>
      <x:c r="F8" s="32" t="str">
        <x:f>IF(OR('07_RESULTADOS_POR_ET'!$O$7="",'07_RESULTADOS_POR_ET'!$E$7=""),"",'07_RESULTADOS_POR_ET'!$E$7)</x:f>
      </x:c>
      <x:c r="G8" s="32" t="str">
        <x:f>IF(OR('07_RESULTADOS_POR_ET'!$O$7="",'07_RESULTADOS_POR_ET'!$F$7=""),"",'07_RESULTADOS_POR_ET'!$F$7)</x:f>
      </x:c>
      <x:c r="H8" s="18" t="str">
        <x:v>Frecuencia de fallos por 1000 operaciones</x:v>
      </x:c>
      <x:c r="I8" s="32"/>
      <x:c r="J8" s="32"/>
      <x:c r="K8" s="18" t="str">
        <x:v>Definir fallos elegibles y escenarios</x:v>
      </x:c>
      <x:c r="L8" s="18" t="str">
        <x:v>Pendiente</x:v>
      </x:c>
      <x:c r="M8" s="32"/>
      <x:c r="N8" s="18"/>
    </x:row>
    <x:row r="9" ht="27" customHeight="1">
      <x:c r="A9" s="18" t="str">
        <x:v>ET-04</x:v>
      </x:c>
      <x:c r="B9" s="18" t="str">
        <x:v>OP-01; OP-09</x:v>
      </x:c>
      <x:c r="C9" s="18" t="str">
        <x:v>Operación y registro</x:v>
      </x:c>
      <x:c r="D9" s="32"/>
      <x:c r="E9" s="32" t="str">
        <x:f>IF(OR('07_RESULTADOS_POR_ET'!$O$8="",'07_RESULTADOS_POR_ET'!$D$8=""),"",'07_RESULTADOS_POR_ET'!$D$8)</x:f>
      </x:c>
      <x:c r="F9" s="32" t="str">
        <x:f>IF(OR('07_RESULTADOS_POR_ET'!$O$8="",'07_RESULTADOS_POR_ET'!$E$8=""),"",'07_RESULTADOS_POR_ET'!$E$8)</x:f>
      </x:c>
      <x:c r="G9" s="32" t="str">
        <x:f>IF(OR('07_RESULTADOS_POR_ET'!$O$8="",'07_RESULTADOS_POR_ET'!$F$8=""),"",'07_RESULTADOS_POR_ET'!$F$8)</x:f>
      </x:c>
      <x:c r="H9" s="18" t="str">
        <x:v>Frecuencia de fallos e integridad</x:v>
      </x:c>
      <x:c r="I9" s="32"/>
      <x:c r="J9" s="32"/>
      <x:c r="K9" s="18" t="str">
        <x:v>Validación negativa no implica fallo del sistema</x:v>
      </x:c>
      <x:c r="L9" s="18" t="str">
        <x:v>Pendiente</x:v>
      </x:c>
      <x:c r="M9" s="32"/>
      <x:c r="N9" s="18" t="str">
        <x:v>Operaciones con respuesta 401/403/409/422 esperada no son fallos del sistema.</x:v>
      </x:c>
    </x:row>
    <x:row r="10" ht="27" customHeight="1">
      <x:c r="A10" s="18" t="str">
        <x:v>ET-05</x:v>
      </x:c>
      <x:c r="B10" s="18" t="str">
        <x:v>OP-01</x:v>
      </x:c>
      <x:c r="C10" s="18" t="str">
        <x:v>Operación funcional</x:v>
      </x:c>
      <x:c r="D10" s="32"/>
      <x:c r="E10" s="32" t="str">
        <x:f>IF(OR('07_RESULTADOS_POR_ET'!$O$9="",'07_RESULTADOS_POR_ET'!$D$9=""),"",'07_RESULTADOS_POR_ET'!$D$9)</x:f>
      </x:c>
      <x:c r="F10" s="32" t="str">
        <x:f>IF(OR('07_RESULTADOS_POR_ET'!$O$9="",'07_RESULTADOS_POR_ET'!$E$9=""),"",'07_RESULTADOS_POR_ET'!$E$9)</x:f>
      </x:c>
      <x:c r="G10" s="32" t="str">
        <x:f>IF(OR('07_RESULTADOS_POR_ET'!$O$9="",'07_RESULTADOS_POR_ET'!$F$9=""),"",'07_RESULTADOS_POR_ET'!$F$9)</x:f>
      </x:c>
      <x:c r="H10" s="18" t="str">
        <x:v>Frecuencia de fallos por 1000 operaciones</x:v>
      </x:c>
      <x:c r="I10" s="32"/>
      <x:c r="J10" s="32"/>
      <x:c r="K10" s="18" t="str">
        <x:v>Delimitar operaciones de recepción</x:v>
      </x:c>
      <x:c r="L10" s="18" t="str">
        <x:v>Pendiente</x:v>
      </x:c>
      <x:c r="M10" s="32"/>
      <x:c r="N10" s="18"/>
    </x:row>
    <x:row r="11" ht="27" customHeight="1">
      <x:c r="A11" s="18" t="str">
        <x:v>ET-06</x:v>
      </x:c>
      <x:c r="B11" s="18" t="str">
        <x:v>OP-02; OP-03</x:v>
      </x:c>
      <x:c r="C11" s="18" t="str">
        <x:v>Intervalo de tiempo</x:v>
      </x:c>
      <x:c r="D11" s="32"/>
      <x:c r="E11" s="32"/>
      <x:c r="F11" s="32"/>
      <x:c r="G11" s="32"/>
      <x:c r="H11" s="18" t="str">
        <x:v>Disponibilidad To/Tp</x:v>
      </x:c>
      <x:c r="I11" s="32"/>
      <x:c r="J11" s="32"/>
      <x:c r="K11" s="18" t="str">
        <x:v>Definir frecuencia y método de estimar caídas</x:v>
      </x:c>
      <x:c r="L11" s="18" t="str">
        <x:v>Pendiente</x:v>
      </x:c>
      <x:c r="M11" s="32"/>
      <x:c r="N11" s="18"/>
    </x:row>
    <x:row r="12" ht="27" customHeight="1">
      <x:c r="A12" s="18"/>
      <x:c r="B12" s="18"/>
      <x:c r="C12" s="18"/>
      <x:c r="D12" s="32"/>
      <x:c r="E12" s="32"/>
      <x:c r="F12" s="32"/>
      <x:c r="G12" s="32"/>
      <x:c r="H12" s="18"/>
      <x:c r="I12" s="32"/>
      <x:c r="J12" s="32"/>
      <x:c r="K12" s="18"/>
      <x:c r="L12" s="18"/>
      <x:c r="M12" s="32"/>
      <x:c r="N12" s="18"/>
    </x:row>
    <x:row r="13" ht="27" customHeight="1">
      <x:c r="A13" s="18"/>
      <x:c r="B13" s="18"/>
      <x:c r="C13" s="18"/>
      <x:c r="D13" s="32"/>
      <x:c r="E13" s="32"/>
      <x:c r="F13" s="32"/>
      <x:c r="G13" s="32"/>
      <x:c r="H13" s="18"/>
      <x:c r="I13" s="32"/>
      <x:c r="J13" s="32"/>
      <x:c r="K13" s="18"/>
      <x:c r="L13" s="18"/>
      <x:c r="M13" s="32"/>
      <x:c r="N13" s="18"/>
    </x:row>
    <x:row r="14" ht="27" customHeight="1">
      <x:c r="A14" s="18"/>
      <x:c r="B14" s="18"/>
      <x:c r="C14" s="18"/>
      <x:c r="D14" s="32"/>
      <x:c r="E14" s="32"/>
      <x:c r="F14" s="32"/>
      <x:c r="G14" s="32"/>
      <x:c r="H14" s="18"/>
      <x:c r="I14" s="32"/>
      <x:c r="J14" s="32"/>
      <x:c r="K14" s="18"/>
      <x:c r="L14" s="18"/>
      <x:c r="M14" s="32"/>
      <x:c r="N14" s="18"/>
    </x:row>
    <x:row r="15" ht="27" customHeight="1">
      <x:c r="A15" s="18"/>
      <x:c r="B15" s="18"/>
      <x:c r="C15" s="18"/>
      <x:c r="D15" s="32"/>
      <x:c r="E15" s="32"/>
      <x:c r="F15" s="32"/>
      <x:c r="G15" s="32"/>
      <x:c r="H15" s="18"/>
      <x:c r="I15" s="32"/>
      <x:c r="J15" s="32"/>
      <x:c r="K15" s="18"/>
      <x:c r="L15" s="18"/>
      <x:c r="M15" s="32"/>
      <x:c r="N15" s="18"/>
    </x:row>
    <x:row r="16" ht="27" customHeight="1">
      <x:c r="A16" s="18"/>
      <x:c r="B16" s="18"/>
      <x:c r="C16" s="18"/>
      <x:c r="D16" s="32"/>
      <x:c r="E16" s="32"/>
      <x:c r="F16" s="32"/>
      <x:c r="G16" s="32"/>
      <x:c r="H16" s="18"/>
      <x:c r="I16" s="32"/>
      <x:c r="J16" s="32"/>
      <x:c r="K16" s="18"/>
      <x:c r="L16" s="18"/>
      <x:c r="M16" s="32"/>
      <x:c r="N16" s="18"/>
    </x:row>
    <x:row r="17" ht="27" customHeight="1">
      <x:c r="A17" s="18"/>
      <x:c r="B17" s="18"/>
      <x:c r="C17" s="18"/>
      <x:c r="D17" s="32"/>
      <x:c r="E17" s="32"/>
      <x:c r="F17" s="32"/>
      <x:c r="G17" s="32"/>
      <x:c r="H17" s="18"/>
      <x:c r="I17" s="32"/>
      <x:c r="J17" s="32"/>
      <x:c r="K17" s="18"/>
      <x:c r="L17" s="18"/>
      <x:c r="M17" s="32"/>
      <x:c r="N17" s="18"/>
    </x:row>
    <x:row r="18" ht="27" customHeight="1">
      <x:c r="A18" s="18"/>
      <x:c r="B18" s="18"/>
      <x:c r="C18" s="18"/>
      <x:c r="D18" s="32"/>
      <x:c r="E18" s="32"/>
      <x:c r="F18" s="32"/>
      <x:c r="G18" s="32"/>
      <x:c r="H18" s="18"/>
      <x:c r="I18" s="32"/>
      <x:c r="J18" s="32"/>
      <x:c r="K18" s="18"/>
      <x:c r="L18" s="18"/>
      <x:c r="M18" s="32"/>
      <x:c r="N18" s="18"/>
    </x:row>
    <x:row r="19" ht="27" customHeight="1">
      <x:c r="A19" s="18"/>
      <x:c r="B19" s="18"/>
      <x:c r="C19" s="18"/>
      <x:c r="D19" s="32"/>
      <x:c r="E19" s="32"/>
      <x:c r="F19" s="32"/>
      <x:c r="G19" s="32"/>
      <x:c r="H19" s="18"/>
      <x:c r="I19" s="32"/>
      <x:c r="J19" s="32"/>
      <x:c r="K19" s="18"/>
      <x:c r="L19" s="18"/>
      <x:c r="M19" s="32"/>
      <x:c r="N19" s="18"/>
    </x:row>
    <x:row r="20" ht="27" customHeight="1">
      <x:c r="A20" s="18"/>
      <x:c r="B20" s="18"/>
      <x:c r="C20" s="18"/>
      <x:c r="D20" s="32"/>
      <x:c r="E20" s="32"/>
      <x:c r="F20" s="32"/>
      <x:c r="G20" s="32"/>
      <x:c r="H20" s="18"/>
      <x:c r="I20" s="32"/>
      <x:c r="J20" s="32"/>
      <x:c r="K20" s="18"/>
      <x:c r="L20" s="18"/>
      <x:c r="M20" s="32"/>
      <x:c r="N20" s="18"/>
    </x:row>
    <x:row r="21" ht="27" customHeight="1">
      <x:c r="A21" s="18"/>
      <x:c r="B21" s="18"/>
      <x:c r="C21" s="18"/>
      <x:c r="D21" s="32"/>
      <x:c r="E21" s="32"/>
      <x:c r="F21" s="32"/>
      <x:c r="G21" s="32"/>
      <x:c r="H21" s="18"/>
      <x:c r="I21" s="32"/>
      <x:c r="J21" s="32"/>
      <x:c r="K21" s="18"/>
      <x:c r="L21" s="18"/>
      <x:c r="M21" s="32"/>
      <x:c r="N21" s="18"/>
    </x:row>
    <x:row r="22" ht="27" customHeight="1">
      <x:c r="A22" s="18"/>
      <x:c r="B22" s="18"/>
      <x:c r="C22" s="18"/>
      <x:c r="D22" s="32"/>
      <x:c r="E22" s="32"/>
      <x:c r="F22" s="32"/>
      <x:c r="G22" s="32"/>
      <x:c r="H22" s="18"/>
      <x:c r="I22" s="32"/>
      <x:c r="J22" s="32"/>
      <x:c r="K22" s="18"/>
      <x:c r="L22" s="18"/>
      <x:c r="M22" s="32"/>
      <x:c r="N22" s="18"/>
    </x:row>
    <x:row r="23" ht="27" customHeight="1">
      <x:c r="A23" s="18"/>
      <x:c r="B23" s="18"/>
      <x:c r="C23" s="18"/>
      <x:c r="D23" s="32"/>
      <x:c r="E23" s="32"/>
      <x:c r="F23" s="32"/>
      <x:c r="G23" s="32"/>
      <x:c r="H23" s="18"/>
      <x:c r="I23" s="32"/>
      <x:c r="J23" s="32"/>
      <x:c r="K23" s="18"/>
      <x:c r="L23" s="18"/>
      <x:c r="M23" s="32"/>
      <x:c r="N23" s="18"/>
    </x:row>
    <x:row r="24" ht="27" customHeight="1">
      <x:c r="A24" s="18"/>
      <x:c r="B24" s="18"/>
      <x:c r="C24" s="18"/>
      <x:c r="D24" s="32"/>
      <x:c r="E24" s="32"/>
      <x:c r="F24" s="32"/>
      <x:c r="G24" s="32"/>
      <x:c r="H24" s="18"/>
      <x:c r="I24" s="32"/>
      <x:c r="J24" s="32"/>
      <x:c r="K24" s="18"/>
      <x:c r="L24" s="18"/>
      <x:c r="M24" s="32"/>
      <x:c r="N24" s="18"/>
    </x:row>
    <x:row r="25" ht="27" customHeight="1">
      <x:c r="A25" s="18"/>
      <x:c r="B25" s="18"/>
      <x:c r="C25" s="18"/>
      <x:c r="D25" s="32"/>
      <x:c r="E25" s="32"/>
      <x:c r="F25" s="32"/>
      <x:c r="G25" s="32"/>
      <x:c r="H25" s="18"/>
      <x:c r="I25" s="32"/>
      <x:c r="J25" s="32"/>
      <x:c r="K25" s="18"/>
      <x:c r="L25" s="18"/>
      <x:c r="M25" s="32"/>
      <x:c r="N25" s="18"/>
    </x:row>
    <x:row r="26" ht="27" customHeight="1">
      <x:c r="A26" s="18"/>
      <x:c r="B26" s="18"/>
      <x:c r="C26" s="18"/>
      <x:c r="D26" s="32"/>
      <x:c r="E26" s="32"/>
      <x:c r="F26" s="32"/>
      <x:c r="G26" s="32"/>
      <x:c r="H26" s="18"/>
      <x:c r="I26" s="32"/>
      <x:c r="J26" s="32"/>
      <x:c r="K26" s="18"/>
      <x:c r="L26" s="18"/>
      <x:c r="M26" s="32"/>
      <x:c r="N26" s="18"/>
    </x:row>
    <x:row r="27" ht="27" customHeight="1">
      <x:c r="A27" s="18"/>
      <x:c r="B27" s="18"/>
      <x:c r="C27" s="18"/>
      <x:c r="D27" s="32"/>
      <x:c r="E27" s="32"/>
      <x:c r="F27" s="32"/>
      <x:c r="G27" s="32"/>
      <x:c r="H27" s="18"/>
      <x:c r="I27" s="32"/>
      <x:c r="J27" s="32"/>
      <x:c r="K27" s="18"/>
      <x:c r="L27" s="18"/>
      <x:c r="M27" s="32"/>
      <x:c r="N27" s="18"/>
    </x:row>
    <x:row r="28" ht="27" customHeight="1">
      <x:c r="A28" s="18"/>
      <x:c r="B28" s="18"/>
      <x:c r="C28" s="18"/>
      <x:c r="D28" s="32"/>
      <x:c r="E28" s="32"/>
      <x:c r="F28" s="32"/>
      <x:c r="G28" s="32"/>
      <x:c r="H28" s="18"/>
      <x:c r="I28" s="32"/>
      <x:c r="J28" s="32"/>
      <x:c r="K28" s="18"/>
      <x:c r="L28" s="18"/>
      <x:c r="M28" s="32"/>
      <x:c r="N28" s="18"/>
    </x:row>
    <x:row r="29" ht="27" customHeight="1">
      <x:c r="A29" s="18"/>
      <x:c r="B29" s="18"/>
      <x:c r="C29" s="18"/>
      <x:c r="D29" s="32"/>
      <x:c r="E29" s="32"/>
      <x:c r="F29" s="32"/>
      <x:c r="G29" s="32"/>
      <x:c r="H29" s="18"/>
      <x:c r="I29" s="32"/>
      <x:c r="J29" s="32"/>
      <x:c r="K29" s="18"/>
      <x:c r="L29" s="18"/>
      <x:c r="M29" s="32"/>
      <x:c r="N29" s="18"/>
    </x:row>
    <x:row r="30" ht="27" customHeight="1">
      <x:c r="A30" s="18"/>
      <x:c r="B30" s="18"/>
      <x:c r="C30" s="18"/>
      <x:c r="D30" s="32"/>
      <x:c r="E30" s="32"/>
      <x:c r="F30" s="32"/>
      <x:c r="G30" s="32"/>
      <x:c r="H30" s="18"/>
      <x:c r="I30" s="32"/>
      <x:c r="J30" s="32"/>
      <x:c r="K30" s="18"/>
      <x:c r="L30" s="18"/>
      <x:c r="M30" s="32"/>
      <x:c r="N30" s="18"/>
    </x:row>
    <x:row r="31" ht="27" customHeight="1">
      <x:c r="A31" s="18"/>
      <x:c r="B31" s="18"/>
      <x:c r="C31" s="18"/>
      <x:c r="D31" s="32"/>
      <x:c r="E31" s="32"/>
      <x:c r="F31" s="32"/>
      <x:c r="G31" s="32"/>
      <x:c r="H31" s="18"/>
      <x:c r="I31" s="32"/>
      <x:c r="J31" s="32"/>
      <x:c r="K31" s="18"/>
      <x:c r="L31" s="18"/>
      <x:c r="M31" s="32"/>
      <x:c r="N31" s="18"/>
    </x:row>
    <x:row r="32" ht="27" customHeight="1">
      <x:c r="A32" s="18"/>
      <x:c r="B32" s="18"/>
      <x:c r="C32" s="18"/>
      <x:c r="D32" s="32"/>
      <x:c r="E32" s="32"/>
      <x:c r="F32" s="32"/>
      <x:c r="G32" s="32"/>
      <x:c r="H32" s="18"/>
      <x:c r="I32" s="32"/>
      <x:c r="J32" s="32"/>
      <x:c r="K32" s="18"/>
      <x:c r="L32" s="18"/>
      <x:c r="M32" s="32"/>
      <x:c r="N32" s="18"/>
    </x:row>
    <x:row r="33" ht="27" customHeight="1">
      <x:c r="A33" s="18"/>
      <x:c r="B33" s="18"/>
      <x:c r="C33" s="18"/>
      <x:c r="D33" s="32"/>
      <x:c r="E33" s="32"/>
      <x:c r="F33" s="32"/>
      <x:c r="G33" s="32"/>
      <x:c r="H33" s="18"/>
      <x:c r="I33" s="32"/>
      <x:c r="J33" s="32"/>
      <x:c r="K33" s="18"/>
      <x:c r="L33" s="18"/>
      <x:c r="M33" s="32"/>
      <x:c r="N33" s="18"/>
    </x:row>
    <x:row r="34" ht="27" customHeight="1">
      <x:c r="A34" s="18"/>
      <x:c r="B34" s="18"/>
      <x:c r="C34" s="18"/>
      <x:c r="D34" s="32"/>
      <x:c r="E34" s="32"/>
      <x:c r="F34" s="32"/>
      <x:c r="G34" s="32"/>
      <x:c r="H34" s="18"/>
      <x:c r="I34" s="32"/>
      <x:c r="J34" s="32"/>
      <x:c r="K34" s="18"/>
      <x:c r="L34" s="18"/>
      <x:c r="M34" s="32"/>
      <x:c r="N34" s="18"/>
    </x:row>
    <x:row r="35" ht="27" customHeight="1">
      <x:c r="A35" s="18"/>
      <x:c r="B35" s="18"/>
      <x:c r="C35" s="18"/>
      <x:c r="D35" s="32"/>
      <x:c r="E35" s="32"/>
      <x:c r="F35" s="32"/>
      <x:c r="G35" s="32"/>
      <x:c r="H35" s="18"/>
      <x:c r="I35" s="32"/>
      <x:c r="J35" s="32"/>
      <x:c r="K35" s="18"/>
      <x:c r="L35" s="18"/>
      <x:c r="M35" s="32"/>
      <x:c r="N35" s="18"/>
    </x:row>
    <x:row r="36" ht="27" customHeight="1">
      <x:c r="A36" s="18"/>
      <x:c r="B36" s="18"/>
      <x:c r="C36" s="18"/>
      <x:c r="D36" s="32"/>
      <x:c r="E36" s="32"/>
      <x:c r="F36" s="32"/>
      <x:c r="G36" s="32"/>
      <x:c r="H36" s="18"/>
      <x:c r="I36" s="32"/>
      <x:c r="J36" s="32"/>
      <x:c r="K36" s="18"/>
      <x:c r="L36" s="18"/>
      <x:c r="M36" s="32"/>
      <x:c r="N36" s="18"/>
    </x:row>
    <x:row r="37" ht="27" customHeight="1">
      <x:c r="A37" s="18"/>
      <x:c r="B37" s="18"/>
      <x:c r="C37" s="18"/>
      <x:c r="D37" s="32"/>
      <x:c r="E37" s="32"/>
      <x:c r="F37" s="32"/>
      <x:c r="G37" s="32"/>
      <x:c r="H37" s="18"/>
      <x:c r="I37" s="32"/>
      <x:c r="J37" s="32"/>
      <x:c r="K37" s="18"/>
      <x:c r="L37" s="18"/>
      <x:c r="M37" s="32"/>
      <x:c r="N37" s="18"/>
    </x:row>
    <x:row r="38" ht="27" customHeight="1">
      <x:c r="A38" s="18"/>
      <x:c r="B38" s="18"/>
      <x:c r="C38" s="18"/>
      <x:c r="D38" s="32"/>
      <x:c r="E38" s="32"/>
      <x:c r="F38" s="32"/>
      <x:c r="G38" s="32"/>
      <x:c r="H38" s="18"/>
      <x:c r="I38" s="32"/>
      <x:c r="J38" s="32"/>
      <x:c r="K38" s="18"/>
      <x:c r="L38" s="18"/>
      <x:c r="M38" s="32"/>
      <x:c r="N38" s="18"/>
    </x:row>
    <x:row r="39" ht="27" customHeight="1">
      <x:c r="A39" s="18"/>
      <x:c r="B39" s="18"/>
      <x:c r="C39" s="18"/>
      <x:c r="D39" s="32"/>
      <x:c r="E39" s="32"/>
      <x:c r="F39" s="32"/>
      <x:c r="G39" s="32"/>
      <x:c r="H39" s="18"/>
      <x:c r="I39" s="32"/>
      <x:c r="J39" s="32"/>
      <x:c r="K39" s="18"/>
      <x:c r="L39" s="18"/>
      <x:c r="M39" s="32"/>
      <x:c r="N39" s="18"/>
    </x:row>
    <x:row r="40" ht="27" customHeight="1">
      <x:c r="A40" s="18"/>
      <x:c r="B40" s="18"/>
      <x:c r="C40" s="18"/>
      <x:c r="D40" s="32"/>
      <x:c r="E40" s="32"/>
      <x:c r="F40" s="32"/>
      <x:c r="G40" s="32"/>
      <x:c r="H40" s="18"/>
      <x:c r="I40" s="32"/>
      <x:c r="J40" s="32"/>
      <x:c r="K40" s="18"/>
      <x:c r="L40" s="18"/>
      <x:c r="M40" s="32"/>
      <x:c r="N40" s="18"/>
    </x:row>
    <x:row r="41" ht="27" customHeight="1">
      <x:c r="A41" s="18"/>
      <x:c r="B41" s="18"/>
      <x:c r="C41" s="18"/>
      <x:c r="D41" s="32"/>
      <x:c r="E41" s="32"/>
      <x:c r="F41" s="32"/>
      <x:c r="G41" s="32"/>
      <x:c r="H41" s="18"/>
      <x:c r="I41" s="32"/>
      <x:c r="J41" s="32"/>
      <x:c r="K41" s="18"/>
      <x:c r="L41" s="18"/>
      <x:c r="M41" s="32"/>
      <x:c r="N41" s="18"/>
    </x:row>
    <x:row r="42" ht="27" customHeight="1">
      <x:c r="A42" s="18"/>
      <x:c r="B42" s="18"/>
      <x:c r="C42" s="18"/>
      <x:c r="D42" s="32"/>
      <x:c r="E42" s="32"/>
      <x:c r="F42" s="32"/>
      <x:c r="G42" s="32"/>
      <x:c r="H42" s="18"/>
      <x:c r="I42" s="32"/>
      <x:c r="J42" s="32"/>
      <x:c r="K42" s="18"/>
      <x:c r="L42" s="18"/>
      <x:c r="M42" s="32"/>
      <x:c r="N42" s="18"/>
    </x:row>
    <x:row r="43" ht="27" customHeight="1">
      <x:c r="A43" s="18"/>
      <x:c r="B43" s="18"/>
      <x:c r="C43" s="18"/>
      <x:c r="D43" s="32"/>
      <x:c r="E43" s="32"/>
      <x:c r="F43" s="32"/>
      <x:c r="G43" s="32"/>
      <x:c r="H43" s="18"/>
      <x:c r="I43" s="32"/>
      <x:c r="J43" s="32"/>
      <x:c r="K43" s="18"/>
      <x:c r="L43" s="18"/>
      <x:c r="M43" s="32"/>
      <x:c r="N43" s="18"/>
    </x:row>
    <x:row r="44" ht="27" customHeight="1">
      <x:c r="A44" s="18"/>
      <x:c r="B44" s="18"/>
      <x:c r="C44" s="18"/>
      <x:c r="D44" s="32"/>
      <x:c r="E44" s="32"/>
      <x:c r="F44" s="32"/>
      <x:c r="G44" s="32"/>
      <x:c r="H44" s="18"/>
      <x:c r="I44" s="32"/>
      <x:c r="J44" s="32"/>
      <x:c r="K44" s="18"/>
      <x:c r="L44" s="18"/>
      <x:c r="M44" s="32"/>
      <x:c r="N44" s="18"/>
    </x:row>
    <x:row r="45" ht="27" customHeight="1">
      <x:c r="A45" s="18"/>
      <x:c r="B45" s="18"/>
      <x:c r="C45" s="18"/>
      <x:c r="D45" s="32"/>
      <x:c r="E45" s="32"/>
      <x:c r="F45" s="32"/>
      <x:c r="G45" s="32"/>
      <x:c r="H45" s="18"/>
      <x:c r="I45" s="32"/>
      <x:c r="J45" s="32"/>
      <x:c r="K45" s="18"/>
      <x:c r="L45" s="18"/>
      <x:c r="M45" s="32"/>
      <x:c r="N45" s="18"/>
    </x:row>
    <x:row r="46" ht="27" customHeight="1">
      <x:c r="A46" s="18"/>
      <x:c r="B46" s="18"/>
      <x:c r="C46" s="18"/>
      <x:c r="D46" s="32"/>
      <x:c r="E46" s="32"/>
      <x:c r="F46" s="32"/>
      <x:c r="G46" s="32"/>
      <x:c r="H46" s="18"/>
      <x:c r="I46" s="32"/>
      <x:c r="J46" s="32"/>
      <x:c r="K46" s="18"/>
      <x:c r="L46" s="18"/>
      <x:c r="M46" s="32"/>
      <x:c r="N46" s="18"/>
    </x:row>
    <x:row r="47" ht="27" customHeight="1">
      <x:c r="A47" s="18"/>
      <x:c r="B47" s="18"/>
      <x:c r="C47" s="18"/>
      <x:c r="D47" s="32"/>
      <x:c r="E47" s="32"/>
      <x:c r="F47" s="32"/>
      <x:c r="G47" s="32"/>
      <x:c r="H47" s="18"/>
      <x:c r="I47" s="32"/>
      <x:c r="J47" s="32"/>
      <x:c r="K47" s="18"/>
      <x:c r="L47" s="18"/>
      <x:c r="M47" s="32"/>
      <x:c r="N47" s="18"/>
    </x:row>
    <x:row r="48" ht="27" customHeight="1">
      <x:c r="A48" s="18"/>
      <x:c r="B48" s="18"/>
      <x:c r="C48" s="18"/>
      <x:c r="D48" s="32"/>
      <x:c r="E48" s="32"/>
      <x:c r="F48" s="32"/>
      <x:c r="G48" s="32"/>
      <x:c r="H48" s="18"/>
      <x:c r="I48" s="32"/>
      <x:c r="J48" s="32"/>
      <x:c r="K48" s="18"/>
      <x:c r="L48" s="18"/>
      <x:c r="M48" s="32"/>
      <x:c r="N48" s="18"/>
    </x:row>
    <x:row r="49" ht="27" customHeight="1">
      <x:c r="A49" s="18"/>
      <x:c r="B49" s="18"/>
      <x:c r="C49" s="18"/>
      <x:c r="D49" s="32"/>
      <x:c r="E49" s="32"/>
      <x:c r="F49" s="32"/>
      <x:c r="G49" s="32"/>
      <x:c r="H49" s="18"/>
      <x:c r="I49" s="32"/>
      <x:c r="J49" s="32"/>
      <x:c r="K49" s="18"/>
      <x:c r="L49" s="18"/>
      <x:c r="M49" s="32"/>
      <x:c r="N49" s="18"/>
    </x:row>
    <x:row r="50" ht="27" customHeight="1">
      <x:c r="A50" s="18"/>
      <x:c r="B50" s="18"/>
      <x:c r="C50" s="18"/>
      <x:c r="D50" s="32"/>
      <x:c r="E50" s="32"/>
      <x:c r="F50" s="32"/>
      <x:c r="G50" s="32"/>
      <x:c r="H50" s="18"/>
      <x:c r="I50" s="32"/>
      <x:c r="J50" s="32"/>
      <x:c r="K50" s="18"/>
      <x:c r="L50" s="18"/>
      <x:c r="M50" s="32"/>
      <x:c r="N50" s="18"/>
    </x:row>
    <x:row r="51" ht="27" customHeight="1">
      <x:c r="A51" s="18"/>
      <x:c r="B51" s="18"/>
      <x:c r="C51" s="18"/>
      <x:c r="D51" s="32"/>
      <x:c r="E51" s="32"/>
      <x:c r="F51" s="32"/>
      <x:c r="G51" s="32"/>
      <x:c r="H51" s="18"/>
      <x:c r="I51" s="32"/>
      <x:c r="J51" s="32"/>
      <x:c r="K51" s="18"/>
      <x:c r="L51" s="18"/>
      <x:c r="M51" s="32"/>
      <x:c r="N51" s="18"/>
    </x:row>
    <x:row r="52" ht="27" customHeight="1">
      <x:c r="A52" s="18"/>
      <x:c r="B52" s="18"/>
      <x:c r="C52" s="18"/>
      <x:c r="D52" s="32"/>
      <x:c r="E52" s="32"/>
      <x:c r="F52" s="32"/>
      <x:c r="G52" s="32"/>
      <x:c r="H52" s="18"/>
      <x:c r="I52" s="32"/>
      <x:c r="J52" s="32"/>
      <x:c r="K52" s="18"/>
      <x:c r="L52" s="18"/>
      <x:c r="M52" s="32"/>
      <x:c r="N52" s="18"/>
    </x:row>
    <x:row r="53" ht="27" customHeight="1">
      <x:c r="A53" s="18"/>
      <x:c r="B53" s="18"/>
      <x:c r="C53" s="18"/>
      <x:c r="D53" s="32"/>
      <x:c r="E53" s="32"/>
      <x:c r="F53" s="32"/>
      <x:c r="G53" s="32"/>
      <x:c r="H53" s="18"/>
      <x:c r="I53" s="32"/>
      <x:c r="J53" s="32"/>
      <x:c r="K53" s="18"/>
      <x:c r="L53" s="18"/>
      <x:c r="M53" s="32"/>
      <x:c r="N53" s="18"/>
    </x:row>
  </x:sheetData>
  <x:mergeCells>
    <x:mergeCell ref="A1:N2"/>
    <x:mergeCell ref="A3:N3"/>
    <x:mergeCell ref="A4:N4"/>
  </x:mergeCells>
  <x:conditionalFormatting sqref="F6:F53">
    <x:cfRule type="expression" dxfId="0" priority="1">
      <x:formula>AND(ISNUMBER($E6),ISNUMBER($F6),$F6&gt;$E6)</x:formula>
    </x:cfRule>
  </x:conditionalFormatting>
  <x:conditionalFormatting sqref="G6:G53">
    <x:cfRule type="expression" dxfId="1" priority="2">
      <x:formula>AND(ISNUMBER($E6),ISNUMBER($F6),ISNUMBER($G6),$F6+$G6&gt;$E6)</x:formula>
    </x:cfRule>
  </x:conditionalFormatting>
  <x:dataValidations count="5">
    <x:dataValidation type="whole" sqref="D6:D53">
      <x:formula1>0</x:formula1>
    </x:dataValidation>
    <x:dataValidation type="whole" sqref="E6:E53">
      <x:formula1>0</x:formula1>
    </x:dataValidation>
    <x:dataValidation type="whole" sqref="F6:F53">
      <x:formula1>0</x:formula1>
    </x:dataValidation>
    <x:dataValidation type="whole" sqref="G6:G53">
      <x:formula1>0</x:formula1>
    </x:dataValidation>
    <x:dataValidation type="list" sqref="L6:L53">
      <x:formula1>"Pendiente,Diseñado,Aprobado,Ejecutado con evidencia"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0bbeadcbd042a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19" hidden="0" customWidth="1"/>
    <x:col min="4" max="4" width="19" hidden="0" customWidth="1"/>
    <x:col min="5" max="5" width="19" hidden="0" customWidth="1"/>
    <x:col min="6" max="6" width="21" hidden="0" customWidth="1"/>
    <x:col min="7" max="7" width="21" hidden="0" customWidth="1"/>
    <x:col min="8" max="8" width="21" hidden="0" customWidth="1"/>
    <x:col min="9" max="9" width="31" hidden="0" customWidth="1"/>
    <x:col min="10" max="10" width="21" hidden="0" customWidth="1"/>
    <x:col min="11" max="11" width="21" hidden="0" customWidth="1"/>
    <x:col min="12" max="12" width="21" hidden="0" customWidth="1"/>
    <x:col min="13" max="13" width="23" hidden="0" customWidth="1"/>
    <x:col min="14" max="14" width="40" hidden="0" customWidth="1"/>
  </x:cols>
  <x:sheetData>
    <x:row r="1" ht="24" customHeight="1">
      <x:c r="A1" s="21" t="str">
        <x:v>MONITORIZACIÓN DE DISPONIBILIDAD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 ht="21" customHeight="1">
      <x:c r="A4" s="26" t="str">
        <x:v>To y Tp en minutos: calcular únicamente después de registrar períodos y tiempos medidos.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 ht="32" customHeight="1">
      <x:c r="A5" s="29" t="str">
        <x:v>ID</x:v>
      </x:c>
      <x:c r="B5" s="29" t="str">
        <x:v>Servicio monitorizado</x:v>
      </x:c>
      <x:c r="C5" s="29" t="str">
        <x:v>Periodo</x:v>
      </x:c>
      <x:c r="D5" s="29" t="str">
        <x:v>Fecha inicial</x:v>
      </x:c>
      <x:c r="E5" s="29" t="str">
        <x:v>Fecha final</x:v>
      </x:c>
      <x:c r="F5" s="29" t="str">
        <x:v>Duración programada (min)</x:v>
      </x:c>
      <x:c r="G5" s="29" t="str">
        <x:v>Duración operativa (min)</x:v>
      </x:c>
      <x:c r="H5" s="29" t="str">
        <x:v>Duración no operativa (min)</x:v>
      </x:c>
      <x:c r="I5" s="29" t="str">
        <x:v>Resolución del monitoreo</x:v>
      </x:c>
      <x:c r="J5" s="29" t="str">
        <x:v>Número de comprobaciones (con registro)</x:v>
      </x:c>
      <x:c r="K5" s="29" t="str">
        <x:v>Disponibilidad (%)</x:v>
      </x:c>
      <x:c r="L5" s="29" t="str">
        <x:v>Umbral (%)</x:v>
      </x:c>
      <x:c r="M5" s="29" t="str">
        <x:v>Cumplimiento</x:v>
      </x:c>
      <x:c r="N5" s="29" t="str">
        <x:v>Bitácora de evidencias de TODA la ventana</x:v>
      </x:c>
    </x:row>
    <x:row r="6" ht="27" customHeight="1">
      <x:c r="A6" s="18" t="str">
        <x:v>DIS-01</x:v>
      </x:c>
      <x:c r="B6" s="18" t="str">
        <x:v>API /health (salud backend; indicador parcial)</x:v>
      </x:c>
      <x:c r="C6" s="18" t="str">
        <x:v>Semanal</x:v>
      </x:c>
      <x:c r="D6" s="44"/>
      <x:c r="E6" s="44"/>
      <x:c r="F6" s="32"/>
      <x:c r="G6" s="32"/>
      <x:c r="H6" s="18" t="str">
        <x:f>IF(OR(NOT(ISNUMBER(F6)),NOT(ISNUMBER(G6)),F6&lt;=0,G6&lt;0,G6&gt;F6),"",F6-G6)</x:f>
      </x:c>
      <x:c r="I6" s="32"/>
      <x:c r="J6" s="32"/>
      <x:c r="K6" s="42" t="str">
        <x:f>IF(OR(NOT(ISNUMBER(F6)),NOT(ISNUMBER(G6)),F6&lt;=0,G6&lt;0,G6&gt;F6),"",G6/F6*100)</x:f>
      </x:c>
      <x:c r="L6" s="42" t="n">
        <x:v>99</x:v>
      </x:c>
      <x:c r="M6" s="18" t="str">
        <x:f>IF(OR(K6="",NOT(ISNUMBER(L6)),L6&lt;=0,N6="",D6="",E6="",I6="",J6=""),"",IF(K6&gt;=L6,"Cumple","No cumple"))</x:f>
      </x:c>
      <x:c r="N6" s="32"/>
    </x:row>
    <x:row r="7" ht="27" customHeight="1">
      <x:c r="A7" s="18" t="str">
        <x:v>DIS-02</x:v>
      </x:c>
      <x:c r="B7" s="18" t="str">
        <x:v>API /health (salud backend; indicador parcial)</x:v>
      </x:c>
      <x:c r="C7" s="18" t="str">
        <x:v>Mensual</x:v>
      </x:c>
      <x:c r="D7" s="44"/>
      <x:c r="E7" s="44"/>
      <x:c r="F7" s="32"/>
      <x:c r="G7" s="32"/>
      <x:c r="H7" s="18" t="str">
        <x:f>IF(OR(NOT(ISNUMBER(F7)),NOT(ISNUMBER(G7)),F7&lt;=0,G7&lt;0,G7&gt;F7),"",F7-G7)</x:f>
      </x:c>
      <x:c r="I7" s="32"/>
      <x:c r="J7" s="32"/>
      <x:c r="K7" s="42" t="str">
        <x:f>IF(OR(NOT(ISNUMBER(F7)),NOT(ISNUMBER(G7)),F7&lt;=0,G7&lt;0,G7&gt;F7),"",G7/F7*100)</x:f>
      </x:c>
      <x:c r="L7" s="42"/>
      <x:c r="M7" s="18" t="str">
        <x:f>IF(OR(K7="",NOT(ISNUMBER(L7)),L7&lt;=0,N7="",D7="",E7="",I7="",J7=""),"",IF(K7&gt;=L7,"Cumple","No cumple"))</x:f>
      </x:c>
      <x:c r="N7" s="32"/>
    </x:row>
    <x:row r="8" ht="27" customHeight="1">
      <x:c r="A8" s="18"/>
      <x:c r="B8" s="18"/>
      <x:c r="C8" s="18"/>
      <x:c r="D8" s="44"/>
      <x:c r="E8" s="44"/>
      <x:c r="F8" s="32"/>
      <x:c r="G8" s="32"/>
      <x:c r="H8" s="18" t="str">
        <x:f>IF(OR(NOT(ISNUMBER(F8)),NOT(ISNUMBER(G8)),F8&lt;=0,G8&lt;0,G8&gt;F8),"",F8-G8)</x:f>
      </x:c>
      <x:c r="I8" s="32"/>
      <x:c r="J8" s="32"/>
      <x:c r="K8" s="42" t="str">
        <x:f>IF(OR(NOT(ISNUMBER(F8)),NOT(ISNUMBER(G8)),F8&lt;=0,G8&lt;0,G8&gt;F8),"",G8/F8*100)</x:f>
      </x:c>
      <x:c r="L8" s="42"/>
      <x:c r="M8" s="18" t="str">
        <x:f>IF(OR(K8="",NOT(ISNUMBER(L8)),L8&lt;=0,N8="",D8="",E8="",I8="",J8=""),"",IF(K8&gt;=L8,"Cumple","No cumple"))</x:f>
      </x:c>
      <x:c r="N8" s="32"/>
    </x:row>
    <x:row r="9" ht="27" customHeight="1">
      <x:c r="A9" s="18"/>
      <x:c r="B9" s="18"/>
      <x:c r="C9" s="18"/>
      <x:c r="D9" s="44"/>
      <x:c r="E9" s="44"/>
      <x:c r="F9" s="32"/>
      <x:c r="G9" s="32"/>
      <x:c r="H9" s="18" t="str">
        <x:f>IF(OR(NOT(ISNUMBER(F9)),NOT(ISNUMBER(G9)),F9&lt;=0,G9&lt;0,G9&gt;F9),"",F9-G9)</x:f>
      </x:c>
      <x:c r="I9" s="32"/>
      <x:c r="J9" s="32"/>
      <x:c r="K9" s="42" t="str">
        <x:f>IF(OR(NOT(ISNUMBER(F9)),NOT(ISNUMBER(G9)),F9&lt;=0,G9&lt;0,G9&gt;F9),"",G9/F9*100)</x:f>
      </x:c>
      <x:c r="L9" s="42"/>
      <x:c r="M9" s="18" t="str">
        <x:f>IF(OR(K9="",NOT(ISNUMBER(L9)),L9&lt;=0,N9="",D9="",E9="",I9="",J9=""),"",IF(K9&gt;=L9,"Cumple","No cumple"))</x:f>
      </x:c>
      <x:c r="N9" s="32"/>
    </x:row>
    <x:row r="10" ht="27" customHeight="1">
      <x:c r="A10" s="18"/>
      <x:c r="B10" s="18"/>
      <x:c r="C10" s="18"/>
      <x:c r="D10" s="44"/>
      <x:c r="E10" s="44"/>
      <x:c r="F10" s="32"/>
      <x:c r="G10" s="32"/>
      <x:c r="H10" s="18" t="str">
        <x:f>IF(OR(NOT(ISNUMBER(F10)),NOT(ISNUMBER(G10)),F10&lt;=0,G10&lt;0,G10&gt;F10),"",F10-G10)</x:f>
      </x:c>
      <x:c r="I10" s="32"/>
      <x:c r="J10" s="32"/>
      <x:c r="K10" s="42" t="str">
        <x:f>IF(OR(NOT(ISNUMBER(F10)),NOT(ISNUMBER(G10)),F10&lt;=0,G10&lt;0,G10&gt;F10),"",G10/F10*100)</x:f>
      </x:c>
      <x:c r="L10" s="42"/>
      <x:c r="M10" s="18" t="str">
        <x:f>IF(OR(K10="",NOT(ISNUMBER(L10)),L10&lt;=0,N10="",D10="",E10="",I10="",J10=""),"",IF(K10&gt;=L10,"Cumple","No cumple"))</x:f>
      </x:c>
      <x:c r="N10" s="32"/>
    </x:row>
    <x:row r="11" ht="27" customHeight="1">
      <x:c r="A11" s="18"/>
      <x:c r="B11" s="18"/>
      <x:c r="C11" s="18"/>
      <x:c r="D11" s="44"/>
      <x:c r="E11" s="44"/>
      <x:c r="F11" s="32"/>
      <x:c r="G11" s="32"/>
      <x:c r="H11" s="18" t="str">
        <x:f>IF(OR(NOT(ISNUMBER(F11)),NOT(ISNUMBER(G11)),F11&lt;=0,G11&lt;0,G11&gt;F11),"",F11-G11)</x:f>
      </x:c>
      <x:c r="I11" s="32"/>
      <x:c r="J11" s="32"/>
      <x:c r="K11" s="42" t="str">
        <x:f>IF(OR(NOT(ISNUMBER(F11)),NOT(ISNUMBER(G11)),F11&lt;=0,G11&lt;0,G11&gt;F11),"",G11/F11*100)</x:f>
      </x:c>
      <x:c r="L11" s="42"/>
      <x:c r="M11" s="18" t="str">
        <x:f>IF(OR(K11="",NOT(ISNUMBER(L11)),L11&lt;=0,N11="",D11="",E11="",I11="",J11=""),"",IF(K11&gt;=L11,"Cumple","No cumple"))</x:f>
      </x:c>
      <x:c r="N11" s="32"/>
    </x:row>
    <x:row r="12" ht="27" customHeight="1">
      <x:c r="A12" s="18"/>
      <x:c r="B12" s="18"/>
      <x:c r="C12" s="18"/>
      <x:c r="D12" s="44"/>
      <x:c r="E12" s="44"/>
      <x:c r="F12" s="32"/>
      <x:c r="G12" s="32"/>
      <x:c r="H12" s="18" t="str">
        <x:f>IF(OR(NOT(ISNUMBER(F12)),NOT(ISNUMBER(G12)),F12&lt;=0,G12&lt;0,G12&gt;F12),"",F12-G12)</x:f>
      </x:c>
      <x:c r="I12" s="32"/>
      <x:c r="J12" s="32"/>
      <x:c r="K12" s="42" t="str">
        <x:f>IF(OR(NOT(ISNUMBER(F12)),NOT(ISNUMBER(G12)),F12&lt;=0,G12&lt;0,G12&gt;F12),"",G12/F12*100)</x:f>
      </x:c>
      <x:c r="L12" s="42"/>
      <x:c r="M12" s="18" t="str">
        <x:f>IF(OR(K12="",NOT(ISNUMBER(L12)),L12&lt;=0,N12="",D12="",E12="",I12="",J12=""),"",IF(K12&gt;=L12,"Cumple","No cumple"))</x:f>
      </x:c>
      <x:c r="N12" s="32"/>
    </x:row>
    <x:row r="13" ht="27" customHeight="1">
      <x:c r="A13" s="18"/>
      <x:c r="B13" s="18"/>
      <x:c r="C13" s="18"/>
      <x:c r="D13" s="44"/>
      <x:c r="E13" s="44"/>
      <x:c r="F13" s="32"/>
      <x:c r="G13" s="32"/>
      <x:c r="H13" s="18" t="str">
        <x:f>IF(OR(NOT(ISNUMBER(F13)),NOT(ISNUMBER(G13)),F13&lt;=0,G13&lt;0,G13&gt;F13),"",F13-G13)</x:f>
      </x:c>
      <x:c r="I13" s="32"/>
      <x:c r="J13" s="32"/>
      <x:c r="K13" s="42" t="str">
        <x:f>IF(OR(NOT(ISNUMBER(F13)),NOT(ISNUMBER(G13)),F13&lt;=0,G13&lt;0,G13&gt;F13),"",G13/F13*100)</x:f>
      </x:c>
      <x:c r="L13" s="42"/>
      <x:c r="M13" s="18" t="str">
        <x:f>IF(OR(K13="",NOT(ISNUMBER(L13)),L13&lt;=0,N13="",D13="",E13="",I13="",J13=""),"",IF(K13&gt;=L13,"Cumple","No cumple"))</x:f>
      </x:c>
      <x:c r="N13" s="32"/>
    </x:row>
    <x:row r="14" ht="27" customHeight="1">
      <x:c r="A14" s="18"/>
      <x:c r="B14" s="18"/>
      <x:c r="C14" s="18"/>
      <x:c r="D14" s="44"/>
      <x:c r="E14" s="44"/>
      <x:c r="F14" s="32"/>
      <x:c r="G14" s="32"/>
      <x:c r="H14" s="18" t="str">
        <x:f>IF(OR(NOT(ISNUMBER(F14)),NOT(ISNUMBER(G14)),F14&lt;=0,G14&lt;0,G14&gt;F14),"",F14-G14)</x:f>
      </x:c>
      <x:c r="I14" s="32"/>
      <x:c r="J14" s="32"/>
      <x:c r="K14" s="42" t="str">
        <x:f>IF(OR(NOT(ISNUMBER(F14)),NOT(ISNUMBER(G14)),F14&lt;=0,G14&lt;0,G14&gt;F14),"",G14/F14*100)</x:f>
      </x:c>
      <x:c r="L14" s="42"/>
      <x:c r="M14" s="18" t="str">
        <x:f>IF(OR(K14="",NOT(ISNUMBER(L14)),L14&lt;=0,N14="",D14="",E14="",I14="",J14=""),"",IF(K14&gt;=L14,"Cumple","No cumple"))</x:f>
      </x:c>
      <x:c r="N14" s="32"/>
    </x:row>
    <x:row r="15" ht="27" customHeight="1">
      <x:c r="A15" s="18"/>
      <x:c r="B15" s="18"/>
      <x:c r="C15" s="18"/>
      <x:c r="D15" s="44"/>
      <x:c r="E15" s="44"/>
      <x:c r="F15" s="32"/>
      <x:c r="G15" s="32"/>
      <x:c r="H15" s="18" t="str">
        <x:f>IF(OR(NOT(ISNUMBER(F15)),NOT(ISNUMBER(G15)),F15&lt;=0,G15&lt;0,G15&gt;F15),"",F15-G15)</x:f>
      </x:c>
      <x:c r="I15" s="32"/>
      <x:c r="J15" s="32"/>
      <x:c r="K15" s="42" t="str">
        <x:f>IF(OR(NOT(ISNUMBER(F15)),NOT(ISNUMBER(G15)),F15&lt;=0,G15&lt;0,G15&gt;F15),"",G15/F15*100)</x:f>
      </x:c>
      <x:c r="L15" s="42"/>
      <x:c r="M15" s="18" t="str">
        <x:f>IF(OR(K15="",NOT(ISNUMBER(L15)),L15&lt;=0,N15="",D15="",E15="",I15="",J15=""),"",IF(K15&gt;=L15,"Cumple","No cumple"))</x:f>
      </x:c>
      <x:c r="N15" s="32"/>
    </x:row>
    <x:row r="16" ht="27" customHeight="1">
      <x:c r="A16" s="18"/>
      <x:c r="B16" s="18"/>
      <x:c r="C16" s="18"/>
      <x:c r="D16" s="44"/>
      <x:c r="E16" s="44"/>
      <x:c r="F16" s="32"/>
      <x:c r="G16" s="32"/>
      <x:c r="H16" s="18" t="str">
        <x:f>IF(OR(NOT(ISNUMBER(F16)),NOT(ISNUMBER(G16)),F16&lt;=0,G16&lt;0,G16&gt;F16),"",F16-G16)</x:f>
      </x:c>
      <x:c r="I16" s="32"/>
      <x:c r="J16" s="32"/>
      <x:c r="K16" s="42" t="str">
        <x:f>IF(OR(NOT(ISNUMBER(F16)),NOT(ISNUMBER(G16)),F16&lt;=0,G16&lt;0,G16&gt;F16),"",G16/F16*100)</x:f>
      </x:c>
      <x:c r="L16" s="42"/>
      <x:c r="M16" s="18" t="str">
        <x:f>IF(OR(K16="",NOT(ISNUMBER(L16)),L16&lt;=0,N16="",D16="",E16="",I16="",J16=""),"",IF(K16&gt;=L16,"Cumple","No cumple"))</x:f>
      </x:c>
      <x:c r="N16" s="32"/>
    </x:row>
    <x:row r="17" ht="27" customHeight="1">
      <x:c r="A17" s="18"/>
      <x:c r="B17" s="18"/>
      <x:c r="C17" s="18"/>
      <x:c r="D17" s="44"/>
      <x:c r="E17" s="44"/>
      <x:c r="F17" s="32"/>
      <x:c r="G17" s="32"/>
      <x:c r="H17" s="18" t="str">
        <x:f>IF(OR(NOT(ISNUMBER(F17)),NOT(ISNUMBER(G17)),F17&lt;=0,G17&lt;0,G17&gt;F17),"",F17-G17)</x:f>
      </x:c>
      <x:c r="I17" s="32"/>
      <x:c r="J17" s="32"/>
      <x:c r="K17" s="42" t="str">
        <x:f>IF(OR(NOT(ISNUMBER(F17)),NOT(ISNUMBER(G17)),F17&lt;=0,G17&lt;0,G17&gt;F17),"",G17/F17*100)</x:f>
      </x:c>
      <x:c r="L17" s="42"/>
      <x:c r="M17" s="18" t="str">
        <x:f>IF(OR(K17="",NOT(ISNUMBER(L17)),L17&lt;=0,N17="",D17="",E17="",I17="",J17=""),"",IF(K17&gt;=L17,"Cumple","No cumple"))</x:f>
      </x:c>
      <x:c r="N17" s="32"/>
    </x:row>
    <x:row r="18" ht="27" customHeight="1">
      <x:c r="A18" s="18"/>
      <x:c r="B18" s="18"/>
      <x:c r="C18" s="18"/>
      <x:c r="D18" s="44"/>
      <x:c r="E18" s="44"/>
      <x:c r="F18" s="32"/>
      <x:c r="G18" s="32"/>
      <x:c r="H18" s="18" t="str">
        <x:f>IF(OR(NOT(ISNUMBER(F18)),NOT(ISNUMBER(G18)),F18&lt;=0,G18&lt;0,G18&gt;F18),"",F18-G18)</x:f>
      </x:c>
      <x:c r="I18" s="32"/>
      <x:c r="J18" s="32"/>
      <x:c r="K18" s="42" t="str">
        <x:f>IF(OR(NOT(ISNUMBER(F18)),NOT(ISNUMBER(G18)),F18&lt;=0,G18&lt;0,G18&gt;F18),"",G18/F18*100)</x:f>
      </x:c>
      <x:c r="L18" s="42"/>
      <x:c r="M18" s="18" t="str">
        <x:f>IF(OR(K18="",NOT(ISNUMBER(L18)),L18&lt;=0,N18="",D18="",E18="",I18="",J18=""),"",IF(K18&gt;=L18,"Cumple","No cumple"))</x:f>
      </x:c>
      <x:c r="N18" s="32"/>
    </x:row>
    <x:row r="19" ht="27" customHeight="1">
      <x:c r="A19" s="18"/>
      <x:c r="B19" s="18"/>
      <x:c r="C19" s="18"/>
      <x:c r="D19" s="44"/>
      <x:c r="E19" s="44"/>
      <x:c r="F19" s="32"/>
      <x:c r="G19" s="32"/>
      <x:c r="H19" s="18" t="str">
        <x:f>IF(OR(NOT(ISNUMBER(F19)),NOT(ISNUMBER(G19)),F19&lt;=0,G19&lt;0,G19&gt;F19),"",F19-G19)</x:f>
      </x:c>
      <x:c r="I19" s="32"/>
      <x:c r="J19" s="32"/>
      <x:c r="K19" s="42" t="str">
        <x:f>IF(OR(NOT(ISNUMBER(F19)),NOT(ISNUMBER(G19)),F19&lt;=0,G19&lt;0,G19&gt;F19),"",G19/F19*100)</x:f>
      </x:c>
      <x:c r="L19" s="42"/>
      <x:c r="M19" s="18" t="str">
        <x:f>IF(OR(K19="",NOT(ISNUMBER(L19)),L19&lt;=0,N19="",D19="",E19="",I19="",J19=""),"",IF(K19&gt;=L19,"Cumple","No cumple"))</x:f>
      </x:c>
      <x:c r="N19" s="32"/>
    </x:row>
    <x:row r="20" ht="27" customHeight="1">
      <x:c r="A20" s="18"/>
      <x:c r="B20" s="18"/>
      <x:c r="C20" s="18"/>
      <x:c r="D20" s="44"/>
      <x:c r="E20" s="44"/>
      <x:c r="F20" s="32"/>
      <x:c r="G20" s="32"/>
      <x:c r="H20" s="18" t="str">
        <x:f>IF(OR(NOT(ISNUMBER(F20)),NOT(ISNUMBER(G20)),F20&lt;=0,G20&lt;0,G20&gt;F20),"",F20-G20)</x:f>
      </x:c>
      <x:c r="I20" s="32"/>
      <x:c r="J20" s="32"/>
      <x:c r="K20" s="42" t="str">
        <x:f>IF(OR(NOT(ISNUMBER(F20)),NOT(ISNUMBER(G20)),F20&lt;=0,G20&lt;0,G20&gt;F20),"",G20/F20*100)</x:f>
      </x:c>
      <x:c r="L20" s="42"/>
      <x:c r="M20" s="18" t="str">
        <x:f>IF(OR(K20="",NOT(ISNUMBER(L20)),L20&lt;=0,N20="",D20="",E20="",I20="",J20=""),"",IF(K20&gt;=L20,"Cumple","No cumple"))</x:f>
      </x:c>
      <x:c r="N20" s="32"/>
    </x:row>
    <x:row r="21" ht="27" customHeight="1">
      <x:c r="A21" s="18"/>
      <x:c r="B21" s="18"/>
      <x:c r="C21" s="18"/>
      <x:c r="D21" s="44"/>
      <x:c r="E21" s="44"/>
      <x:c r="F21" s="32"/>
      <x:c r="G21" s="32"/>
      <x:c r="H21" s="18" t="str">
        <x:f>IF(OR(NOT(ISNUMBER(F21)),NOT(ISNUMBER(G21)),F21&lt;=0,G21&lt;0,G21&gt;F21),"",F21-G21)</x:f>
      </x:c>
      <x:c r="I21" s="32"/>
      <x:c r="J21" s="32"/>
      <x:c r="K21" s="42" t="str">
        <x:f>IF(OR(NOT(ISNUMBER(F21)),NOT(ISNUMBER(G21)),F21&lt;=0,G21&lt;0,G21&gt;F21),"",G21/F21*100)</x:f>
      </x:c>
      <x:c r="L21" s="42"/>
      <x:c r="M21" s="18" t="str">
        <x:f>IF(OR(K21="",NOT(ISNUMBER(L21)),L21&lt;=0,N21="",D21="",E21="",I21="",J21=""),"",IF(K21&gt;=L21,"Cumple","No cumple"))</x:f>
      </x:c>
      <x:c r="N21" s="32"/>
    </x:row>
    <x:row r="22" ht="27" customHeight="1">
      <x:c r="A22" s="18"/>
      <x:c r="B22" s="18"/>
      <x:c r="C22" s="18"/>
      <x:c r="D22" s="44"/>
      <x:c r="E22" s="44"/>
      <x:c r="F22" s="32"/>
      <x:c r="G22" s="32"/>
      <x:c r="H22" s="18" t="str">
        <x:f>IF(OR(NOT(ISNUMBER(F22)),NOT(ISNUMBER(G22)),F22&lt;=0,G22&lt;0,G22&gt;F22),"",F22-G22)</x:f>
      </x:c>
      <x:c r="I22" s="32"/>
      <x:c r="J22" s="32"/>
      <x:c r="K22" s="42" t="str">
        <x:f>IF(OR(NOT(ISNUMBER(F22)),NOT(ISNUMBER(G22)),F22&lt;=0,G22&lt;0,G22&gt;F22),"",G22/F22*100)</x:f>
      </x:c>
      <x:c r="L22" s="42"/>
      <x:c r="M22" s="18" t="str">
        <x:f>IF(OR(K22="",NOT(ISNUMBER(L22)),L22&lt;=0,N22="",D22="",E22="",I22="",J22=""),"",IF(K22&gt;=L22,"Cumple","No cumple"))</x:f>
      </x:c>
      <x:c r="N22" s="32"/>
    </x:row>
    <x:row r="23" ht="27" customHeight="1">
      <x:c r="A23" s="18"/>
      <x:c r="B23" s="18"/>
      <x:c r="C23" s="18"/>
      <x:c r="D23" s="44"/>
      <x:c r="E23" s="44"/>
      <x:c r="F23" s="32"/>
      <x:c r="G23" s="32"/>
      <x:c r="H23" s="18" t="str">
        <x:f>IF(OR(NOT(ISNUMBER(F23)),NOT(ISNUMBER(G23)),F23&lt;=0,G23&lt;0,G23&gt;F23),"",F23-G23)</x:f>
      </x:c>
      <x:c r="I23" s="32"/>
      <x:c r="J23" s="32"/>
      <x:c r="K23" s="42" t="str">
        <x:f>IF(OR(NOT(ISNUMBER(F23)),NOT(ISNUMBER(G23)),F23&lt;=0,G23&lt;0,G23&gt;F23),"",G23/F23*100)</x:f>
      </x:c>
      <x:c r="L23" s="42"/>
      <x:c r="M23" s="18" t="str">
        <x:f>IF(OR(K23="",NOT(ISNUMBER(L23)),L23&lt;=0,N23="",D23="",E23="",I23="",J23=""),"",IF(K23&gt;=L23,"Cumple","No cumple"))</x:f>
      </x:c>
      <x:c r="N23" s="32"/>
    </x:row>
    <x:row r="24" ht="27" customHeight="1">
      <x:c r="A24" s="18"/>
      <x:c r="B24" s="18"/>
      <x:c r="C24" s="18"/>
      <x:c r="D24" s="44"/>
      <x:c r="E24" s="44"/>
      <x:c r="F24" s="32"/>
      <x:c r="G24" s="32"/>
      <x:c r="H24" s="18" t="str">
        <x:f>IF(OR(NOT(ISNUMBER(F24)),NOT(ISNUMBER(G24)),F24&lt;=0,G24&lt;0,G24&gt;F24),"",F24-G24)</x:f>
      </x:c>
      <x:c r="I24" s="32"/>
      <x:c r="J24" s="32"/>
      <x:c r="K24" s="42" t="str">
        <x:f>IF(OR(NOT(ISNUMBER(F24)),NOT(ISNUMBER(G24)),F24&lt;=0,G24&lt;0,G24&gt;F24),"",G24/F24*100)</x:f>
      </x:c>
      <x:c r="L24" s="42"/>
      <x:c r="M24" s="18" t="str">
        <x:f>IF(OR(K24="",NOT(ISNUMBER(L24)),L24&lt;=0,N24="",D24="",E24="",I24="",J24=""),"",IF(K24&gt;=L24,"Cumple","No cumple"))</x:f>
      </x:c>
      <x:c r="N24" s="32"/>
    </x:row>
    <x:row r="25" ht="27" customHeight="1">
      <x:c r="A25" s="18"/>
      <x:c r="B25" s="18"/>
      <x:c r="C25" s="18"/>
      <x:c r="D25" s="44"/>
      <x:c r="E25" s="44"/>
      <x:c r="F25" s="32"/>
      <x:c r="G25" s="32"/>
      <x:c r="H25" s="18" t="str">
        <x:f>IF(OR(NOT(ISNUMBER(F25)),NOT(ISNUMBER(G25)),F25&lt;=0,G25&lt;0,G25&gt;F25),"",F25-G25)</x:f>
      </x:c>
      <x:c r="I25" s="32"/>
      <x:c r="J25" s="32"/>
      <x:c r="K25" s="42" t="str">
        <x:f>IF(OR(NOT(ISNUMBER(F25)),NOT(ISNUMBER(G25)),F25&lt;=0,G25&lt;0,G25&gt;F25),"",G25/F25*100)</x:f>
      </x:c>
      <x:c r="L25" s="42"/>
      <x:c r="M25" s="18" t="str">
        <x:f>IF(OR(K25="",NOT(ISNUMBER(L25)),L25&lt;=0,N25="",D25="",E25="",I25="",J25=""),"",IF(K25&gt;=L25,"Cumple","No cumple"))</x:f>
      </x:c>
      <x:c r="N25" s="32"/>
    </x:row>
    <x:row r="26" ht="27" customHeight="1">
      <x:c r="A26" s="18"/>
      <x:c r="B26" s="18"/>
      <x:c r="C26" s="18"/>
      <x:c r="D26" s="44"/>
      <x:c r="E26" s="44"/>
      <x:c r="F26" s="32"/>
      <x:c r="G26" s="32"/>
      <x:c r="H26" s="18" t="str">
        <x:f>IF(OR(NOT(ISNUMBER(F26)),NOT(ISNUMBER(G26)),F26&lt;=0,G26&lt;0,G26&gt;F26),"",F26-G26)</x:f>
      </x:c>
      <x:c r="I26" s="32"/>
      <x:c r="J26" s="32"/>
      <x:c r="K26" s="42" t="str">
        <x:f>IF(OR(NOT(ISNUMBER(F26)),NOT(ISNUMBER(G26)),F26&lt;=0,G26&lt;0,G26&gt;F26),"",G26/F26*100)</x:f>
      </x:c>
      <x:c r="L26" s="42"/>
      <x:c r="M26" s="18" t="str">
        <x:f>IF(OR(K26="",NOT(ISNUMBER(L26)),L26&lt;=0,N26="",D26="",E26="",I26="",J26=""),"",IF(K26&gt;=L26,"Cumple","No cumple"))</x:f>
      </x:c>
      <x:c r="N26" s="32"/>
    </x:row>
    <x:row r="27" ht="27" customHeight="1">
      <x:c r="A27" s="18"/>
      <x:c r="B27" s="18"/>
      <x:c r="C27" s="18"/>
      <x:c r="D27" s="44"/>
      <x:c r="E27" s="44"/>
      <x:c r="F27" s="32"/>
      <x:c r="G27" s="32"/>
      <x:c r="H27" s="18" t="str">
        <x:f>IF(OR(NOT(ISNUMBER(F27)),NOT(ISNUMBER(G27)),F27&lt;=0,G27&lt;0,G27&gt;F27),"",F27-G27)</x:f>
      </x:c>
      <x:c r="I27" s="32"/>
      <x:c r="J27" s="32"/>
      <x:c r="K27" s="42" t="str">
        <x:f>IF(OR(NOT(ISNUMBER(F27)),NOT(ISNUMBER(G27)),F27&lt;=0,G27&lt;0,G27&gt;F27),"",G27/F27*100)</x:f>
      </x:c>
      <x:c r="L27" s="42"/>
      <x:c r="M27" s="18" t="str">
        <x:f>IF(OR(K27="",NOT(ISNUMBER(L27)),L27&lt;=0,N27="",D27="",E27="",I27="",J27=""),"",IF(K27&gt;=L27,"Cumple","No cumple"))</x:f>
      </x:c>
      <x:c r="N27" s="32"/>
    </x:row>
    <x:row r="28" ht="27" customHeight="1">
      <x:c r="A28" s="18"/>
      <x:c r="B28" s="18"/>
      <x:c r="C28" s="18"/>
      <x:c r="D28" s="44"/>
      <x:c r="E28" s="44"/>
      <x:c r="F28" s="32"/>
      <x:c r="G28" s="32"/>
      <x:c r="H28" s="18" t="str">
        <x:f>IF(OR(NOT(ISNUMBER(F28)),NOT(ISNUMBER(G28)),F28&lt;=0,G28&lt;0,G28&gt;F28),"",F28-G28)</x:f>
      </x:c>
      <x:c r="I28" s="32"/>
      <x:c r="J28" s="32"/>
      <x:c r="K28" s="42" t="str">
        <x:f>IF(OR(NOT(ISNUMBER(F28)),NOT(ISNUMBER(G28)),F28&lt;=0,G28&lt;0,G28&gt;F28),"",G28/F28*100)</x:f>
      </x:c>
      <x:c r="L28" s="42"/>
      <x:c r="M28" s="18" t="str">
        <x:f>IF(OR(K28="",NOT(ISNUMBER(L28)),L28&lt;=0,N28="",D28="",E28="",I28="",J28=""),"",IF(K28&gt;=L28,"Cumple","No cumple"))</x:f>
      </x:c>
      <x:c r="N28" s="32"/>
    </x:row>
    <x:row r="29" ht="27" customHeight="1">
      <x:c r="A29" s="18"/>
      <x:c r="B29" s="18"/>
      <x:c r="C29" s="18"/>
      <x:c r="D29" s="44"/>
      <x:c r="E29" s="44"/>
      <x:c r="F29" s="32"/>
      <x:c r="G29" s="32"/>
      <x:c r="H29" s="18" t="str">
        <x:f>IF(OR(NOT(ISNUMBER(F29)),NOT(ISNUMBER(G29)),F29&lt;=0,G29&lt;0,G29&gt;F29),"",F29-G29)</x:f>
      </x:c>
      <x:c r="I29" s="32"/>
      <x:c r="J29" s="32"/>
      <x:c r="K29" s="42" t="str">
        <x:f>IF(OR(NOT(ISNUMBER(F29)),NOT(ISNUMBER(G29)),F29&lt;=0,G29&lt;0,G29&gt;F29),"",G29/F29*100)</x:f>
      </x:c>
      <x:c r="L29" s="42"/>
      <x:c r="M29" s="18" t="str">
        <x:f>IF(OR(K29="",NOT(ISNUMBER(L29)),L29&lt;=0,N29="",D29="",E29="",I29="",J29=""),"",IF(K29&gt;=L29,"Cumple","No cumple"))</x:f>
      </x:c>
      <x:c r="N29" s="32"/>
    </x:row>
    <x:row r="30" ht="27" customHeight="1">
      <x:c r="A30" s="18"/>
      <x:c r="B30" s="18"/>
      <x:c r="C30" s="18"/>
      <x:c r="D30" s="44"/>
      <x:c r="E30" s="44"/>
      <x:c r="F30" s="32"/>
      <x:c r="G30" s="32"/>
      <x:c r="H30" s="18" t="str">
        <x:f>IF(OR(NOT(ISNUMBER(F30)),NOT(ISNUMBER(G30)),F30&lt;=0,G30&lt;0,G30&gt;F30),"",F30-G30)</x:f>
      </x:c>
      <x:c r="I30" s="32"/>
      <x:c r="J30" s="32"/>
      <x:c r="K30" s="42" t="str">
        <x:f>IF(OR(NOT(ISNUMBER(F30)),NOT(ISNUMBER(G30)),F30&lt;=0,G30&lt;0,G30&gt;F30),"",G30/F30*100)</x:f>
      </x:c>
      <x:c r="L30" s="42"/>
      <x:c r="M30" s="18" t="str">
        <x:f>IF(OR(K30="",NOT(ISNUMBER(L30)),L30&lt;=0,N30="",D30="",E30="",I30="",J30=""),"",IF(K30&gt;=L30,"Cumple","No cumple"))</x:f>
      </x:c>
      <x:c r="N30" s="32"/>
    </x:row>
    <x:row r="31" ht="27" customHeight="1">
      <x:c r="A31" s="18"/>
      <x:c r="B31" s="18"/>
      <x:c r="C31" s="18"/>
      <x:c r="D31" s="44"/>
      <x:c r="E31" s="44"/>
      <x:c r="F31" s="32"/>
      <x:c r="G31" s="32"/>
      <x:c r="H31" s="18" t="str">
        <x:f>IF(OR(NOT(ISNUMBER(F31)),NOT(ISNUMBER(G31)),F31&lt;=0,G31&lt;0,G31&gt;F31),"",F31-G31)</x:f>
      </x:c>
      <x:c r="I31" s="32"/>
      <x:c r="J31" s="32"/>
      <x:c r="K31" s="42" t="str">
        <x:f>IF(OR(NOT(ISNUMBER(F31)),NOT(ISNUMBER(G31)),F31&lt;=0,G31&lt;0,G31&gt;F31),"",G31/F31*100)</x:f>
      </x:c>
      <x:c r="L31" s="42"/>
      <x:c r="M31" s="18" t="str">
        <x:f>IF(OR(K31="",NOT(ISNUMBER(L31)),L31&lt;=0,N31="",D31="",E31="",I31="",J31=""),"",IF(K31&gt;=L31,"Cumple","No cumple"))</x:f>
      </x:c>
      <x:c r="N31" s="32"/>
    </x:row>
    <x:row r="32" ht="27" customHeight="1">
      <x:c r="A32" s="18"/>
      <x:c r="B32" s="18"/>
      <x:c r="C32" s="18"/>
      <x:c r="D32" s="44"/>
      <x:c r="E32" s="44"/>
      <x:c r="F32" s="32"/>
      <x:c r="G32" s="32"/>
      <x:c r="H32" s="18" t="str">
        <x:f>IF(OR(NOT(ISNUMBER(F32)),NOT(ISNUMBER(G32)),F32&lt;=0,G32&lt;0,G32&gt;F32),"",F32-G32)</x:f>
      </x:c>
      <x:c r="I32" s="32"/>
      <x:c r="J32" s="32"/>
      <x:c r="K32" s="42" t="str">
        <x:f>IF(OR(NOT(ISNUMBER(F32)),NOT(ISNUMBER(G32)),F32&lt;=0,G32&lt;0,G32&gt;F32),"",G32/F32*100)</x:f>
      </x:c>
      <x:c r="L32" s="42"/>
      <x:c r="M32" s="18" t="str">
        <x:f>IF(OR(K32="",NOT(ISNUMBER(L32)),L32&lt;=0,N32="",D32="",E32="",I32="",J32=""),"",IF(K32&gt;=L32,"Cumple","No cumple"))</x:f>
      </x:c>
      <x:c r="N32" s="32"/>
    </x:row>
    <x:row r="33" ht="27" customHeight="1">
      <x:c r="A33" s="18"/>
      <x:c r="B33" s="18"/>
      <x:c r="C33" s="18"/>
      <x:c r="D33" s="44"/>
      <x:c r="E33" s="44"/>
      <x:c r="F33" s="32"/>
      <x:c r="G33" s="32"/>
      <x:c r="H33" s="18" t="str">
        <x:f>IF(OR(NOT(ISNUMBER(F33)),NOT(ISNUMBER(G33)),F33&lt;=0,G33&lt;0,G33&gt;F33),"",F33-G33)</x:f>
      </x:c>
      <x:c r="I33" s="32"/>
      <x:c r="J33" s="32"/>
      <x:c r="K33" s="42" t="str">
        <x:f>IF(OR(NOT(ISNUMBER(F33)),NOT(ISNUMBER(G33)),F33&lt;=0,G33&lt;0,G33&gt;F33),"",G33/F33*100)</x:f>
      </x:c>
      <x:c r="L33" s="42"/>
      <x:c r="M33" s="18" t="str">
        <x:f>IF(OR(K33="",NOT(ISNUMBER(L33)),L33&lt;=0,N33="",D33="",E33="",I33="",J33=""),"",IF(K33&gt;=L33,"Cumple","No cumple"))</x:f>
      </x:c>
      <x:c r="N33" s="32"/>
    </x:row>
    <x:row r="34" ht="27" customHeight="1">
      <x:c r="A34" s="18"/>
      <x:c r="B34" s="18"/>
      <x:c r="C34" s="18"/>
      <x:c r="D34" s="44"/>
      <x:c r="E34" s="44"/>
      <x:c r="F34" s="32"/>
      <x:c r="G34" s="32"/>
      <x:c r="H34" s="18" t="str">
        <x:f>IF(OR(NOT(ISNUMBER(F34)),NOT(ISNUMBER(G34)),F34&lt;=0,G34&lt;0,G34&gt;F34),"",F34-G34)</x:f>
      </x:c>
      <x:c r="I34" s="32"/>
      <x:c r="J34" s="32"/>
      <x:c r="K34" s="42" t="str">
        <x:f>IF(OR(NOT(ISNUMBER(F34)),NOT(ISNUMBER(G34)),F34&lt;=0,G34&lt;0,G34&gt;F34),"",G34/F34*100)</x:f>
      </x:c>
      <x:c r="L34" s="42"/>
      <x:c r="M34" s="18" t="str">
        <x:f>IF(OR(K34="",NOT(ISNUMBER(L34)),L34&lt;=0,N34="",D34="",E34="",I34="",J34=""),"",IF(K34&gt;=L34,"Cumple","No cumple"))</x:f>
      </x:c>
      <x:c r="N34" s="32"/>
    </x:row>
    <x:row r="35" ht="27" customHeight="1">
      <x:c r="A35" s="18"/>
      <x:c r="B35" s="18"/>
      <x:c r="C35" s="18"/>
      <x:c r="D35" s="44"/>
      <x:c r="E35" s="44"/>
      <x:c r="F35" s="32"/>
      <x:c r="G35" s="32"/>
      <x:c r="H35" s="18" t="str">
        <x:f>IF(OR(F35="",G35="",NOT(ISNUMBER(F35)),NOT(ISNUMBER(G35)),G35&gt;F35),"",F35-G35)</x:f>
      </x:c>
      <x:c r="I35" s="32"/>
      <x:c r="J35" s="32"/>
      <x:c r="K35" s="42" t="str">
        <x:f>IF(OR(F35="",G35="",F35&lt;=0,G35&gt;F35),"",IFERROR(G35/F35*100,""))</x:f>
      </x:c>
      <x:c r="L35" s="42"/>
      <x:c r="M35" s="18" t="str">
        <x:f>IF(OR(K35="",L35=""),"",IF(K35&gt;=L35,"Cumple","No cumple"))</x:f>
      </x:c>
      <x:c r="N35" s="32"/>
    </x:row>
    <x:row r="36" ht="27" customHeight="1">
      <x:c r="A36" s="18"/>
      <x:c r="B36" s="18"/>
      <x:c r="C36" s="18"/>
      <x:c r="D36" s="44"/>
      <x:c r="E36" s="44"/>
      <x:c r="F36" s="32"/>
      <x:c r="G36" s="32"/>
      <x:c r="H36" s="18" t="str">
        <x:f>IF(OR(F36="",G36="",NOT(ISNUMBER(F36)),NOT(ISNUMBER(G36)),G36&gt;F36),"",F36-G36)</x:f>
      </x:c>
      <x:c r="I36" s="32"/>
      <x:c r="J36" s="32"/>
      <x:c r="K36" s="42" t="str">
        <x:f>IF(OR(F36="",G36="",F36&lt;=0,G36&gt;F36),"",IFERROR(G36/F36*100,""))</x:f>
      </x:c>
      <x:c r="L36" s="42"/>
      <x:c r="M36" s="18" t="str">
        <x:f>IF(OR(K36="",L36=""),"",IF(K36&gt;=L36,"Cumple","No cumple"))</x:f>
      </x:c>
      <x:c r="N36" s="32"/>
    </x:row>
    <x:row r="37" ht="27" customHeight="1">
      <x:c r="A37" s="18"/>
      <x:c r="B37" s="18"/>
      <x:c r="C37" s="18"/>
      <x:c r="D37" s="44"/>
      <x:c r="E37" s="44"/>
      <x:c r="F37" s="32"/>
      <x:c r="G37" s="32"/>
      <x:c r="H37" s="18" t="str">
        <x:f>IF(OR(F37="",G37="",NOT(ISNUMBER(F37)),NOT(ISNUMBER(G37)),G37&gt;F37),"",F37-G37)</x:f>
      </x:c>
      <x:c r="I37" s="32"/>
      <x:c r="J37" s="32"/>
      <x:c r="K37" s="42" t="str">
        <x:f>IF(OR(F37="",G37="",F37&lt;=0,G37&gt;F37),"",IFERROR(G37/F37*100,""))</x:f>
      </x:c>
      <x:c r="L37" s="42"/>
      <x:c r="M37" s="18" t="str">
        <x:f>IF(OR(K37="",L37=""),"",IF(K37&gt;=L37,"Cumple","No cumple"))</x:f>
      </x:c>
      <x:c r="N37" s="32"/>
    </x:row>
    <x:row r="38" ht="27" customHeight="1">
      <x:c r="A38" s="18"/>
      <x:c r="B38" s="18"/>
      <x:c r="C38" s="18"/>
      <x:c r="D38" s="44"/>
      <x:c r="E38" s="44"/>
      <x:c r="F38" s="32"/>
      <x:c r="G38" s="32"/>
      <x:c r="H38" s="18" t="str">
        <x:f>IF(OR(F38="",G38="",NOT(ISNUMBER(F38)),NOT(ISNUMBER(G38)),G38&gt;F38),"",F38-G38)</x:f>
      </x:c>
      <x:c r="I38" s="32"/>
      <x:c r="J38" s="32"/>
      <x:c r="K38" s="42" t="str">
        <x:f>IF(OR(F38="",G38="",F38&lt;=0,G38&gt;F38),"",IFERROR(G38/F38*100,""))</x:f>
      </x:c>
      <x:c r="L38" s="42"/>
      <x:c r="M38" s="18" t="str">
        <x:f>IF(OR(K38="",L38=""),"",IF(K38&gt;=L38,"Cumple","No cumple"))</x:f>
      </x:c>
      <x:c r="N38" s="32"/>
    </x:row>
    <x:row r="39" ht="27" customHeight="1">
      <x:c r="A39" s="18"/>
      <x:c r="B39" s="18"/>
      <x:c r="C39" s="18"/>
      <x:c r="D39" s="44"/>
      <x:c r="E39" s="44"/>
      <x:c r="F39" s="32"/>
      <x:c r="G39" s="32"/>
      <x:c r="H39" s="18" t="str">
        <x:f>IF(OR(F39="",G39="",NOT(ISNUMBER(F39)),NOT(ISNUMBER(G39)),G39&gt;F39),"",F39-G39)</x:f>
      </x:c>
      <x:c r="I39" s="32"/>
      <x:c r="J39" s="32"/>
      <x:c r="K39" s="42" t="str">
        <x:f>IF(OR(F39="",G39="",F39&lt;=0,G39&gt;F39),"",IFERROR(G39/F39*100,""))</x:f>
      </x:c>
      <x:c r="L39" s="42"/>
      <x:c r="M39" s="18" t="str">
        <x:f>IF(OR(K39="",L39=""),"",IF(K39&gt;=L39,"Cumple","No cumple"))</x:f>
      </x:c>
      <x:c r="N39" s="32"/>
    </x:row>
    <x:row r="40" ht="27" customHeight="1">
      <x:c r="A40" s="18"/>
      <x:c r="B40" s="18"/>
      <x:c r="C40" s="18"/>
      <x:c r="D40" s="44"/>
      <x:c r="E40" s="44"/>
      <x:c r="F40" s="32"/>
      <x:c r="G40" s="32"/>
      <x:c r="H40" s="18" t="str">
        <x:f>IF(OR(F40="",G40="",NOT(ISNUMBER(F40)),NOT(ISNUMBER(G40)),G40&gt;F40),"",F40-G40)</x:f>
      </x:c>
      <x:c r="I40" s="32"/>
      <x:c r="J40" s="32"/>
      <x:c r="K40" s="42" t="str">
        <x:f>IF(OR(F40="",G40="",F40&lt;=0,G40&gt;F40),"",IFERROR(G40/F40*100,""))</x:f>
      </x:c>
      <x:c r="L40" s="42"/>
      <x:c r="M40" s="18" t="str">
        <x:f>IF(OR(K40="",L40=""),"",IF(K40&gt;=L40,"Cumple","No cumple"))</x:f>
      </x:c>
      <x:c r="N40" s="32"/>
    </x:row>
    <x:row r="41" ht="27" customHeight="1">
      <x:c r="A41" s="18"/>
      <x:c r="B41" s="18"/>
      <x:c r="C41" s="18"/>
      <x:c r="D41" s="44"/>
      <x:c r="E41" s="44"/>
      <x:c r="F41" s="32"/>
      <x:c r="G41" s="32"/>
      <x:c r="H41" s="18" t="str">
        <x:f>IF(OR(F41="",G41="",NOT(ISNUMBER(F41)),NOT(ISNUMBER(G41)),G41&gt;F41),"",F41-G41)</x:f>
      </x:c>
      <x:c r="I41" s="32"/>
      <x:c r="J41" s="32"/>
      <x:c r="K41" s="42" t="str">
        <x:f>IF(OR(F41="",G41="",F41&lt;=0,G41&gt;F41),"",IFERROR(G41/F41*100,""))</x:f>
      </x:c>
      <x:c r="L41" s="42"/>
      <x:c r="M41" s="18" t="str">
        <x:f>IF(OR(K41="",L41=""),"",IF(K41&gt;=L41,"Cumple","No cumple"))</x:f>
      </x:c>
      <x:c r="N41" s="32"/>
    </x:row>
    <x:row r="42" ht="27" customHeight="1">
      <x:c r="A42" s="18"/>
      <x:c r="B42" s="18"/>
      <x:c r="C42" s="18"/>
      <x:c r="D42" s="44"/>
      <x:c r="E42" s="44"/>
      <x:c r="F42" s="32"/>
      <x:c r="G42" s="32"/>
      <x:c r="H42" s="18" t="str">
        <x:f>IF(OR(F42="",G42="",NOT(ISNUMBER(F42)),NOT(ISNUMBER(G42)),G42&gt;F42),"",F42-G42)</x:f>
      </x:c>
      <x:c r="I42" s="32"/>
      <x:c r="J42" s="32"/>
      <x:c r="K42" s="42" t="str">
        <x:f>IF(OR(F42="",G42="",F42&lt;=0,G42&gt;F42),"",IFERROR(G42/F42*100,""))</x:f>
      </x:c>
      <x:c r="L42" s="42"/>
      <x:c r="M42" s="18" t="str">
        <x:f>IF(OR(K42="",L42=""),"",IF(K42&gt;=L42,"Cumple","No cumple"))</x:f>
      </x:c>
      <x:c r="N42" s="32"/>
    </x:row>
    <x:row r="43" ht="27" customHeight="1">
      <x:c r="A43" s="18"/>
      <x:c r="B43" s="18"/>
      <x:c r="C43" s="18"/>
      <x:c r="D43" s="44"/>
      <x:c r="E43" s="44"/>
      <x:c r="F43" s="32"/>
      <x:c r="G43" s="32"/>
      <x:c r="H43" s="18" t="str">
        <x:f>IF(OR(F43="",G43="",NOT(ISNUMBER(F43)),NOT(ISNUMBER(G43)),G43&gt;F43),"",F43-G43)</x:f>
      </x:c>
      <x:c r="I43" s="32"/>
      <x:c r="J43" s="32"/>
      <x:c r="K43" s="42" t="str">
        <x:f>IF(OR(F43="",G43="",F43&lt;=0,G43&gt;F43),"",IFERROR(G43/F43*100,""))</x:f>
      </x:c>
      <x:c r="L43" s="42"/>
      <x:c r="M43" s="18" t="str">
        <x:f>IF(OR(K43="",L43=""),"",IF(K43&gt;=L43,"Cumple","No cumple"))</x:f>
      </x:c>
      <x:c r="N43" s="32"/>
    </x:row>
    <x:row r="44" ht="27" customHeight="1">
      <x:c r="A44" s="18"/>
      <x:c r="B44" s="18"/>
      <x:c r="C44" s="18"/>
      <x:c r="D44" s="44"/>
      <x:c r="E44" s="44"/>
      <x:c r="F44" s="32"/>
      <x:c r="G44" s="32"/>
      <x:c r="H44" s="18" t="str">
        <x:f>IF(OR(F44="",G44="",NOT(ISNUMBER(F44)),NOT(ISNUMBER(G44)),G44&gt;F44),"",F44-G44)</x:f>
      </x:c>
      <x:c r="I44" s="32"/>
      <x:c r="J44" s="32"/>
      <x:c r="K44" s="42" t="str">
        <x:f>IF(OR(F44="",G44="",F44&lt;=0,G44&gt;F44),"",IFERROR(G44/F44*100,""))</x:f>
      </x:c>
      <x:c r="L44" s="42"/>
      <x:c r="M44" s="18" t="str">
        <x:f>IF(OR(K44="",L44=""),"",IF(K44&gt;=L44,"Cumple","No cumple"))</x:f>
      </x:c>
      <x:c r="N44" s="32"/>
    </x:row>
    <x:row r="45" ht="27" customHeight="1">
      <x:c r="A45" s="18"/>
      <x:c r="B45" s="18"/>
      <x:c r="C45" s="18"/>
      <x:c r="D45" s="44"/>
      <x:c r="E45" s="44"/>
      <x:c r="F45" s="32"/>
      <x:c r="G45" s="32"/>
      <x:c r="H45" s="18" t="str">
        <x:f>IF(OR(F45="",G45="",NOT(ISNUMBER(F45)),NOT(ISNUMBER(G45)),G45&gt;F45),"",F45-G45)</x:f>
      </x:c>
      <x:c r="I45" s="32"/>
      <x:c r="J45" s="32"/>
      <x:c r="K45" s="42" t="str">
        <x:f>IF(OR(F45="",G45="",F45&lt;=0,G45&gt;F45),"",IFERROR(G45/F45*100,""))</x:f>
      </x:c>
      <x:c r="L45" s="42"/>
      <x:c r="M45" s="18" t="str">
        <x:f>IF(OR(K45="",L45=""),"",IF(K45&gt;=L45,"Cumple","No cumple"))</x:f>
      </x:c>
      <x:c r="N45" s="32"/>
    </x:row>
    <x:row r="46" ht="27" customHeight="1">
      <x:c r="A46" s="18"/>
      <x:c r="B46" s="18"/>
      <x:c r="C46" s="18"/>
      <x:c r="D46" s="44"/>
      <x:c r="E46" s="44"/>
      <x:c r="F46" s="32"/>
      <x:c r="G46" s="32"/>
      <x:c r="H46" s="18" t="str">
        <x:f>IF(OR(F46="",G46="",NOT(ISNUMBER(F46)),NOT(ISNUMBER(G46)),G46&gt;F46),"",F46-G46)</x:f>
      </x:c>
      <x:c r="I46" s="32"/>
      <x:c r="J46" s="32"/>
      <x:c r="K46" s="42" t="str">
        <x:f>IF(OR(F46="",G46="",F46&lt;=0,G46&gt;F46),"",IFERROR(G46/F46*100,""))</x:f>
      </x:c>
      <x:c r="L46" s="42"/>
      <x:c r="M46" s="18" t="str">
        <x:f>IF(OR(K46="",L46=""),"",IF(K46&gt;=L46,"Cumple","No cumple"))</x:f>
      </x:c>
      <x:c r="N46" s="32"/>
    </x:row>
    <x:row r="47" ht="27" customHeight="1">
      <x:c r="A47" s="18"/>
      <x:c r="B47" s="18"/>
      <x:c r="C47" s="18"/>
      <x:c r="D47" s="44"/>
      <x:c r="E47" s="44"/>
      <x:c r="F47" s="32"/>
      <x:c r="G47" s="32"/>
      <x:c r="H47" s="18" t="str">
        <x:f>IF(OR(F47="",G47="",NOT(ISNUMBER(F47)),NOT(ISNUMBER(G47)),G47&gt;F47),"",F47-G47)</x:f>
      </x:c>
      <x:c r="I47" s="32"/>
      <x:c r="J47" s="32"/>
      <x:c r="K47" s="42" t="str">
        <x:f>IF(OR(F47="",G47="",F47&lt;=0,G47&gt;F47),"",IFERROR(G47/F47*100,""))</x:f>
      </x:c>
      <x:c r="L47" s="42"/>
      <x:c r="M47" s="18" t="str">
        <x:f>IF(OR(K47="",L47=""),"",IF(K47&gt;=L47,"Cumple","No cumple"))</x:f>
      </x:c>
      <x:c r="N47" s="32"/>
    </x:row>
    <x:row r="48" ht="27" customHeight="1">
      <x:c r="A48" s="18"/>
      <x:c r="B48" s="18"/>
      <x:c r="C48" s="18"/>
      <x:c r="D48" s="44"/>
      <x:c r="E48" s="44"/>
      <x:c r="F48" s="32"/>
      <x:c r="G48" s="32"/>
      <x:c r="H48" s="18" t="str">
        <x:f>IF(OR(F48="",G48="",NOT(ISNUMBER(F48)),NOT(ISNUMBER(G48)),G48&gt;F48),"",F48-G48)</x:f>
      </x:c>
      <x:c r="I48" s="32"/>
      <x:c r="J48" s="32"/>
      <x:c r="K48" s="42" t="str">
        <x:f>IF(OR(F48="",G48="",F48&lt;=0,G48&gt;F48),"",IFERROR(G48/F48*100,""))</x:f>
      </x:c>
      <x:c r="L48" s="42"/>
      <x:c r="M48" s="18" t="str">
        <x:f>IF(OR(K48="",L48=""),"",IF(K48&gt;=L48,"Cumple","No cumple"))</x:f>
      </x:c>
      <x:c r="N48" s="32"/>
    </x:row>
    <x:row r="49" ht="27" customHeight="1">
      <x:c r="A49" s="18"/>
      <x:c r="B49" s="18"/>
      <x:c r="C49" s="18"/>
      <x:c r="D49" s="44"/>
      <x:c r="E49" s="44"/>
      <x:c r="F49" s="32"/>
      <x:c r="G49" s="32"/>
      <x:c r="H49" s="18" t="str">
        <x:f>IF(OR(F49="",G49="",NOT(ISNUMBER(F49)),NOT(ISNUMBER(G49)),G49&gt;F49),"",F49-G49)</x:f>
      </x:c>
      <x:c r="I49" s="32"/>
      <x:c r="J49" s="32"/>
      <x:c r="K49" s="42" t="str">
        <x:f>IF(OR(F49="",G49="",F49&lt;=0,G49&gt;F49),"",IFERROR(G49/F49*100,""))</x:f>
      </x:c>
      <x:c r="L49" s="42"/>
      <x:c r="M49" s="18" t="str">
        <x:f>IF(OR(K49="",L49=""),"",IF(K49&gt;=L49,"Cumple","No cumple"))</x:f>
      </x:c>
      <x:c r="N49" s="32"/>
    </x:row>
    <x:row r="50" ht="27" customHeight="1">
      <x:c r="A50" s="18"/>
      <x:c r="B50" s="18"/>
      <x:c r="C50" s="18"/>
      <x:c r="D50" s="44"/>
      <x:c r="E50" s="44"/>
      <x:c r="F50" s="32"/>
      <x:c r="G50" s="32"/>
      <x:c r="H50" s="18" t="str">
        <x:f>IF(OR(F50="",G50="",NOT(ISNUMBER(F50)),NOT(ISNUMBER(G50)),G50&gt;F50),"",F50-G50)</x:f>
      </x:c>
      <x:c r="I50" s="32"/>
      <x:c r="J50" s="32"/>
      <x:c r="K50" s="42" t="str">
        <x:f>IF(OR(F50="",G50="",F50&lt;=0,G50&gt;F50),"",IFERROR(G50/F50*100,""))</x:f>
      </x:c>
      <x:c r="L50" s="42"/>
      <x:c r="M50" s="18" t="str">
        <x:f>IF(OR(K50="",L50=""),"",IF(K50&gt;=L50,"Cumple","No cumple"))</x:f>
      </x:c>
      <x:c r="N50" s="32"/>
    </x:row>
    <x:row r="51" ht="27" customHeight="1">
      <x:c r="A51" s="18"/>
      <x:c r="B51" s="18"/>
      <x:c r="C51" s="18"/>
      <x:c r="D51" s="44"/>
      <x:c r="E51" s="44"/>
      <x:c r="F51" s="32"/>
      <x:c r="G51" s="32"/>
      <x:c r="H51" s="18" t="str">
        <x:f>IF(OR(F51="",G51="",NOT(ISNUMBER(F51)),NOT(ISNUMBER(G51)),G51&gt;F51),"",F51-G51)</x:f>
      </x:c>
      <x:c r="I51" s="32"/>
      <x:c r="J51" s="32"/>
      <x:c r="K51" s="42" t="str">
        <x:f>IF(OR(F51="",G51="",F51&lt;=0,G51&gt;F51),"",IFERROR(G51/F51*100,""))</x:f>
      </x:c>
      <x:c r="L51" s="42"/>
      <x:c r="M51" s="18" t="str">
        <x:f>IF(OR(K51="",L51=""),"",IF(K51&gt;=L51,"Cumple","No cumple"))</x:f>
      </x:c>
      <x:c r="N51" s="32"/>
    </x:row>
    <x:row r="52" ht="27" customHeight="1">
      <x:c r="A52" s="18"/>
      <x:c r="B52" s="18"/>
      <x:c r="C52" s="18"/>
      <x:c r="D52" s="44"/>
      <x:c r="E52" s="44"/>
      <x:c r="F52" s="32"/>
      <x:c r="G52" s="32"/>
      <x:c r="H52" s="18" t="str">
        <x:f>IF(OR(F52="",G52="",NOT(ISNUMBER(F52)),NOT(ISNUMBER(G52)),G52&gt;F52),"",F52-G52)</x:f>
      </x:c>
      <x:c r="I52" s="32"/>
      <x:c r="J52" s="32"/>
      <x:c r="K52" s="42" t="str">
        <x:f>IF(OR(F52="",G52="",F52&lt;=0,G52&gt;F52),"",IFERROR(G52/F52*100,""))</x:f>
      </x:c>
      <x:c r="L52" s="42"/>
      <x:c r="M52" s="18" t="str">
        <x:f>IF(OR(K52="",L52=""),"",IF(K52&gt;=L52,"Cumple","No cumple"))</x:f>
      </x:c>
      <x:c r="N52" s="32"/>
    </x:row>
    <x:row r="53" ht="27" customHeight="1">
      <x:c r="A53" s="18"/>
      <x:c r="B53" s="18"/>
      <x:c r="C53" s="18"/>
      <x:c r="D53" s="44"/>
      <x:c r="E53" s="44"/>
      <x:c r="F53" s="32"/>
      <x:c r="G53" s="32"/>
      <x:c r="H53" s="18" t="str">
        <x:f>IF(OR(F53="",G53="",NOT(ISNUMBER(F53)),NOT(ISNUMBER(G53)),G53&gt;F53),"",F53-G53)</x:f>
      </x:c>
      <x:c r="I53" s="32"/>
      <x:c r="J53" s="32"/>
      <x:c r="K53" s="42" t="str">
        <x:f>IF(OR(F53="",G53="",F53&lt;=0,G53&gt;F53),"",IFERROR(G53/F53*100,""))</x:f>
      </x:c>
      <x:c r="L53" s="42"/>
      <x:c r="M53" s="18" t="str">
        <x:f>IF(OR(K53="",L53=""),"",IF(K53&gt;=L53,"Cumple","No cumple"))</x:f>
      </x:c>
      <x:c r="N53" s="32"/>
    </x:row>
    <x:row r="54" ht="27" customHeight="1">
      <x:c r="A54" s="18"/>
      <x:c r="B54" s="18"/>
      <x:c r="C54" s="18"/>
      <x:c r="D54" s="44"/>
      <x:c r="E54" s="44"/>
      <x:c r="F54" s="32"/>
      <x:c r="G54" s="32"/>
      <x:c r="H54" s="18" t="str">
        <x:f>IF(OR(F54="",G54="",NOT(ISNUMBER(F54)),NOT(ISNUMBER(G54)),G54&gt;F54),"",F54-G54)</x:f>
      </x:c>
      <x:c r="I54" s="32"/>
      <x:c r="J54" s="32"/>
      <x:c r="K54" s="42" t="str">
        <x:f>IF(OR(F54="",G54="",F54&lt;=0,G54&gt;F54),"",IFERROR(G54/F54*100,""))</x:f>
      </x:c>
      <x:c r="L54" s="42"/>
      <x:c r="M54" s="18" t="str">
        <x:f>IF(OR(K54="",L54=""),"",IF(K54&gt;=L54,"Cumple","No cumple"))</x:f>
      </x:c>
      <x:c r="N54" s="32"/>
    </x:row>
    <x:row r="55" ht="27" customHeight="1">
      <x:c r="A55" s="18"/>
      <x:c r="B55" s="18"/>
      <x:c r="C55" s="18"/>
      <x:c r="D55" s="44"/>
      <x:c r="E55" s="44"/>
      <x:c r="F55" s="32"/>
      <x:c r="G55" s="32"/>
      <x:c r="H55" s="18" t="str">
        <x:f>IF(OR(F55="",G55="",NOT(ISNUMBER(F55)),NOT(ISNUMBER(G55)),G55&gt;F55),"",F55-G55)</x:f>
      </x:c>
      <x:c r="I55" s="32"/>
      <x:c r="J55" s="32"/>
      <x:c r="K55" s="42" t="str">
        <x:f>IF(OR(F55="",G55="",F55&lt;=0,G55&gt;F55),"",IFERROR(G55/F55*100,""))</x:f>
      </x:c>
      <x:c r="L55" s="42"/>
      <x:c r="M55" s="18" t="str">
        <x:f>IF(OR(K55="",L55=""),"",IF(K55&gt;=L55,"Cumple","No cumple"))</x:f>
      </x:c>
      <x:c r="N55" s="32"/>
    </x:row>
    <x:row r="56" ht="27" customHeight="1">
      <x:c r="A56" s="18"/>
      <x:c r="B56" s="18"/>
      <x:c r="C56" s="18"/>
      <x:c r="D56" s="44"/>
      <x:c r="E56" s="44"/>
      <x:c r="F56" s="32"/>
      <x:c r="G56" s="32"/>
      <x:c r="H56" s="18" t="str">
        <x:f>IF(OR(F56="",G56="",NOT(ISNUMBER(F56)),NOT(ISNUMBER(G56)),G56&gt;F56),"",F56-G56)</x:f>
      </x:c>
      <x:c r="I56" s="32"/>
      <x:c r="J56" s="32"/>
      <x:c r="K56" s="42" t="str">
        <x:f>IF(OR(F56="",G56="",F56&lt;=0,G56&gt;F56),"",IFERROR(G56/F56*100,""))</x:f>
      </x:c>
      <x:c r="L56" s="42"/>
      <x:c r="M56" s="18" t="str">
        <x:f>IF(OR(K56="",L56=""),"",IF(K56&gt;=L56,"Cumple","No cumple"))</x:f>
      </x:c>
      <x:c r="N56" s="32"/>
    </x:row>
    <x:row r="57" ht="27" customHeight="1">
      <x:c r="A57" s="18"/>
      <x:c r="B57" s="18"/>
      <x:c r="C57" s="18"/>
      <x:c r="D57" s="44"/>
      <x:c r="E57" s="44"/>
      <x:c r="F57" s="32"/>
      <x:c r="G57" s="32"/>
      <x:c r="H57" s="18" t="str">
        <x:f>IF(OR(F57="",G57="",NOT(ISNUMBER(F57)),NOT(ISNUMBER(G57)),G57&gt;F57),"",F57-G57)</x:f>
      </x:c>
      <x:c r="I57" s="32"/>
      <x:c r="J57" s="32"/>
      <x:c r="K57" s="42" t="str">
        <x:f>IF(OR(F57="",G57="",F57&lt;=0,G57&gt;F57),"",IFERROR(G57/F57*100,""))</x:f>
      </x:c>
      <x:c r="L57" s="42"/>
      <x:c r="M57" s="18" t="str">
        <x:f>IF(OR(K57="",L57=""),"",IF(K57&gt;=L57,"Cumple","No cumple"))</x:f>
      </x:c>
      <x:c r="N57" s="32"/>
    </x:row>
  </x:sheetData>
  <x:mergeCells>
    <x:mergeCell ref="A1:N2"/>
    <x:mergeCell ref="A3:N3"/>
    <x:mergeCell ref="A4:N4"/>
  </x:mergeCells>
  <x:conditionalFormatting sqref="G6:G57">
    <x:cfRule type="expression" dxfId="2" priority="1">
      <x:formula>AND(ISNUMBER($F6),ISNUMBER($G6),$G6&gt;$F6)</x:formula>
    </x:cfRule>
  </x:conditionalFormatting>
  <x:conditionalFormatting sqref="M6:M57">
    <x:cfRule type="expression" dxfId="3" priority="2">
      <x:formula>$M6="No cumple"</x:formula>
    </x:cfRule>
  </x:conditionalFormatting>
  <x:dataValidations count="5">
    <x:dataValidation type="list" sqref="C6:C57">
      <x:formula1>"Semanal,Mensual,Otra ventana"</x:formula1>
    </x:dataValidation>
    <x:dataValidation type="whole" sqref="F6:F57">
      <x:formula1>0</x:formula1>
    </x:dataValidation>
    <x:dataValidation type="whole" sqref="G6:G57">
      <x:formula1>0</x:formula1>
    </x:dataValidation>
    <x:dataValidation type="whole" sqref="J6:J57">
      <x:formula1>0</x:formula1>
    </x:dataValidation>
    <x:dataValidation type="list" sqref="C6:C34">
      <x:formula1>"Semanal,Mensual"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5a0817c0614f2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28" hidden="0" customWidth="1"/>
    <x:col min="4" max="4" width="47" hidden="0" customWidth="1"/>
    <x:col min="5" max="5" width="51" hidden="0" customWidth="1"/>
    <x:col min="6" max="6" width="21" hidden="0" customWidth="1"/>
    <x:col min="7" max="7" width="51" hidden="0" customWidth="1"/>
    <x:col min="8" max="8" width="21" hidden="0" customWidth="1"/>
    <x:col min="9" max="9" width="33" hidden="0" customWidth="1"/>
    <x:col min="10" max="10" width="44" hidden="0" customWidth="1"/>
  </x:cols>
  <x:sheetData>
    <x:row r="1" ht="24" customHeight="1">
      <x:c r="A1" s="21" t="str">
        <x:v>DECISIONES DE PRECISIÓN Y CALIDAD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</x:row>
    <x:row r="4" ht="21" customHeight="1">
      <x:c r="A4" s="26" t="str">
        <x:v>Complete solo con información verificable. Los campos amarillos requieren confirmación o evidencia.</x:v>
      </x:c>
      <x:c r="B4" s="26"/>
      <x:c r="C4" s="26"/>
      <x:c r="D4" s="26"/>
      <x:c r="E4" s="26"/>
      <x:c r="F4" s="26"/>
      <x:c r="G4" s="26"/>
      <x:c r="H4" s="26"/>
      <x:c r="I4" s="26"/>
      <x:c r="J4" s="26"/>
    </x:row>
    <x:row r="5" ht="32" customHeight="1">
      <x:c r="A5" s="29" t="str">
        <x:v>Código OP</x:v>
      </x:c>
      <x:c r="B5" s="29" t="str">
        <x:v>Estadístico</x:v>
      </x:c>
      <x:c r="C5" s="29" t="str">
        <x:v>Requisito de precisión</x:v>
      </x:c>
      <x:c r="D5" s="29" t="str">
        <x:v>Método de estimación</x:v>
      </x:c>
      <x:c r="E5" s="29" t="str">
        <x:v>Supuestos</x:v>
      </x:c>
      <x:c r="F5" s="29" t="str">
        <x:v>Número de observaciones previsto</x:v>
      </x:c>
      <x:c r="G5" s="29" t="str">
        <x:v>Procedimiento de comprobación</x:v>
      </x:c>
      <x:c r="H5" s="29" t="str">
        <x:v>Estado</x:v>
      </x:c>
      <x:c r="I5" s="29" t="str">
        <x:v>Fuente académica</x:v>
      </x:c>
      <x:c r="J5" s="29" t="str">
        <x:v>Observaciones</x:v>
      </x:c>
    </x:row>
    <x:row r="6" ht="27" customHeight="1">
      <x:c r="A6" s="18" t="str">
        <x:v>OP-01</x:v>
      </x:c>
      <x:c r="B6" s="18" t="str">
        <x:v>Fallos por 1.000 operaciones</x:v>
      </x:c>
      <x:c r="C6" s="32"/>
      <x:c r="D6" s="18" t="str">
        <x:v>Frecuencia de fallos sobre operaciones válidas</x:v>
      </x:c>
      <x:c r="E6" s="18" t="str">
        <x:v>Distinguir éxito de negocio, rechazo esperado y fallo técnico; definir muestra válida y ventana.</x:v>
      </x:c>
      <x:c r="F6" s="32"/>
      <x:c r="G6" s="18" t="str">
        <x:v>Reconciliar criterios del protocolo</x:v>
      </x:c>
      <x:c r="H6" s="18" t="str">
        <x:v>Pendiente</x:v>
      </x:c>
      <x:c r="I6" s="32"/>
      <x:c r="J6" s="18"/>
    </x:row>
    <x:row r="7" ht="27" customHeight="1">
      <x:c r="A7" s="18" t="str">
        <x:v>OP-02</x:v>
      </x:c>
      <x:c r="B7" s="18" t="str">
        <x:v>Disponibilidad semanal</x:v>
      </x:c>
      <x:c r="C7" s="32"/>
      <x:c r="D7" s="18" t="str">
        <x:v>100 × tiempo operativo / programado</x:v>
      </x:c>
      <x:c r="E7" s="18" t="str">
        <x:v>Definir horas previstas y caídas</x:v>
      </x:c>
      <x:c r="F7" s="32"/>
      <x:c r="G7" s="18" t="str">
        <x:v>Auditar registros de intervalos</x:v>
      </x:c>
      <x:c r="H7" s="18" t="str">
        <x:v>Pendiente</x:v>
      </x:c>
      <x:c r="I7" s="32"/>
      <x:c r="J7" s="18"/>
    </x:row>
    <x:row r="8" ht="27" customHeight="1">
      <x:c r="A8" s="18" t="str">
        <x:v>OP-03</x:v>
      </x:c>
      <x:c r="B8" s="18" t="str">
        <x:v>Disponibilidad mensual</x:v>
      </x:c>
      <x:c r="C8" s="32"/>
      <x:c r="D8" s="18" t="str">
        <x:v>100 × tiempo operativo / programado</x:v>
      </x:c>
      <x:c r="E8" s="18" t="str">
        <x:v>Definir resolución y ventanas</x:v>
      </x:c>
      <x:c r="F8" s="32"/>
      <x:c r="G8" s="18" t="str">
        <x:v>Auditar intervalo mensual</x:v>
      </x:c>
      <x:c r="H8" s="18" t="str">
        <x:v>Pendiente</x:v>
      </x:c>
      <x:c r="I8" s="32"/>
      <x:c r="J8" s="18"/>
    </x:row>
    <x:row r="9" ht="27" customHeight="1">
      <x:c r="A9" s="18" t="str">
        <x:v>OP-06</x:v>
      </x:c>
      <x:c r="B9" s="18" t="str">
        <x:v>Percentil P95</x:v>
      </x:c>
      <x:c r="C9" s="32"/>
      <x:c r="D9" s="18" t="str">
        <x:v>Percentil empírico de solicitudes</x:v>
      </x:c>
      <x:c r="E9" s="18" t="str">
        <x:v>Requiere muestra suficiente e independencia por endpoint; n no equivale a VU.</x:v>
      </x:c>
      <x:c r="F9" s="32"/>
      <x:c r="G9" s="18" t="str">
        <x:v>Estimar precisión y contrastar umbral</x:v>
      </x:c>
      <x:c r="H9" s="18" t="str">
        <x:v>Pendiente</x:v>
      </x:c>
      <x:c r="I9" s="32"/>
      <x:c r="J9" s="18"/>
    </x:row>
    <x:row r="10" ht="27" customHeight="1">
      <x:c r="A10" s="18" t="str">
        <x:v>OP-07</x:v>
      </x:c>
      <x:c r="B10" s="18" t="str">
        <x:v>Percentil P99</x:v>
      </x:c>
      <x:c r="C10" s="32"/>
      <x:c r="D10" s="18" t="str">
        <x:v>Percentil empírico de cola</x:v>
      </x:c>
      <x:c r="E10" s="18" t="str">
        <x:v>P99 requiere tamaño/precisión específica; no inferir confianza estadística sin justificar.</x:v>
      </x:c>
      <x:c r="F10" s="32"/>
      <x:c r="G10" s="18" t="str">
        <x:v>Justificar n y estimación específica</x:v>
      </x:c>
      <x:c r="H10" s="18" t="str">
        <x:v>Pendiente</x:v>
      </x:c>
      <x:c r="I10" s="32"/>
      <x:c r="J10" s="18"/>
    </x:row>
    <x:row r="11" ht="27" customHeight="1">
      <x:c r="A11" s="18" t="str">
        <x:v>OP-09</x:v>
      </x:c>
      <x:c r="B11" s="18" t="str">
        <x:v>Duplicados indebidos</x:v>
      </x:c>
      <x:c r="C11" s="32"/>
      <x:c r="D11" s="18" t="str">
        <x:v>Consulta de datos con clave de negocio</x:v>
      </x:c>
      <x:c r="E11" s="18" t="str">
        <x:v>Confirmar restricciones y política de duplicados</x:v>
      </x:c>
      <x:c r="F11" s="32"/>
      <x:c r="G11" s="18" t="str">
        <x:v>Verificar evidencia SQL y regla</x:v>
      </x:c>
      <x:c r="H11" s="18" t="str">
        <x:v>Pendiente</x:v>
      </x:c>
      <x:c r="I11" s="32"/>
      <x:c r="J11" s="18"/>
    </x:row>
    <x:row r="12" ht="27" customHeight="1">
      <x:c r="A12" s="18"/>
      <x:c r="B12" s="18"/>
      <x:c r="C12" s="32"/>
      <x:c r="D12" s="18"/>
      <x:c r="E12" s="18"/>
      <x:c r="F12" s="32"/>
      <x:c r="G12" s="18"/>
      <x:c r="H12" s="18"/>
      <x:c r="I12" s="32"/>
      <x:c r="J12" s="18"/>
    </x:row>
    <x:row r="13" ht="27" customHeight="1">
      <x:c r="A13" s="18"/>
      <x:c r="B13" s="18"/>
      <x:c r="C13" s="32"/>
      <x:c r="D13" s="18"/>
      <x:c r="E13" s="18"/>
      <x:c r="F13" s="32"/>
      <x:c r="G13" s="18"/>
      <x:c r="H13" s="18"/>
      <x:c r="I13" s="32"/>
      <x:c r="J13" s="18"/>
    </x:row>
    <x:row r="14" ht="27" customHeight="1">
      <x:c r="A14" s="18"/>
      <x:c r="B14" s="18"/>
      <x:c r="C14" s="32"/>
      <x:c r="D14" s="18"/>
      <x:c r="E14" s="18"/>
      <x:c r="F14" s="32"/>
      <x:c r="G14" s="18"/>
      <x:c r="H14" s="18"/>
      <x:c r="I14" s="32"/>
      <x:c r="J14" s="18"/>
    </x:row>
    <x:row r="15" ht="27" customHeight="1">
      <x:c r="A15" s="18"/>
      <x:c r="B15" s="18"/>
      <x:c r="C15" s="32"/>
      <x:c r="D15" s="18"/>
      <x:c r="E15" s="18"/>
      <x:c r="F15" s="32"/>
      <x:c r="G15" s="18"/>
      <x:c r="H15" s="18"/>
      <x:c r="I15" s="32"/>
      <x:c r="J15" s="18"/>
    </x:row>
    <x:row r="16" ht="27" customHeight="1">
      <x:c r="A16" s="18"/>
      <x:c r="B16" s="18"/>
      <x:c r="C16" s="32"/>
      <x:c r="D16" s="18"/>
      <x:c r="E16" s="18"/>
      <x:c r="F16" s="32"/>
      <x:c r="G16" s="18"/>
      <x:c r="H16" s="18"/>
      <x:c r="I16" s="32"/>
      <x:c r="J16" s="18"/>
    </x:row>
    <x:row r="17" ht="27" customHeight="1">
      <x:c r="A17" s="18"/>
      <x:c r="B17" s="18"/>
      <x:c r="C17" s="32"/>
      <x:c r="D17" s="18"/>
      <x:c r="E17" s="18"/>
      <x:c r="F17" s="32"/>
      <x:c r="G17" s="18"/>
      <x:c r="H17" s="18"/>
      <x:c r="I17" s="32"/>
      <x:c r="J17" s="18"/>
    </x:row>
    <x:row r="18" ht="27" customHeight="1">
      <x:c r="A18" s="18"/>
      <x:c r="B18" s="18"/>
      <x:c r="C18" s="32"/>
      <x:c r="D18" s="18"/>
      <x:c r="E18" s="18"/>
      <x:c r="F18" s="32"/>
      <x:c r="G18" s="18"/>
      <x:c r="H18" s="18"/>
      <x:c r="I18" s="32"/>
      <x:c r="J18" s="18"/>
    </x:row>
    <x:row r="19" ht="27" customHeight="1">
      <x:c r="A19" s="18"/>
      <x:c r="B19" s="18"/>
      <x:c r="C19" s="32"/>
      <x:c r="D19" s="18"/>
      <x:c r="E19" s="18"/>
      <x:c r="F19" s="32"/>
      <x:c r="G19" s="18"/>
      <x:c r="H19" s="18"/>
      <x:c r="I19" s="32"/>
      <x:c r="J19" s="18"/>
    </x:row>
    <x:row r="20" ht="27" customHeight="1">
      <x:c r="A20" s="18"/>
      <x:c r="B20" s="18"/>
      <x:c r="C20" s="32"/>
      <x:c r="D20" s="18"/>
      <x:c r="E20" s="18"/>
      <x:c r="F20" s="32"/>
      <x:c r="G20" s="18"/>
      <x:c r="H20" s="18"/>
      <x:c r="I20" s="32"/>
      <x:c r="J20" s="18"/>
    </x:row>
    <x:row r="21" ht="27" customHeight="1">
      <x:c r="A21" s="18"/>
      <x:c r="B21" s="18"/>
      <x:c r="C21" s="32"/>
      <x:c r="D21" s="18"/>
      <x:c r="E21" s="18"/>
      <x:c r="F21" s="32"/>
      <x:c r="G21" s="18"/>
      <x:c r="H21" s="18"/>
      <x:c r="I21" s="32"/>
      <x:c r="J21" s="18"/>
    </x:row>
    <x:row r="22" ht="27" customHeight="1">
      <x:c r="A22" s="18"/>
      <x:c r="B22" s="18"/>
      <x:c r="C22" s="32"/>
      <x:c r="D22" s="18"/>
      <x:c r="E22" s="18"/>
      <x:c r="F22" s="32"/>
      <x:c r="G22" s="18"/>
      <x:c r="H22" s="18"/>
      <x:c r="I22" s="32"/>
      <x:c r="J22" s="18"/>
    </x:row>
    <x:row r="23" ht="27" customHeight="1">
      <x:c r="A23" s="18"/>
      <x:c r="B23" s="18"/>
      <x:c r="C23" s="32"/>
      <x:c r="D23" s="18"/>
      <x:c r="E23" s="18"/>
      <x:c r="F23" s="32"/>
      <x:c r="G23" s="18"/>
      <x:c r="H23" s="18"/>
      <x:c r="I23" s="32"/>
      <x:c r="J23" s="18"/>
    </x:row>
    <x:row r="24" ht="27" customHeight="1">
      <x:c r="A24" s="18"/>
      <x:c r="B24" s="18"/>
      <x:c r="C24" s="32"/>
      <x:c r="D24" s="18"/>
      <x:c r="E24" s="18"/>
      <x:c r="F24" s="32"/>
      <x:c r="G24" s="18"/>
      <x:c r="H24" s="18"/>
      <x:c r="I24" s="32"/>
      <x:c r="J24" s="18"/>
    </x:row>
    <x:row r="25" ht="27" customHeight="1">
      <x:c r="A25" s="18"/>
      <x:c r="B25" s="18"/>
      <x:c r="C25" s="32"/>
      <x:c r="D25" s="18"/>
      <x:c r="E25" s="18"/>
      <x:c r="F25" s="32"/>
      <x:c r="G25" s="18"/>
      <x:c r="H25" s="18"/>
      <x:c r="I25" s="32"/>
      <x:c r="J25" s="18"/>
    </x:row>
    <x:row r="26" ht="27" customHeight="1">
      <x:c r="A26" s="18"/>
      <x:c r="B26" s="18"/>
      <x:c r="C26" s="32"/>
      <x:c r="D26" s="18"/>
      <x:c r="E26" s="18"/>
      <x:c r="F26" s="32"/>
      <x:c r="G26" s="18"/>
      <x:c r="H26" s="18"/>
      <x:c r="I26" s="32"/>
      <x:c r="J26" s="18"/>
    </x:row>
    <x:row r="27" ht="27" customHeight="1">
      <x:c r="A27" s="18"/>
      <x:c r="B27" s="18"/>
      <x:c r="C27" s="32"/>
      <x:c r="D27" s="18"/>
      <x:c r="E27" s="18"/>
      <x:c r="F27" s="32"/>
      <x:c r="G27" s="18"/>
      <x:c r="H27" s="18"/>
      <x:c r="I27" s="32"/>
      <x:c r="J27" s="18"/>
    </x:row>
    <x:row r="28" ht="27" customHeight="1">
      <x:c r="A28" s="18"/>
      <x:c r="B28" s="18"/>
      <x:c r="C28" s="32"/>
      <x:c r="D28" s="18"/>
      <x:c r="E28" s="18"/>
      <x:c r="F28" s="32"/>
      <x:c r="G28" s="18"/>
      <x:c r="H28" s="18"/>
      <x:c r="I28" s="32"/>
      <x:c r="J28" s="18"/>
    </x:row>
    <x:row r="29" ht="27" customHeight="1">
      <x:c r="A29" s="18"/>
      <x:c r="B29" s="18"/>
      <x:c r="C29" s="32"/>
      <x:c r="D29" s="18"/>
      <x:c r="E29" s="18"/>
      <x:c r="F29" s="32"/>
      <x:c r="G29" s="18"/>
      <x:c r="H29" s="18"/>
      <x:c r="I29" s="32"/>
      <x:c r="J29" s="18"/>
    </x:row>
    <x:row r="30" ht="27" customHeight="1">
      <x:c r="A30" s="18"/>
      <x:c r="B30" s="18"/>
      <x:c r="C30" s="32"/>
      <x:c r="D30" s="18"/>
      <x:c r="E30" s="18"/>
      <x:c r="F30" s="32"/>
      <x:c r="G30" s="18"/>
      <x:c r="H30" s="18"/>
      <x:c r="I30" s="32"/>
      <x:c r="J30" s="18"/>
    </x:row>
    <x:row r="31" ht="27" customHeight="1">
      <x:c r="A31" s="18"/>
      <x:c r="B31" s="18"/>
      <x:c r="C31" s="32"/>
      <x:c r="D31" s="18"/>
      <x:c r="E31" s="18"/>
      <x:c r="F31" s="32"/>
      <x:c r="G31" s="18"/>
      <x:c r="H31" s="18"/>
      <x:c r="I31" s="32"/>
      <x:c r="J31" s="18"/>
    </x:row>
    <x:row r="32" ht="27" customHeight="1">
      <x:c r="A32" s="18"/>
      <x:c r="B32" s="18"/>
      <x:c r="C32" s="32"/>
      <x:c r="D32" s="18"/>
      <x:c r="E32" s="18"/>
      <x:c r="F32" s="32"/>
      <x:c r="G32" s="18"/>
      <x:c r="H32" s="18"/>
      <x:c r="I32" s="32"/>
      <x:c r="J32" s="18"/>
    </x:row>
    <x:row r="33" ht="27" customHeight="1">
      <x:c r="A33" s="18"/>
      <x:c r="B33" s="18"/>
      <x:c r="C33" s="32"/>
      <x:c r="D33" s="18"/>
      <x:c r="E33" s="18"/>
      <x:c r="F33" s="32"/>
      <x:c r="G33" s="18"/>
      <x:c r="H33" s="18"/>
      <x:c r="I33" s="32"/>
      <x:c r="J33" s="18"/>
    </x:row>
    <x:row r="34" ht="27" customHeight="1">
      <x:c r="A34" s="18"/>
      <x:c r="B34" s="18"/>
      <x:c r="C34" s="32"/>
      <x:c r="D34" s="18"/>
      <x:c r="E34" s="18"/>
      <x:c r="F34" s="32"/>
      <x:c r="G34" s="18"/>
      <x:c r="H34" s="18"/>
      <x:c r="I34" s="32"/>
      <x:c r="J34" s="18"/>
    </x:row>
    <x:row r="35" ht="27" customHeight="1">
      <x:c r="A35" s="18"/>
      <x:c r="B35" s="18"/>
      <x:c r="C35" s="32"/>
      <x:c r="D35" s="18"/>
      <x:c r="E35" s="18"/>
      <x:c r="F35" s="32"/>
      <x:c r="G35" s="18"/>
      <x:c r="H35" s="18"/>
      <x:c r="I35" s="32"/>
      <x:c r="J35" s="18"/>
    </x:row>
    <x:row r="36" ht="27" customHeight="1">
      <x:c r="A36" s="18"/>
      <x:c r="B36" s="18"/>
      <x:c r="C36" s="32"/>
      <x:c r="D36" s="18"/>
      <x:c r="E36" s="18"/>
      <x:c r="F36" s="32"/>
      <x:c r="G36" s="18"/>
      <x:c r="H36" s="18"/>
      <x:c r="I36" s="32"/>
      <x:c r="J36" s="18"/>
    </x:row>
    <x:row r="37" ht="27" customHeight="1">
      <x:c r="A37" s="18"/>
      <x:c r="B37" s="18"/>
      <x:c r="C37" s="32"/>
      <x:c r="D37" s="18"/>
      <x:c r="E37" s="18"/>
      <x:c r="F37" s="32"/>
      <x:c r="G37" s="18"/>
      <x:c r="H37" s="18"/>
      <x:c r="I37" s="32"/>
      <x:c r="J37" s="18"/>
    </x:row>
    <x:row r="38" ht="27" customHeight="1">
      <x:c r="A38" s="18"/>
      <x:c r="B38" s="18"/>
      <x:c r="C38" s="32"/>
      <x:c r="D38" s="18"/>
      <x:c r="E38" s="18"/>
      <x:c r="F38" s="32"/>
      <x:c r="G38" s="18"/>
      <x:c r="H38" s="18"/>
      <x:c r="I38" s="32"/>
      <x:c r="J38" s="18"/>
    </x:row>
    <x:row r="39" ht="27" customHeight="1">
      <x:c r="A39" s="18"/>
      <x:c r="B39" s="18"/>
      <x:c r="C39" s="32"/>
      <x:c r="D39" s="18"/>
      <x:c r="E39" s="18"/>
      <x:c r="F39" s="32"/>
      <x:c r="G39" s="18"/>
      <x:c r="H39" s="18"/>
      <x:c r="I39" s="32"/>
      <x:c r="J39" s="18"/>
    </x:row>
    <x:row r="40" ht="27" customHeight="1">
      <x:c r="A40" s="18"/>
      <x:c r="B40" s="18"/>
      <x:c r="C40" s="32"/>
      <x:c r="D40" s="18"/>
      <x:c r="E40" s="18"/>
      <x:c r="F40" s="32"/>
      <x:c r="G40" s="18"/>
      <x:c r="H40" s="18"/>
      <x:c r="I40" s="32"/>
      <x:c r="J40" s="18"/>
    </x:row>
    <x:row r="41" ht="27" customHeight="1">
      <x:c r="A41" s="18"/>
      <x:c r="B41" s="18"/>
      <x:c r="C41" s="32"/>
      <x:c r="D41" s="18"/>
      <x:c r="E41" s="18"/>
      <x:c r="F41" s="32"/>
      <x:c r="G41" s="18"/>
      <x:c r="H41" s="18"/>
      <x:c r="I41" s="32"/>
      <x:c r="J41" s="18"/>
    </x:row>
    <x:row r="42" ht="27" customHeight="1">
      <x:c r="A42" s="18"/>
      <x:c r="B42" s="18"/>
      <x:c r="C42" s="32"/>
      <x:c r="D42" s="18"/>
      <x:c r="E42" s="18"/>
      <x:c r="F42" s="32"/>
      <x:c r="G42" s="18"/>
      <x:c r="H42" s="18"/>
      <x:c r="I42" s="32"/>
      <x:c r="J42" s="18"/>
    </x:row>
    <x:row r="43" ht="27" customHeight="1">
      <x:c r="A43" s="18"/>
      <x:c r="B43" s="18"/>
      <x:c r="C43" s="32"/>
      <x:c r="D43" s="18"/>
      <x:c r="E43" s="18"/>
      <x:c r="F43" s="32"/>
      <x:c r="G43" s="18"/>
      <x:c r="H43" s="18"/>
      <x:c r="I43" s="32"/>
      <x:c r="J43" s="18"/>
    </x:row>
    <x:row r="44" ht="27" customHeight="1">
      <x:c r="A44" s="18"/>
      <x:c r="B44" s="18"/>
      <x:c r="C44" s="32"/>
      <x:c r="D44" s="18"/>
      <x:c r="E44" s="18"/>
      <x:c r="F44" s="32"/>
      <x:c r="G44" s="18"/>
      <x:c r="H44" s="18"/>
      <x:c r="I44" s="32"/>
      <x:c r="J44" s="18"/>
    </x:row>
    <x:row r="45" ht="27" customHeight="1">
      <x:c r="A45" s="18"/>
      <x:c r="B45" s="18"/>
      <x:c r="C45" s="32"/>
      <x:c r="D45" s="18"/>
      <x:c r="E45" s="18"/>
      <x:c r="F45" s="32"/>
      <x:c r="G45" s="18"/>
      <x:c r="H45" s="18"/>
      <x:c r="I45" s="32"/>
      <x:c r="J45" s="18"/>
    </x:row>
  </x:sheetData>
  <x:mergeCells>
    <x:mergeCell ref="A1:J2"/>
    <x:mergeCell ref="A3:J3"/>
    <x:mergeCell ref="A4:J4"/>
  </x:mergeCells>
  <x:dataValidations count="2">
    <x:dataValidation type="whole" sqref="F6:F45">
      <x:formula1>0</x:formula1>
    </x:dataValidation>
    <x:dataValidation type="list" sqref="H6:H45">
      <x:formula1>"Pendiente,En revisión,Validado"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c8a7a33870493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56" hidden="0" customWidth="1"/>
    <x:col min="3" max="3" width="24" hidden="0" customWidth="1"/>
    <x:col min="4" max="4" width="19" hidden="0" customWidth="1"/>
    <x:col min="5" max="5" width="18" hidden="0" customWidth="1"/>
    <x:col min="6" max="6" width="21" hidden="0" customWidth="1"/>
    <x:col min="7" max="7" width="22" hidden="0" customWidth="1"/>
    <x:col min="8" max="8" width="20" hidden="0" customWidth="1"/>
    <x:col min="9" max="9" width="20" hidden="0" customWidth="1"/>
    <x:col min="10" max="10" width="20" hidden="0" customWidth="1"/>
    <x:col min="11" max="11" width="22" hidden="0" customWidth="1"/>
    <x:col min="12" max="12" width="21" hidden="0" customWidth="1"/>
    <x:col min="13" max="13" width="22" hidden="0" customWidth="1"/>
    <x:col min="14" max="14" width="19" hidden="0" customWidth="1"/>
    <x:col min="15" max="15" width="47" hidden="0" customWidth="1"/>
    <x:col min="16" max="16" width="43" hidden="0" customWidth="1"/>
    <x:col min="17" max="17" width="26" hidden="0" customWidth="1"/>
    <x:col min="18" max="18" width="26" hidden="0" customWidth="1"/>
  </x:cols>
  <x:sheetData>
    <x:row r="1" ht="35" customHeight="1">
      <x:c r="A1" s="49" t="str">
        <x:v>RESULTADOS POR ESCENARIO — SIN DATOS OBSERVADOS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</x:row>
    <x:row r="2" ht="30" customHeight="1">
      <x:c r="A2" s="52" t="str">
        <x:v>Los resultados deben provenir de logs de ejecución identificables; NO reutilizar P95 agregado ni tasa http_req_failed como OP-01.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</x:row>
    <x:row r="4" ht="39" customHeight="1">
      <x:c r="A4" s="56" t="str">
        <x:v>Código ET</x:v>
      </x:c>
      <x:c r="B4" s="56" t="str">
        <x:v>Ruta / operación</x:v>
      </x:c>
      <x:c r="C4" s="56" t="str">
        <x:v>n observaciones planificadas</x:v>
      </x:c>
      <x:c r="D4" s="56" t="str">
        <x:v>n registradas</x:v>
      </x:c>
      <x:c r="E4" s="56" t="str">
        <x:v>n válidas</x:v>
      </x:c>
      <x:c r="F4" s="56" t="str">
        <x:v>n excluidas justificadas</x:v>
      </x:c>
      <x:c r="G4" s="56" t="str">
        <x:v>Fallos atribuibles sistema</x:v>
      </x:c>
      <x:c r="H4" s="56" t="str">
        <x:v>P95 medido (ms)</x:v>
      </x:c>
      <x:c r="I4" s="56" t="str">
        <x:v>P99 medido (ms)</x:v>
      </x:c>
      <x:c r="J4" s="56" t="str">
        <x:v>OP-01 por 1.000</x:v>
      </x:c>
      <x:c r="K4" s="56" t="str">
        <x:v>Criterio P95 aprobado</x:v>
      </x:c>
      <x:c r="L4" s="56" t="str">
        <x:v>Criterio P99 aprobado</x:v>
      </x:c>
      <x:c r="M4" s="56" t="str">
        <x:v>Estado comparativo</x:v>
      </x:c>
      <x:c r="N4" s="56" t="str">
        <x:v>Fecha ejecución</x:v>
      </x:c>
      <x:c r="O4" s="56" t="str">
        <x:v>Evidencia cruda / hash</x:v>
      </x:c>
      <x:c r="P4" s="56" t="str">
        <x:v>Notas técnicas</x:v>
      </x:c>
      <x:c r="Q4" s="59" t="str">
        <x:v>Comparador P95 aprobado</x:v>
      </x:c>
      <x:c r="R4" s="59" t="str">
        <x:v>Comparador P99 aprobado</x:v>
      </x:c>
    </x:row>
    <x:row r="5" ht="46" customHeight="1">
      <x:c r="A5" s="18" t="str">
        <x:v>ET-01</x:v>
      </x:c>
      <x:c r="B5" s="18" t="str">
        <x:v>/api/v1/reportes/dashboard</x:v>
      </x:c>
      <x:c r="C5" s="18"/>
      <x:c r="D5" s="18"/>
      <x:c r="E5" s="18"/>
      <x:c r="F5" s="18"/>
      <x:c r="G5" s="18"/>
      <x:c r="H5" s="18"/>
      <x:c r="I5" s="18"/>
      <x:c r="J5" s="18" t="str">
        <x:f>""</x:f>
      </x:c>
      <x:c r="K5" s="18"/>
      <x:c r="L5" s="18"/>
      <x:c r="M5" s="18" t="str">
        <x:f>IF(OR(E5="",E5&lt;=0,O5="",N5="",NOT(ISNUMBER(H5)),NOT(ISNUMBER(I5)),NOT(ISNUMBER(K5)),NOT(ISNUMBER(L5)),Q5="",R5=""),"",IF(AND(OR(AND(Q5="&lt;",H5&lt;K5),AND(Q5="&lt;=",H5&lt;=K5)),OR(AND(R5="&lt;",I5&lt;L5),AND(R5="&lt;=",I5&lt;=L5))),"Cumple según protocolo","No cumple según protocolo"))</x:f>
      </x:c>
      <x:c r="N5" s="18"/>
      <x:c r="O5" s="18"/>
      <x:c r="P5" s="18"/>
    </x:row>
    <x:row r="6" ht="46" customHeight="1">
      <x:c r="A6" s="18" t="str">
        <x:v>ET-02</x:v>
      </x:c>
      <x:c r="B6" s="18" t="str">
        <x:v>/api/v1/cierres-contables</x:v>
      </x:c>
      <x:c r="C6" s="18"/>
      <x:c r="D6" s="18"/>
      <x:c r="E6" s="18"/>
      <x:c r="F6" s="18"/>
      <x:c r="G6" s="18"/>
      <x:c r="H6" s="18"/>
      <x:c r="I6" s="18"/>
      <x:c r="J6" s="18" t="str">
        <x:f>""</x:f>
      </x:c>
      <x:c r="K6" s="18"/>
      <x:c r="L6" s="18"/>
      <x:c r="M6" s="18" t="str">
        <x:f>IF(OR(E6="",E6&lt;=0,O6="",N6="",NOT(ISNUMBER(H6)),NOT(ISNUMBER(I6)),NOT(ISNUMBER(K6)),NOT(ISNUMBER(L6)),Q6="",R6=""),"",IF(AND(OR(AND(Q6="&lt;",H6&lt;K6),AND(Q6="&lt;=",H6&lt;=K6)),OR(AND(R6="&lt;",I6&lt;L6),AND(R6="&lt;=",I6&lt;=L6))),"Cumple según protocolo","No cumple según protocolo"))</x:f>
      </x:c>
      <x:c r="N6" s="18"/>
      <x:c r="O6" s="18"/>
      <x:c r="P6" s="18"/>
    </x:row>
    <x:row r="7" ht="46" customHeight="1">
      <x:c r="A7" s="18" t="str">
        <x:v>ET-03</x:v>
      </x:c>
      <x:c r="B7" s="18" t="str">
        <x:v>POST /api/v1/avances</x:v>
      </x:c>
      <x:c r="C7" s="18"/>
      <x:c r="D7" s="18"/>
      <x:c r="E7" s="18"/>
      <x:c r="F7" s="18"/>
      <x:c r="G7" s="18"/>
      <x:c r="H7" s="18"/>
      <x:c r="I7" s="18"/>
      <x:c r="J7" s="18" t="str">
        <x:f>IF(OR(NOT(ISNUMBER(E7)),E7&lt;=0,NOT(ISNUMBER(G7)),G7&lt;0,G7&gt;E7),"",G7/E7*1000)</x:f>
      </x:c>
      <x:c r="K7" s="18"/>
      <x:c r="L7" s="18"/>
      <x:c r="M7" s="18" t="str">
        <x:f>IF(OR(E7="",E7&lt;=0,O7="",N7="",NOT(ISNUMBER(H7)),NOT(ISNUMBER(I7)),NOT(ISNUMBER(K7)),NOT(ISNUMBER(L7)),Q7="",R7=""),"",IF(AND(OR(AND(Q7="&lt;",H7&lt;K7),AND(Q7="&lt;=",H7&lt;=K7)),OR(AND(R7="&lt;",I7&lt;L7),AND(R7="&lt;=",I7&lt;=L7))),"Cumple según protocolo","No cumple según protocolo"))</x:f>
      </x:c>
      <x:c r="N7" s="18"/>
      <x:c r="O7" s="18"/>
      <x:c r="P7" s="18"/>
    </x:row>
    <x:row r="8" ht="46" customHeight="1">
      <x:c r="A8" s="18" t="str">
        <x:v>ET-04</x:v>
      </x:c>
      <x:c r="B8" s="18" t="str">
        <x:v>POST /api/v1/consumo/proyectos/:idProyecto/consumir</x:v>
      </x:c>
      <x:c r="C8" s="18"/>
      <x:c r="D8" s="18"/>
      <x:c r="E8" s="18"/>
      <x:c r="F8" s="18"/>
      <x:c r="G8" s="18"/>
      <x:c r="H8" s="18"/>
      <x:c r="I8" s="18"/>
      <x:c r="J8" s="18" t="str">
        <x:f>IF(OR(NOT(ISNUMBER(E8)),E8&lt;=0,NOT(ISNUMBER(G8)),G8&lt;0,G8&gt;E8),"",G8/E8*1000)</x:f>
      </x:c>
      <x:c r="K8" s="18"/>
      <x:c r="L8" s="18"/>
      <x:c r="M8" s="18" t="str">
        <x:f>IF(OR(E8="",E8&lt;=0,O8="",N8="",NOT(ISNUMBER(H8)),NOT(ISNUMBER(I8)),NOT(ISNUMBER(K8)),NOT(ISNUMBER(L8)),Q8="",R8=""),"",IF(AND(OR(AND(Q8="&lt;",H8&lt;K8),AND(Q8="&lt;=",H8&lt;=K8)),OR(AND(R8="&lt;",I8&lt;L8),AND(R8="&lt;=",I8&lt;=L8))),"Cumple según protocolo","No cumple según protocolo"))</x:f>
      </x:c>
      <x:c r="N8" s="18"/>
      <x:c r="O8" s="18"/>
      <x:c r="P8" s="18"/>
    </x:row>
    <x:row r="9" ht="46" customHeight="1">
      <x:c r="A9" s="18" t="str">
        <x:v>ET-05</x:v>
      </x:c>
      <x:c r="B9" s="18" t="str">
        <x:v>POST /api/v1/bodega/proyectos/:idProyecto/requerimientos/:idRequerimiento/recepcionar</x:v>
      </x:c>
      <x:c r="C9" s="18"/>
      <x:c r="D9" s="18"/>
      <x:c r="E9" s="18"/>
      <x:c r="F9" s="18"/>
      <x:c r="G9" s="18"/>
      <x:c r="H9" s="18"/>
      <x:c r="I9" s="18"/>
      <x:c r="J9" s="18" t="str">
        <x:f>IF(OR(NOT(ISNUMBER(E9)),E9&lt;=0,NOT(ISNUMBER(G9)),G9&lt;0,G9&gt;E9),"",G9/E9*1000)</x:f>
      </x:c>
      <x:c r="K9" s="18"/>
      <x:c r="L9" s="18"/>
      <x:c r="M9" s="18" t="str">
        <x:f>IF(OR(E9="",E9&lt;=0,O9="",N9="",NOT(ISNUMBER(H9)),NOT(ISNUMBER(I9)),NOT(ISNUMBER(K9)),NOT(ISNUMBER(L9)),Q9="",R9=""),"",IF(AND(OR(AND(Q9="&lt;",H9&lt;K9),AND(Q9="&lt;=",H9&lt;=K9)),OR(AND(R9="&lt;",I9&lt;L9),AND(R9="&lt;=",I9&lt;=L9))),"Cumple según protocolo","No cumple según protocolo"))</x:f>
      </x:c>
      <x:c r="N9" s="18"/>
      <x:c r="O9" s="18"/>
      <x:c r="P9" s="18"/>
    </x:row>
  </x:sheetData>
  <x:mergeCells>
    <x:mergeCell ref="A1:P1"/>
    <x:mergeCell ref="A2:P2"/>
  </x:mergeCells>
  <x:dataValidations count="2">
    <x:dataValidation type="list" sqref="A5:A50">
      <x:formula1>"ET-01,ET-02,ET-03,ET-04,ET-05"</x:formula1>
    </x:dataValidation>
    <x:dataValidation type="list" sqref="Q5:R25">
      <x:formula1>"&lt;,&lt;="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40" hidden="0" customWidth="1"/>
    <x:col min="4" max="4" width="64" hidden="0" customWidth="1"/>
    <x:col min="5" max="5" width="25" hidden="0" customWidth="1"/>
    <x:col min="6" max="6" width="48" hidden="0" customWidth="1"/>
    <x:col min="7" max="7" width="13" hidden="0" customWidth="1"/>
    <x:col min="8" max="8" width="15" hidden="0" customWidth="1"/>
    <x:col min="9" max="9" width="19" hidden="0" customWidth="1"/>
    <x:col min="10" max="10" width="52" hidden="0" customWidth="1"/>
  </x:cols>
  <x:sheetData>
    <x:row r="1" ht="35" customHeight="1">
      <x:c r="A1" s="49" t="str">
        <x:v>CONTROL DE ESPACIOS EN BLANCO Y DECISIONES PENDIENTES</x:v>
      </x:c>
      <x:c r="B1" s="49"/>
      <x:c r="C1" s="49"/>
      <x:c r="D1" s="49"/>
      <x:c r="E1" s="49"/>
      <x:c r="F1" s="49"/>
      <x:c r="G1" s="49"/>
      <x:c r="H1" s="49"/>
      <x:c r="I1" s="49"/>
      <x:c r="J1" s="49"/>
    </x:row>
    <x:row r="2" ht="30" customHeight="1">
      <x:c r="A2" s="52" t="str">
        <x:v>Cada línea explica un campo o conjunto homogéneo de celdas que debe continuar vacío hasta disponer de respaldo. No supone aprobación del director.</x:v>
      </x:c>
      <x:c r="B2" s="52"/>
      <x:c r="C2" s="52"/>
      <x:c r="D2" s="52"/>
      <x:c r="E2" s="52"/>
      <x:c r="F2" s="52"/>
      <x:c r="G2" s="52"/>
      <x:c r="H2" s="52"/>
      <x:c r="I2" s="52"/>
      <x:c r="J2" s="52"/>
    </x:row>
    <x:row r="4" ht="37" customHeight="1">
      <x:c r="A4" s="56" t="str">
        <x:v>ID</x:v>
      </x:c>
      <x:c r="B4" s="56" t="str">
        <x:v>Hoja y rango sin completar</x:v>
      </x:c>
      <x:c r="C4" s="56" t="str">
        <x:v>Dato/decisión pendiente</x:v>
      </x:c>
      <x:c r="D4" s="56" t="str">
        <x:v>Qué se necesita para rellenarlo</x:v>
      </x:c>
      <x:c r="E4" s="56" t="str">
        <x:v>Responsable de verificar</x:v>
      </x:c>
      <x:c r="F4" s="56" t="str">
        <x:v>Fuente/evidencia esperada</x:v>
      </x:c>
      <x:c r="G4" s="56" t="str">
        <x:v>Prioridad</x:v>
      </x:c>
      <x:c r="H4" s="56" t="str">
        <x:v>Estado</x:v>
      </x:c>
      <x:c r="I4" s="56" t="str">
        <x:v>Fecha de verificación</x:v>
      </x:c>
      <x:c r="J4" s="56" t="str">
        <x:v>Ruta o referencia de evidencia</x:v>
      </x:c>
    </x:row>
    <x:row r="5" ht="46" customHeight="1">
      <x:c r="A5" s="18" t="str">
        <x:v>P-01</x:v>
      </x:c>
      <x:c r="B5" s="18" t="str">
        <x:v>02_ESCENARIOS!H6:I11</x:v>
      </x:c>
      <x:c r="C5" s="18" t="str">
        <x:v>Datos concretos para reproducir cada escenario</x:v>
      </x:c>
      <x:c r="D5" s="18" t="str">
        <x:v>Fijar proyecto/prueba, usuario autorizado, semilla de datos, respuesta de negocio válida y estado esperado</x:v>
      </x:c>
      <x:c r="E5" s="18" t="str">
        <x:v>Equipo técnico</x:v>
      </x:c>
      <x:c r="F5" s="18" t="str">
        <x:v>Plan ET y ambiente staging</x:v>
      </x:c>
      <x:c r="G5" s="18" t="str">
        <x:v>Alta</x:v>
      </x:c>
      <x:c r="H5" s="18" t="str">
        <x:v>Pendiente</x:v>
      </x:c>
      <x:c r="I5" s="18"/>
      <x:c r="J5" s="18"/>
    </x:row>
    <x:row r="6" ht="46" customHeight="1">
      <x:c r="A6" s="18" t="str">
        <x:v>P-02</x:v>
      </x:c>
      <x:c r="B6" s="18" t="str">
        <x:v>02_ESCENARIOS!M6:M11</x:v>
      </x:c>
      <x:c r="C6" s="18" t="str">
        <x:v>Pruebas no ejecutadas</x:v>
      </x:c>
      <x:c r="D6" s="18" t="str">
        <x:v>Registrar sesión, fecha, repositorio de evidencia y resultado tras ensayo real</x:v>
      </x:c>
      <x:c r="E6" s="18" t="str">
        <x:v>Equipo de pruebas</x:v>
      </x:c>
      <x:c r="F6" s="18" t="str">
        <x:v>Evidencia k6/API/monitor</x:v>
      </x:c>
      <x:c r="G6" s="18" t="str">
        <x:v>Alta</x:v>
      </x:c>
      <x:c r="H6" s="18" t="str">
        <x:v>Pendiente</x:v>
      </x:c>
      <x:c r="I6" s="18"/>
      <x:c r="J6" s="18"/>
    </x:row>
    <x:row r="7" ht="46" customHeight="1">
      <x:c r="A7" s="18" t="str">
        <x:v>P-03</x:v>
      </x:c>
      <x:c r="B7" s="18" t="str">
        <x:v>03_CONFIG_CARGA!B17:B18</x:v>
      </x:c>
      <x:c r="C7" s="18" t="str">
        <x:v>Ambiente y evidencia de ejecución</x:v>
      </x:c>
      <x:c r="D7" s="18" t="str">
        <x:v>Identificar infraestructura, servicios desplegados, commit, hora, parámetros y log k6</x:v>
      </x:c>
      <x:c r="E7" s="18" t="str">
        <x:v>Equipo técnico</x:v>
      </x:c>
      <x:c r="F7" s="18" t="str">
        <x:v>Ambiente 3.6 y salidas k6</x:v>
      </x:c>
      <x:c r="G7" s="18" t="str">
        <x:v>Alta</x:v>
      </x:c>
      <x:c r="H7" s="18" t="str">
        <x:v>Pendiente</x:v>
      </x:c>
      <x:c r="I7" s="18"/>
      <x:c r="J7" s="18"/>
    </x:row>
    <x:row r="8" ht="46" customHeight="1">
      <x:c r="A8" s="18" t="str">
        <x:v>P-04</x:v>
      </x:c>
      <x:c r="B8" s="18" t="str">
        <x:v>03_CONFIG_CARGA!B24; 05_DISPONIBILIDAD!L7</x:v>
      </x:c>
      <x:c r="C8" s="18" t="str">
        <x:v>Umbral mensual en disputa</x:v>
      </x:c>
      <x:c r="D8" s="18" t="str">
        <x:v>Resolver 99 % mensual en SRS versus 99,5 % en matriz previa con el director</x:v>
      </x:c>
      <x:c r="E8" s="18" t="str">
        <x:v>Director académico</x:v>
      </x:c>
      <x:c r="F8" s="18" t="str">
        <x:v>Anteproyecto aprobado, SRS vigente y acta</x:v>
      </x:c>
      <x:c r="G8" s="18" t="str">
        <x:v>Crítica</x:v>
      </x:c>
      <x:c r="H8" s="18" t="str">
        <x:v>Pendiente</x:v>
      </x:c>
      <x:c r="I8" s="18"/>
      <x:c r="J8" s="18"/>
    </x:row>
    <x:row r="9" ht="46" customHeight="1">
      <x:c r="A9" s="18" t="str">
        <x:v>P-05</x:v>
      </x:c>
      <x:c r="B9" s="18" t="str">
        <x:v>03_CONFIG_CARGA!B25</x:v>
      </x:c>
      <x:c r="C9" s="18" t="str">
        <x:v>Comparador P95 no homologado</x:v>
      </x:c>
      <x:c r="D9" s="18" t="str">
        <x:v>Aprobar ≤2000 ms o &lt;2000 ms; documentar mismo criterio en script, matriz y tesis</x:v>
      </x:c>
      <x:c r="E9" s="18" t="str">
        <x:v>Director + equipo técnico</x:v>
      </x:c>
      <x:c r="F9" s="18" t="str">
        <x:v>SRS, script y protocolo firmado</x:v>
      </x:c>
      <x:c r="G9" s="18" t="str">
        <x:v>Alta</x:v>
      </x:c>
      <x:c r="H9" s="18" t="str">
        <x:v>Pendiente</x:v>
      </x:c>
      <x:c r="I9" s="18"/>
      <x:c r="J9" s="18"/>
    </x:row>
    <x:row r="10" ht="46" customHeight="1">
      <x:c r="A10" s="18" t="str">
        <x:v>P-06</x:v>
      </x:c>
      <x:c r="B10" s="18" t="str">
        <x:v>03_CONFIG_CARGA!B26; 07_RESULTADOS_POR_ET!L5:L6</x:v>
      </x:c>
      <x:c r="C10" s="18" t="str">
        <x:v>Criterio P99 de trabajo requiere aceptación formal</x:v>
      </x:c>
      <x:c r="D10" s="18" t="str">
        <x:v>Confirmar P99 &lt;5000 ms y comparador por endpoint</x:v>
      </x:c>
      <x:c r="E10" s="18" t="str">
        <x:v>Director + equipo técnico</x:v>
      </x:c>
      <x:c r="F10" s="18" t="str">
        <x:v>Protocolo aprobado de calidad</x:v>
      </x:c>
      <x:c r="G10" s="18" t="str">
        <x:v>Alta</x:v>
      </x:c>
      <x:c r="H10" s="18" t="str">
        <x:v>Pendiente</x:v>
      </x:c>
      <x:c r="I10" s="18"/>
      <x:c r="J10" s="18"/>
    </x:row>
    <x:row r="11" ht="46" customHeight="1">
      <x:c r="A11" s="18" t="str">
        <x:v>P-07</x:v>
      </x:c>
      <x:c r="B11" s="18" t="str">
        <x:v>04_PLAN_REPETICIONES!D6:D11</x:v>
      </x:c>
      <x:c r="C11" s="18" t="str">
        <x:v>Tamaños previstos n por escenario</x:v>
      </x:c>
      <x:c r="D11" s="18" t="str">
        <x:v>Fijar repeticiones, tamaño de observación, independencia y esquema por fase</x:v>
      </x:c>
      <x:c r="E11" s="18" t="str">
        <x:v>Equipo técnico + director</x:v>
      </x:c>
      <x:c r="F11" s="18" t="str">
        <x:v>Piloto, bibliografía, análisis de precisión</x:v>
      </x:c>
      <x:c r="G11" s="18" t="str">
        <x:v>Alta</x:v>
      </x:c>
      <x:c r="H11" s="18" t="str">
        <x:v>Pendiente</x:v>
      </x:c>
      <x:c r="I11" s="18"/>
      <x:c r="J11" s="18"/>
    </x:row>
    <x:row r="12" ht="46" customHeight="1">
      <x:c r="A12" s="18" t="str">
        <x:v>P-08</x:v>
      </x:c>
      <x:c r="B12" s="18" t="str">
        <x:v>04_PLAN_REPETICIONES!H6:K11</x:v>
      </x:c>
      <x:c r="C12" s="18" t="str">
        <x:v>Método y precisión final de repeticiones</x:v>
      </x:c>
      <x:c r="D12" s="18" t="str">
        <x:v>Justificar P95/P99/OP-01, margen de error/confianza cuando aplique y exclusiones</x:v>
      </x:c>
      <x:c r="E12" s="18" t="str">
        <x:v>Equipo técnico + director</x:v>
      </x:c>
      <x:c r="F12" s="18" t="str">
        <x:v>Protocolo y bibliografía metodológica</x:v>
      </x:c>
      <x:c r="G12" s="18" t="str">
        <x:v>Alta</x:v>
      </x:c>
      <x:c r="H12" s="18" t="str">
        <x:v>Pendiente</x:v>
      </x:c>
      <x:c r="I12" s="18"/>
      <x:c r="J12" s="18"/>
    </x:row>
    <x:row r="13" ht="46" customHeight="1">
      <x:c r="A13" s="18" t="str">
        <x:v>P-09</x:v>
      </x:c>
      <x:c r="B13" s="18" t="str">
        <x:v>04_PLAN_REPETICIONES!M6:M11</x:v>
      </x:c>
      <x:c r="C13" s="18" t="str">
        <x:v>Evidencia de observaciones realizadas</x:v>
      </x:c>
      <x:c r="D13" s="18" t="str">
        <x:v>Asociar cada escenario con artefacto real y resultados medidos</x:v>
      </x:c>
      <x:c r="E13" s="18" t="str">
        <x:v>Equipo técnico</x:v>
      </x:c>
      <x:c r="F13" s="18" t="str">
        <x:v>Logs sin credenciales, hashes, fecha</x:v>
      </x:c>
      <x:c r="G13" s="18" t="str">
        <x:v>Alta</x:v>
      </x:c>
      <x:c r="H13" s="18" t="str">
        <x:v>Pendiente</x:v>
      </x:c>
      <x:c r="I13" s="18"/>
      <x:c r="J13" s="18"/>
    </x:row>
    <x:row r="14" ht="46" customHeight="1">
      <x:c r="A14" s="18" t="str">
        <x:v>P-10</x:v>
      </x:c>
      <x:c r="B14" s="18" t="str">
        <x:v>05_DISPONIBILIDAD!B6:B34</x:v>
      </x:c>
      <x:c r="C14" s="18" t="str">
        <x:v>Qué servicios cubre disponibilidad integral</x:v>
      </x:c>
      <x:c r="D14" s="18" t="str">
        <x:v>Diferenciar backend /health de experiencia real web/PWA/API/DB y fallos parciales</x:v>
      </x:c>
      <x:c r="E14" s="18" t="str">
        <x:v>Equipo de infraestructura</x:v>
      </x:c>
      <x:c r="F14" s="18" t="str">
        <x:v>Definición de servicio y diagrama de despliegue</x:v>
      </x:c>
      <x:c r="G14" s="18" t="str">
        <x:v>Alta</x:v>
      </x:c>
      <x:c r="H14" s="18" t="str">
        <x:v>Pendiente</x:v>
      </x:c>
      <x:c r="I14" s="18"/>
      <x:c r="J14" s="18"/>
    </x:row>
    <x:row r="15" ht="46" customHeight="1">
      <x:c r="A15" s="18" t="str">
        <x:v>P-11</x:v>
      </x:c>
      <x:c r="B15" s="18" t="str">
        <x:v>05_DISPONIBILIDAD!D6:G34</x:v>
      </x:c>
      <x:c r="C15" s="18" t="str">
        <x:v>Fechas, duración planificada y operativa</x:v>
      </x:c>
      <x:c r="D15" s="18" t="str">
        <x:v>Confirmar periodos reales, horarios exigidos y minutos operativos coherentes</x:v>
      </x:c>
      <x:c r="E15" s="18" t="str">
        <x:v>Equipo de infraestructura</x:v>
      </x:c>
      <x:c r="F15" s="18" t="str">
        <x:v>Monitor + bitácora incidentes</x:v>
      </x:c>
      <x:c r="G15" s="18" t="str">
        <x:v>Alta</x:v>
      </x:c>
      <x:c r="H15" s="18" t="str">
        <x:v>Pendiente</x:v>
      </x:c>
      <x:c r="I15" s="18"/>
      <x:c r="J15" s="18"/>
    </x:row>
    <x:row r="16" ht="46" customHeight="1">
      <x:c r="A16" s="18" t="str">
        <x:v>P-12</x:v>
      </x:c>
      <x:c r="B16" s="18" t="str">
        <x:v>05_DISPONIBILIDAD!I6:J34</x:v>
      </x:c>
      <x:c r="C16" s="18" t="str">
        <x:v>Resolución y número de chequeos</x:v>
      </x:c>
      <x:c r="D16" s="18" t="str">
        <x:v>Indicar frecuencia de sondeo, manejo de ausencia de lecturas y cómputo de caídas</x:v>
      </x:c>
      <x:c r="E16" s="18" t="str">
        <x:v>Equipo de infraestructura</x:v>
      </x:c>
      <x:c r="F16" s="18" t="str">
        <x:v>Política de observación y logs de monitoreo</x:v>
      </x:c>
      <x:c r="G16" s="18" t="str">
        <x:v>Alta</x:v>
      </x:c>
      <x:c r="H16" s="18" t="str">
        <x:v>Pendiente</x:v>
      </x:c>
      <x:c r="I16" s="18"/>
      <x:c r="J16" s="18"/>
    </x:row>
    <x:row r="17" ht="46" customHeight="1">
      <x:c r="A17" s="18" t="str">
        <x:v>P-13</x:v>
      </x:c>
      <x:c r="B17" s="18" t="str">
        <x:v>05_DISPONIBILIDAD!N6:N34</x:v>
      </x:c>
      <x:c r="C17" s="18" t="str">
        <x:v>Evidencia y mantenimientos planificados</x:v>
      </x:c>
      <x:c r="D17" s="18" t="str">
        <x:v>Aportar incidentes y ventanas notificadas; no excluir caídas sin justificación</x:v>
      </x:c>
      <x:c r="E17" s="18" t="str">
        <x:v>Equipo de infraestructura</x:v>
      </x:c>
      <x:c r="F17" s="18" t="str">
        <x:v>Notificaciones, tickets, logs</x:v>
      </x:c>
      <x:c r="G17" s="18" t="str">
        <x:v>Alta</x:v>
      </x:c>
      <x:c r="H17" s="18" t="str">
        <x:v>Pendiente</x:v>
      </x:c>
      <x:c r="I17" s="18"/>
      <x:c r="J17" s="18"/>
    </x:row>
    <x:row r="18" ht="46" customHeight="1">
      <x:c r="A18" s="18" t="str">
        <x:v>P-14</x:v>
      </x:c>
      <x:c r="B18" s="18" t="str">
        <x:v>06_PRECISION_Y_CONTROL!C6:C11; F6:F11</x:v>
      </x:c>
      <x:c r="C18" s="18" t="str">
        <x:v>Requisitos de precisión y n total</x:v>
      </x:c>
      <x:c r="D18" s="18" t="str">
        <x:v>Registrar diseño aprobado por indicador, no inventar intervalos ni repeticiones</x:v>
      </x:c>
      <x:c r="E18" s="18" t="str">
        <x:v>Equipo técnico + director</x:v>
      </x:c>
      <x:c r="F18" s="18" t="str">
        <x:v>Anteproyecto y bibliografía</x:v>
      </x:c>
      <x:c r="G18" s="18" t="str">
        <x:v>Alta</x:v>
      </x:c>
      <x:c r="H18" s="18" t="str">
        <x:v>Pendiente</x:v>
      </x:c>
      <x:c r="I18" s="18"/>
      <x:c r="J18" s="18"/>
    </x:row>
    <x:row r="19" ht="46" customHeight="1">
      <x:c r="A19" s="18" t="str">
        <x:v>P-15</x:v>
      </x:c>
      <x:c r="B19" s="18" t="str">
        <x:v>06_PRECISION_Y_CONTROL!I6:I11</x:v>
      </x:c>
      <x:c r="C19" s="18" t="str">
        <x:v>Sustento bibliográfico verificado</x:v>
      </x:c>
      <x:c r="D19" s="18" t="str">
        <x:v>Incorporar referencias metodológicas completas sobre percentiles y tasa de fallos</x:v>
      </x:c>
      <x:c r="E19" s="18" t="str">
        <x:v>Equipo investigador</x:v>
      </x:c>
      <x:c r="F19" s="18" t="str">
        <x:v>Fuentes académicas</x:v>
      </x:c>
      <x:c r="G19" s="18" t="str">
        <x:v>Media</x:v>
      </x:c>
      <x:c r="H19" s="18" t="str">
        <x:v>Pendiente</x:v>
      </x:c>
      <x:c r="I19" s="18"/>
      <x:c r="J19" s="18"/>
    </x:row>
    <x:row r="20" ht="46" customHeight="1">
      <x:c r="A20" s="18" t="str">
        <x:v>P-16</x:v>
      </x:c>
      <x:c r="B20" s="18" t="str">
        <x:v>07_RESULTADOS_POR_ET!C5:I9</x:v>
      </x:c>
      <x:c r="C20" s="18" t="str">
        <x:v>n, exclusiones, fallos y percentiles sin ejecutar</x:v>
      </x:c>
      <x:c r="D20" s="18" t="str">
        <x:v>Ejecutar pruebas por endpoint y registrar muestras válidas; P99 con distribución de cola</x:v>
      </x:c>
      <x:c r="E20" s="18" t="str">
        <x:v>Equipo técnico</x:v>
      </x:c>
      <x:c r="F20" s="18" t="str">
        <x:v>Salida k6 etiquetada / bitácora de operaciones</x:v>
      </x:c>
      <x:c r="G20" s="18" t="str">
        <x:v>Alta</x:v>
      </x:c>
      <x:c r="H20" s="18" t="str">
        <x:v>Pendiente</x:v>
      </x:c>
      <x:c r="I20" s="18"/>
      <x:c r="J20" s="18"/>
    </x:row>
    <x:row r="21" ht="46" customHeight="1">
      <x:c r="A21" s="18" t="str">
        <x:v>P-17</x:v>
      </x:c>
      <x:c r="B21" s="18" t="str">
        <x:v>07_RESULTADOS_POR_ET!K5:L9</x:v>
      </x:c>
      <x:c r="C21" s="18" t="str">
        <x:v>Umbrales por endpoint aún no aprobados</x:v>
      </x:c>
      <x:c r="D21" s="18" t="str">
        <x:v>Registrar criterios de comparación según fuente autorizada y selección aprobada</x:v>
      </x:c>
      <x:c r="E21" s="18" t="str">
        <x:v>Director académico</x:v>
      </x:c>
      <x:c r="F21" s="18" t="str">
        <x:v>Resolución del criterio P95/P99</x:v>
      </x:c>
      <x:c r="G21" s="18" t="str">
        <x:v>Alta</x:v>
      </x:c>
      <x:c r="H21" s="18" t="str">
        <x:v>Pendiente</x:v>
      </x:c>
      <x:c r="I21" s="18"/>
      <x:c r="J21" s="18"/>
    </x:row>
    <x:row r="22" ht="46" customHeight="1">
      <x:c r="A22" s="18" t="str">
        <x:v>P-18</x:v>
      </x:c>
      <x:c r="B22" s="18" t="str">
        <x:v>07_RESULTADOS_POR_ET!N5:O9</x:v>
      </x:c>
      <x:c r="C22" s="18" t="str">
        <x:v>Fecha y evidencia individual por ET</x:v>
      </x:c>
      <x:c r="D22" s="18" t="str">
        <x:v>Vincular mediciones a run ID, salida cruda y hash/archivo</x:v>
      </x:c>
      <x:c r="E22" s="18" t="str">
        <x:v>Equipo técnico</x:v>
      </x:c>
      <x:c r="F22" s="18" t="str">
        <x:v>Logs de campaña de pruebas</x:v>
      </x:c>
      <x:c r="G22" s="18" t="str">
        <x:v>Alta</x:v>
      </x:c>
      <x:c r="H22" s="18" t="str">
        <x:v>Pendiente</x:v>
      </x:c>
      <x:c r="I22" s="18"/>
      <x:c r="J22" s="18"/>
    </x:row>
    <x:row r="23" ht="46" customHeight="1">
      <x:c r="A23" s="18" t="str">
        <x:v>P-19</x:v>
      </x:c>
      <x:c r="B23" s="18" t="str">
        <x:v>07_RESULTADOS_POR_ET!G7:G9</x:v>
      </x:c>
      <x:c r="C23" s="18" t="str">
        <x:v>Clasificación de fallo atribuible sistema</x:v>
      </x:c>
      <x:c r="D23" s="18" t="str">
        <x:v>Clasificar resultado esperado versus fallo técnico; 401/403/409/422 esperados no se incluyen</x:v>
      </x:c>
      <x:c r="E23" s="18" t="str">
        <x:v>Equipo de pruebas</x:v>
      </x:c>
      <x:c r="F23" s="18" t="str">
        <x:v>Manual de clasificación e incidencias</x:v>
      </x:c>
      <x:c r="G23" s="18" t="str">
        <x:v>Alta</x:v>
      </x:c>
      <x:c r="H23" s="18" t="str">
        <x:v>Pendiente</x:v>
      </x:c>
      <x:c r="I23" s="18"/>
      <x:c r="J23" s="18"/>
    </x:row>
    <x:row r="24">
      <x:c r="A24" t="str">
        <x:v>P-20</x:v>
      </x:c>
      <x:c r="B24" t="str">
        <x:v>07_RESULTADOS_POR_ET!Q5:R9</x:v>
      </x:c>
      <x:c r="C24" t="str">
        <x:v>Comparadores por endpoint pendientes de aprobación</x:v>
      </x:c>
      <x:c r="D24" t="str">
        <x:v>Consignar &lt; o &lt;= exactamente como figure en el protocolo final para evitar dictámenes arbitrarios</x:v>
      </x:c>
      <x:c r="E24" t="str">
        <x:v>Director académico</x:v>
      </x:c>
      <x:c r="F24" t="str">
        <x:v>SRS/protocolo final</x:v>
      </x:c>
      <x:c r="G24" t="str">
        <x:v>Alta</x:v>
      </x:c>
      <x:c r="H24" t="str">
        <x:v>Pendiente</x:v>
      </x:c>
    </x:row>
  </x:sheetData>
  <x:mergeCells>
    <x:mergeCell ref="A1:J1"/>
    <x:mergeCell ref="A2:J2"/>
  </x:mergeCells>
  <x:dataValidations count="2">
    <x:dataValidation type="list" sqref="H5:H23">
      <x:formula1>"Pendiente,En revisión,Validado,No aplica"</x:formula1>
    </x:dataValidation>
    <x:dataValidation type="list" sqref="G5:G23">
      <x:formula1>"Crítica,Alta,Media,Baja"</x:formula1>
    </x:dataValidation>
  </x:dataValidations>
  <x:pageMargins left="0.7" right="0.7" top="0.75" bottom="0.75" header="0.3" footer="0.3"/>
</x:worksheet>
</file>