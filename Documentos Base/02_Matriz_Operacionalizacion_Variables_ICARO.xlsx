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26CBDD7E-D2AF-4ABA-9513-C79B7E789213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VARIABLES" sheetId="1" r:id="rId1"/>
    <sheet name="NOTAS_OPERATIVAS" sheetId="2" r:id="rId2"/>
    <sheet name="SUS_CAPTURA" sheetId="3" r:id="rId3"/>
    <sheet name="OPERACIONES" sheetId="4" r:id="rId4"/>
    <sheet name="DISPONIBILIDAD" sheetId="5" r:id="rId5"/>
    <sheet name="FUENTE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4" i="5" l="1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36" i="3" s="1"/>
  <c r="M10" i="3"/>
  <c r="M9" i="3"/>
  <c r="M8" i="3"/>
  <c r="M7" i="3"/>
  <c r="M6" i="3"/>
  <c r="M5" i="3"/>
</calcChain>
</file>

<file path=xl/sharedStrings.xml><?xml version="1.0" encoding="utf-8"?>
<sst xmlns="http://schemas.openxmlformats.org/spreadsheetml/2006/main" count="308" uniqueCount="283">
  <si>
    <t>Matriz 3-2 | Operacionalización de variables</t>
  </si>
  <si>
    <t>Los umbrales se extraen del anteproyecto, nunca de datos medidos; OP-10/11 son complementarios.</t>
  </si>
  <si>
    <t>ID</t>
  </si>
  <si>
    <t>Variable / ámbito</t>
  </si>
  <si>
    <t>Dimensión</t>
  </si>
  <si>
    <t>Indicador</t>
  </si>
  <si>
    <t>Definición de cálculo</t>
  </si>
  <si>
    <t>Unidad</t>
  </si>
  <si>
    <t>Unidad de análisis</t>
  </si>
  <si>
    <t>Instrumento previsto</t>
  </si>
  <si>
    <t>Referencia aprobada</t>
  </si>
  <si>
    <t>Fuente documental</t>
  </si>
  <si>
    <t>Estado</t>
  </si>
  <si>
    <t>OP-01</t>
  </si>
  <si>
    <t>Fiabilidad</t>
  </si>
  <si>
    <t>Ausencia de fallos</t>
  </si>
  <si>
    <t>Fallos por 1.000 operaciones</t>
  </si>
  <si>
    <t>F1000 = (N_f / N_o)*1000</t>
  </si>
  <si>
    <t>fallos/1.000</t>
  </si>
  <si>
    <t>Operaciones definidas en protocolo</t>
  </si>
  <si>
    <t>Registros backend + bitácora</t>
  </si>
  <si>
    <t>&lt;= 1</t>
  </si>
  <si>
    <t>ANT-01 (matriz 4.4); TES-V1 (Cap. II)</t>
  </si>
  <si>
    <t>COMPROMETIDO; datos de ejecución pendientes</t>
  </si>
  <si>
    <t>OP-02</t>
  </si>
  <si>
    <t>Disponibilidad</t>
  </si>
  <si>
    <t>Disponibilidad semanal</t>
  </si>
  <si>
    <t>D = (T_operativo / T_programado)*100</t>
  </si>
  <si>
    <t>%</t>
  </si>
  <si>
    <t>Intervalos de observación del servicio</t>
  </si>
  <si>
    <t>Monitor de disponibilidad / bitácora</t>
  </si>
  <si>
    <t>&gt;= 99 % semanal</t>
  </si>
  <si>
    <t>COMPROMETIDO; periodo y monitor pendientes</t>
  </si>
  <si>
    <t>OP-03</t>
  </si>
  <si>
    <t>Disponibilidad mensual</t>
  </si>
  <si>
    <t>&gt;= 99,5 % mensual</t>
  </si>
  <si>
    <t>ANT-01 (RNF)</t>
  </si>
  <si>
    <t>MISMA CARACTERÍSTICA; periodo distinto a OP-02</t>
  </si>
  <si>
    <t>OP-04</t>
  </si>
  <si>
    <t>Usabilidad percibida</t>
  </si>
  <si>
    <t>Valoración general</t>
  </si>
  <si>
    <t>Media de puntuaciones SUS</t>
  </si>
  <si>
    <t>SUS_j=2,5*(suma impares (x-1)+suma pares (5-x)); media = suma SUS_j / m</t>
  </si>
  <si>
    <t>puntos 0–100</t>
  </si>
  <si>
    <t>Participante elegible, formulario íntegro</t>
  </si>
  <si>
    <t>SUS + hoja SUS_CAPTURA</t>
  </si>
  <si>
    <t>&gt;= 75 puntos</t>
  </si>
  <si>
    <t>ANT-01 (matriz 4.4); GH-04</t>
  </si>
  <si>
    <t>CUESTIONARIO IDENTIFICADO; aplicación no acreditada</t>
  </si>
  <si>
    <t>OP-05</t>
  </si>
  <si>
    <t>Usabilidad en uso</t>
  </si>
  <si>
    <t>Éxito de tareas</t>
  </si>
  <si>
    <t>Tasa de éxito en tareas</t>
  </si>
  <si>
    <t>TE=(intentos completados / intentos evaluados)*100</t>
  </si>
  <si>
    <t>Intento de tarea, con éxito definido antes</t>
  </si>
  <si>
    <t>Guion de tareas y ficha de observación</t>
  </si>
  <si>
    <t>SIN UMBRAL APROBADO</t>
  </si>
  <si>
    <t>ANT-01 (calidad); TES-V1 (Cap. II)</t>
  </si>
  <si>
    <t>PROPUESTO; definir criterio antes de medir</t>
  </si>
  <si>
    <t>OP-06</t>
  </si>
  <si>
    <t>Eficiencia de desempeño (RNF)</t>
  </si>
  <si>
    <t>Comportamiento temporal</t>
  </si>
  <si>
    <t>P95 de tiempo de respuesta</t>
  </si>
  <si>
    <t>Percentil 95 de tiempos registrados</t>
  </si>
  <si>
    <t>ms</t>
  </si>
  <si>
    <t>Petición a endpoint bajo carga definida</t>
  </si>
  <si>
    <t>k6 backend/tests/load_test.js</t>
  </si>
  <si>
    <t>&lt;= 2000 ms (matriz)</t>
  </si>
  <si>
    <t>ANT-01; GH-03</t>
  </si>
  <si>
    <t>K6 tiene condición estricta &lt; 2000 ms; unificar</t>
  </si>
  <si>
    <t>OP-07</t>
  </si>
  <si>
    <t>P99 de tiempo de respuesta</t>
  </si>
  <si>
    <t>Percentil 99 de tiempos registrados</t>
  </si>
  <si>
    <t>Script de carga / logs por configurar</t>
  </si>
  <si>
    <t>&lt; 5000 ms (RNF)</t>
  </si>
  <si>
    <t>RNF DOCUMENTADO; script revisado no declara P99</t>
  </si>
  <si>
    <t>OP-08</t>
  </si>
  <si>
    <t>Conformidad de formularios</t>
  </si>
  <si>
    <t>Validaciones y plantillas</t>
  </si>
  <si>
    <t>Proporción de formularios conformes</t>
  </si>
  <si>
    <t>CF=(formularios conformes/formularios evaluados)*100</t>
  </si>
  <si>
    <t>Formulario sometido a lista de verificación</t>
  </si>
  <si>
    <t>Matriz de casos y checklist</t>
  </si>
  <si>
    <t>&gt;= 95 %</t>
  </si>
  <si>
    <t>ANT-01 (matriz 4.4)</t>
  </si>
  <si>
    <t>COMPROMETIDO; catálogo final de formularios pendiente</t>
  </si>
  <si>
    <t>OP-09</t>
  </si>
  <si>
    <t>Integridad de datos</t>
  </si>
  <si>
    <t>Duplicación</t>
  </si>
  <si>
    <t>Registros duplicados detectados</t>
  </si>
  <si>
    <t>Conteo de registros que violan la regla de unicidad definida</t>
  </si>
  <si>
    <t>número</t>
  </si>
  <si>
    <t>Conjunto de registros evaluados</t>
  </si>
  <si>
    <t>Consultas de unicidad / logs</t>
  </si>
  <si>
    <t>0</t>
  </si>
  <si>
    <t>COMPROMETIDO; reglas de duplicación a delimitar</t>
  </si>
  <si>
    <t>OP-10</t>
  </si>
  <si>
    <t>Fiabilidad (complementario)</t>
  </si>
  <si>
    <t>Recuperación</t>
  </si>
  <si>
    <t>Escenarios de recuperación satisfactorios</t>
  </si>
  <si>
    <t>R=(recuperaciones satisfactorias/escenarios ejecutados)*100</t>
  </si>
  <si>
    <t>Escenario de interrupción/recuperación</t>
  </si>
  <si>
    <t>Pruebas manuales controladas</t>
  </si>
  <si>
    <t>TES-V1 (Cap. II); GH-12; GH-13</t>
  </si>
  <si>
    <t>FUNDAMENTADO; NO declarar como obligatorio sin protocolo</t>
  </si>
  <si>
    <t>OP-11</t>
  </si>
  <si>
    <t>MTBF</t>
  </si>
  <si>
    <t>Tiempo operativo acumulado / número de fallos (N_f&gt;0)</t>
  </si>
  <si>
    <t>horas u otra unidad temporal</t>
  </si>
  <si>
    <t>Fallo de sistema reparable definido</t>
  </si>
  <si>
    <t>Seguimiento de fallos</t>
  </si>
  <si>
    <t>TES-V1 (Cap. II)</t>
  </si>
  <si>
    <t>FUNDAMENTADO; requiere observación longitudinal</t>
  </si>
  <si>
    <t>Reglas de interpretación</t>
  </si>
  <si>
    <t>Diferenciar definición teórica, compromiso aprobado y dato observado.</t>
  </si>
  <si>
    <t>Área</t>
  </si>
  <si>
    <t>Precisión</t>
  </si>
  <si>
    <t>Evidencia</t>
  </si>
  <si>
    <t>SUS</t>
  </si>
  <si>
    <t>La escala 0-100 NO es porcentaje de tareas correctas.</t>
  </si>
  <si>
    <t>No contar rechazo de regla válida (p.ej. dato incorrecto esperado) como fallo funcional sin criterio previo.</t>
  </si>
  <si>
    <t>El servicio, ventana temporal y exclusión de mantenimiento deben definirse antes del monitoreo.</t>
  </si>
  <si>
    <t>Carga</t>
  </si>
  <si>
    <t>Script k6 revisado comprueba dos GET, usa token marcador; no supone resultados ni despliegue.</t>
  </si>
  <si>
    <t>backend/tests/load_test.js</t>
  </si>
  <si>
    <t>Instrumentos</t>
  </si>
  <si>
    <t>SUS/Nielsen no constituyen evidencia de aplicación por su mera presencia en el código/documentación.</t>
  </si>
  <si>
    <t>docs/sprint11_calidad_seguridad.md</t>
  </si>
  <si>
    <t>Captura de cuestionarios SUS | SIN RESPUESTAS</t>
  </si>
  <si>
    <t>No se precargan participantes, respuestas ni puntuaciones. Registrar códigos anónimos y respuestas 1–5.</t>
  </si>
  <si>
    <t>Código anónimo</t>
  </si>
  <si>
    <t>Rol sin identidad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</si>
  <si>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</si>
  <si>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</si>
  <si>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</si>
  <si>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</si>
  <si>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</si>
  <si>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</si>
  <si>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</si>
  <si>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</si>
  <si>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</si>
  <si>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</si>
  <si>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SUS (0-100)</t>
  </si>
  <si>
    <t>Observación / evidencia</t>
  </si>
  <si>
    <t>Media SUS</t>
  </si>
  <si>
    <t>Bitácora de operaciones | VACÍA</t>
  </si>
  <si>
    <t>Una fila por ejecución. No convertir códigos esperados de validación en fallos sin criterio.</t>
  </si>
  <si>
    <t>Fecha/hora</t>
  </si>
  <si>
    <t>Escenario</t>
  </si>
  <si>
    <t>Endpoint/función</t>
  </si>
  <si>
    <t>Rol (sin datos personales)</t>
  </si>
  <si>
    <t>Resultado esperado</t>
  </si>
  <si>
    <t>Resultado observado</t>
  </si>
  <si>
    <t>¿Fallo definido?</t>
  </si>
  <si>
    <t>Duración ms</t>
  </si>
  <si>
    <t>Evidencia/log</t>
  </si>
  <si>
    <t>Bitácora de disponibilidad | VACÍA</t>
  </si>
  <si>
    <t>Diferenciar ventana semanal y mensual; registrar minutos programados y efectivamente operativos.</t>
  </si>
  <si>
    <t>Periodo</t>
  </si>
  <si>
    <t>Servicio/URL</t>
  </si>
  <si>
    <t>Inicio</t>
  </si>
  <si>
    <t>Fin</t>
  </si>
  <si>
    <t>Tiempo programado (min)</t>
  </si>
  <si>
    <t>Tiempo operativo (min)</t>
  </si>
  <si>
    <t>Disponibilidad calculada %</t>
  </si>
  <si>
    <t>Archivos examinados: tesis adjunta y repositorio GitHub rama main; fecha de revisión: 13-10-2026.</t>
  </si>
  <si>
    <t>Tipo</t>
  </si>
  <si>
    <t>Archivo / ruta</t>
  </si>
  <si>
    <t>Sección o evidencia</t>
  </si>
  <si>
    <t>Referencia</t>
  </si>
  <si>
    <t>TES-V1</t>
  </si>
  <si>
    <t>Tesis actual</t>
  </si>
  <si>
    <t>v1.docx</t>
  </si>
  <si>
    <t>Capítulo I: Objetivos; Capítulo II: calidad, fiabilidad y SUS</t>
  </si>
  <si>
    <t>Archivo adjunto; revisión de texto y tablas</t>
  </si>
  <si>
    <t>ANT-01</t>
  </si>
  <si>
    <t>Anteproyecto aprobado</t>
  </si>
  <si>
    <t>docs/pdfs/IT-AN-1a Anteproyecto_Trabajo_de_Titulacion_Proyecto_Tecnico_FIE.pdf</t>
  </si>
  <si>
    <t>4.3.2: objetivos específicos; 4.4: operacionalización; 5.1: métodos y población</t>
  </si>
  <si>
    <t>https://github.com/SebastianCM020/Sistema_Gestion_Integral_Constructora/blob/main/docs/pdfs/IT-AN-1a%20Anteproyecto_Trabajo_de_Titulacion_Proyecto_Tecnico_FIE.pdf</t>
  </si>
  <si>
    <t>GH-01</t>
  </si>
  <si>
    <t>Repositorio principal</t>
  </si>
  <si>
    <t>README.md</t>
  </si>
  <si>
    <t>Arquitectura web/PWA, backend, PostgreSQL, Docker</t>
  </si>
  <si>
    <t>https://github.com/SebastianCM020/Sistema_Gestion_Integral_Constructora/blob/main/README.md</t>
  </si>
  <si>
    <t>GH-02</t>
  </si>
  <si>
    <t>CI configurada</t>
  </si>
  <si>
    <t>.github/workflows/ci.yml</t>
  </si>
  <si>
    <t>npm ci, Prisma validate, frontend build; sin paso explícito de ejecución Jest/deploy</t>
  </si>
  <si>
    <t>https://github.com/SebastianCM020/Sistema_Gestion_Integral_Constructora/blob/main/.github/workflows/ci.yml</t>
  </si>
  <si>
    <t>GH-03</t>
  </si>
  <si>
    <t>Prueba de carga</t>
  </si>
  <si>
    <t>k6; 20 VUs (30 s subida/60 s sostenidos/30 s bajada); P95&lt;2000; error&lt;1%; token pendiente</t>
  </si>
  <si>
    <t>https://github.com/SebastianCM020/Sistema_Gestion_Integral_Constructora/blob/main/backend/tests/load_test.js</t>
  </si>
  <si>
    <t>GH-04</t>
  </si>
  <si>
    <t>Plan Sprint 11</t>
  </si>
  <si>
    <t>Guía SUS sin casillas marcadas; referencia local &gt;68; tareas propuestas; ejecución k6 indicada</t>
  </si>
  <si>
    <t>https://github.com/SebastianCM020/Sistema_Gestion_Integral_Constructora/blob/main/docs/sprint11_calidad_seguridad.md</t>
  </si>
  <si>
    <t>GH-05</t>
  </si>
  <si>
    <t>Rutas API</t>
  </si>
  <si>
    <t>backend/src/server.js</t>
  </si>
  <si>
    <t>Rutas auth, avances, reportes, compras, inventario, cierres, consumo</t>
  </si>
  <si>
    <t>https://github.com/SebastianCM020/Sistema_Gestion_Integral_Constructora/blob/main/backend/src/server.js</t>
  </si>
  <si>
    <t>GH-06</t>
  </si>
  <si>
    <t>Reportes reales</t>
  </si>
  <si>
    <t>backend/src/routes/reportes.routes.js</t>
  </si>
  <si>
    <t>GET dashboard; GET KPIs; exportar excel</t>
  </si>
  <si>
    <t>https://github.com/SebastianCM020/Sistema_Gestion_Integral_Constructora/blob/main/backend/src/routes/reportes.routes.js</t>
  </si>
  <si>
    <t>GH-07</t>
  </si>
  <si>
    <t>Cierres contables</t>
  </si>
  <si>
    <t>backend/src/routes/cierresContables.routes.js</t>
  </si>
  <si>
    <t>GET cierres y consolidación; POST validar y ejecutar</t>
  </si>
  <si>
    <t>https://github.com/SebastianCM020/Sistema_Gestion_Integral_Constructora/blob/main/backend/src/routes/cierresContables.routes.js</t>
  </si>
  <si>
    <t>GH-08</t>
  </si>
  <si>
    <t>Avances de obra</t>
  </si>
  <si>
    <t>backend/src/routes/avances.routes.js</t>
  </si>
  <si>
    <t>POST registro avances; GET por rubro</t>
  </si>
  <si>
    <t>https://github.com/SebastianCM020/Sistema_Gestion_Integral_Constructora/blob/main/backend/src/routes/avances.routes.js</t>
  </si>
  <si>
    <t>GH-09</t>
  </si>
  <si>
    <t>Consumos en obra</t>
  </si>
  <si>
    <t>backend/src/routes/consumo.routes.js</t>
  </si>
  <si>
    <t>GET materiales; POST consumir; GET historial; idempotencia</t>
  </si>
  <si>
    <t>https://github.com/SebastianCM020/Sistema_Gestion_Integral_Constructora/blob/main/backend/src/routes/consumo.routes.js</t>
  </si>
  <si>
    <t>GH-10</t>
  </si>
  <si>
    <t>Recepción e inventario</t>
  </si>
  <si>
    <t>backend/src/routes/bodega.routes.js</t>
  </si>
  <si>
    <t>Requerimientos aprobados; recepciones y movimientos</t>
  </si>
  <si>
    <t>https://github.com/SebastianCM020/Sistema_Gestion_Integral_Constructora/blob/main/backend/src/routes/bodega.routes.js</t>
  </si>
  <si>
    <t>GH-11</t>
  </si>
  <si>
    <t>Autenticación</t>
  </si>
  <si>
    <t>backend/src/routes/auth.routes.js</t>
  </si>
  <si>
    <t>login; recover; me; logout</t>
  </si>
  <si>
    <t>https://github.com/SebastianCM020/Sistema_Gestion_Integral_Constructora/blob/main/backend/src/routes/auth.routes.js</t>
  </si>
  <si>
    <t>GH-12</t>
  </si>
  <si>
    <t>Sincronización offline</t>
  </si>
  <si>
    <t>frontend/src/services/syncManager.js</t>
  </si>
  <si>
    <t>Reintentos, cola de consumos y clave de idempotencia</t>
  </si>
  <si>
    <t>https://github.com/SebastianCM020/Sistema_Gestion_Integral_Constructora/blob/main/frontend/src/services/syncManager.js</t>
  </si>
  <si>
    <t>GH-13</t>
  </si>
  <si>
    <t>Persistencia local</t>
  </si>
  <si>
    <t>frontend/src/services/offlineSyncService.js</t>
  </si>
  <si>
    <t>IndexedDB y cola offline</t>
  </si>
  <si>
    <t>https://github.com/SebastianCM020/Sistema_Gestion_Integral_Constructora/blob/main/frontend/src/services/offlineSyncService.js</t>
  </si>
  <si>
    <t>GH-14</t>
  </si>
  <si>
    <t>Datos seed de prueba</t>
  </si>
  <si>
    <t>backend/prisma/seed-test.js</t>
  </si>
  <si>
    <t>El script define 6 roles, 7 usuarios, 3 proyectos, 20 materiales, 15 rubros; NO certifica BD cargada</t>
  </si>
  <si>
    <t>https://github.com/SebastianCM020/Sistema_Gestion_Integral_Constructora/blob/main/backend/prisma/seed-test.js</t>
  </si>
  <si>
    <t>GH-15</t>
  </si>
  <si>
    <t>Tests backend</t>
  </si>
  <si>
    <t>backend/package.json</t>
  </si>
  <si>
    <t>Comandos Jest, Supertest y seed:test configurados</t>
  </si>
  <si>
    <t>https://github.com/SebastianCM020/Sistema_Gestion_Integral_Constructora/blob/main/backend/package.json</t>
  </si>
  <si>
    <t>GH-16</t>
  </si>
  <si>
    <t>Sprint 10 verificación</t>
  </si>
  <si>
    <t>docs/sprint10_verificacion.md</t>
  </si>
  <si>
    <t>Describe implementaciones y advierte migración SQL no ejecutada en esa fecha</t>
  </si>
  <si>
    <t>https://github.com/SebastianCM020/Sistema_Gestion_Integral_Constructora/blob/main/docs/sprint10_verificacion.md</t>
  </si>
  <si>
    <t>GH-17</t>
  </si>
  <si>
    <t>Documentación sprints</t>
  </si>
  <si>
    <t>Documentacion Sprint (01 - 11)/</t>
  </si>
  <si>
    <t>Carpetas Sprint 1 a 11 con backlogs, pruebas, planificado/realizado, retrospectivas</t>
  </si>
  <si>
    <t>Repositorio GitHub, árbol completo /main</t>
  </si>
  <si>
    <t>GH-18</t>
  </si>
  <si>
    <t>Modelo de datos</t>
  </si>
  <si>
    <t>backend/prisma/schema.prisma</t>
  </si>
  <si>
    <t>Esquema PostgreSQL/Prisma, modelos y relaciones</t>
  </si>
  <si>
    <t>https://github.com/SebastianCM020/Sistema_Gestion_Integral_Constructora/blob/main/backend/prisma/schema.prisma</t>
  </si>
  <si>
    <t>GH-19</t>
  </si>
  <si>
    <t>Ambiente declarado</t>
  </si>
  <si>
    <t>docker-compose.yml</t>
  </si>
  <si>
    <t>Servicios de desarrollo: PostgreSQL 17, Redis, backend, frontend y pgAdmin</t>
  </si>
  <si>
    <t>https://github.com/SebastianCM020/Sistema_Gestion_Integral_Constructora/blob/main/docker-compose.yml</t>
  </si>
  <si>
    <t>GH-20</t>
  </si>
  <si>
    <t>Pruebas Sprint 11</t>
  </si>
  <si>
    <t>backend/tests/sprint11_seguridad_calidad.test.js</t>
  </si>
  <si>
    <t>Pruebas Jest en código; NO constituye informe de ejecución</t>
  </si>
  <si>
    <t>https://github.com/SebastianCM020/Sistema_Gestion_Integral_Constructora/blob/main/backend/tests/sprint11_seguridad_calidad.test.js</t>
  </si>
  <si>
    <t>GH-21</t>
  </si>
  <si>
    <t>Documentación V3</t>
  </si>
  <si>
    <t>Documentos Version 3.0/</t>
  </si>
  <si>
    <t>SRS, arquitectura, casos de uso y pruebas, versiones V3</t>
  </si>
  <si>
    <t xml:space="preserve">Fuentes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</si>
</sst>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5"/>
      <color rgb="FFFFFFFF"/>
      <name val="Carlito"/>
    </font>
    <font>
      <sz val="10"/>
      <color rgb="FF35546A"/>
      <name val="Carlito"/>
    </font>
    <font>
      <b/>
      <sz val="11"/>
      <color rgb="FFFFFFFF"/>
      <name val="Carlito"/>
    </font>
    <font>
      <b/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6334F"/>
      </patternFill>
    </fill>
    <fill>
      <patternFill patternType="solid">
        <fgColor rgb="FFEAF2F5"/>
      </patternFill>
    </fill>
    <fill>
      <patternFill patternType="solid">
        <fgColor rgb="FF197C83"/>
      </patternFill>
    </fill>
    <fill>
      <patternFill patternType="solid">
        <fgColor rgb="FFFFF1D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2" borderId="0" xfId="0" applyFont="1" applyFill="1" applyAlignment="1">
      <alignment vertical="center"/>
    </xf>
    <xf numFmtId="0" fontId="0" fillId="3" borderId="0" xfId="0" applyFill="1"/>
    <xf numFmtId="0" fontId="2" fillId="3" borderId="0" xfId="0" applyFont="1" applyFill="1" applyAlignment="1">
      <alignment vertical="center"/>
    </xf>
    <xf numFmtId="0" fontId="3" fillId="4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4" fillId="5" borderId="0" xfId="0" applyFont="1" applyFill="1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opLeftCell="E1" zoomScale="85" zoomScaleNormal="85" workbookViewId="0">
      <pane ySplit="4" topLeftCell="A7" activePane="bottomLeft" state="frozen"/>
      <selection pane="bottomLeft" sqref="A1:K1"/>
    </sheetView>
  </sheetViews>
  <sheetFormatPr baseColWidth="10" defaultColWidth="9" defaultRowHeight="14.25"/>
  <cols>
    <col min="1" max="1" width="11" customWidth="1"/>
    <col min="2" max="2" width="27.875" customWidth="1"/>
    <col min="3" max="3" width="23.75" customWidth="1"/>
    <col min="4" max="4" width="35" customWidth="1"/>
    <col min="5" max="5" width="52.375" customWidth="1"/>
    <col min="6" max="6" width="18.5" customWidth="1"/>
    <col min="7" max="7" width="38.125" customWidth="1"/>
    <col min="8" max="8" width="34.75" customWidth="1"/>
    <col min="9" max="9" width="23.875" customWidth="1"/>
    <col min="10" max="10" width="30.375" customWidth="1"/>
    <col min="11" max="11" width="50.125" customWidth="1"/>
  </cols>
  <sheetData>
    <row r="1" spans="1:11" ht="36.950000000000003" customHeight="1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29.1" customHeight="1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</row>
    <row r="4" spans="1:11" ht="30.95" customHeight="1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</row>
    <row r="5" spans="1:11" ht="53.1" customHeight="1">
      <c r="A5" s="6" t="s">
        <v>13</v>
      </c>
      <c r="B5" s="6" t="s">
        <v>14</v>
      </c>
      <c r="C5" s="6" t="s">
        <v>15</v>
      </c>
      <c r="D5" s="6" t="s">
        <v>16</v>
      </c>
      <c r="E5" s="6" t="s">
        <v>17</v>
      </c>
      <c r="F5" s="6" t="s">
        <v>18</v>
      </c>
      <c r="G5" s="6" t="s">
        <v>19</v>
      </c>
      <c r="H5" s="6" t="s">
        <v>20</v>
      </c>
      <c r="I5" s="6" t="s">
        <v>21</v>
      </c>
      <c r="J5" s="6" t="s">
        <v>22</v>
      </c>
      <c r="K5" s="6" t="s">
        <v>23</v>
      </c>
    </row>
    <row r="6" spans="1:11" ht="53.1" customHeight="1">
      <c r="A6" s="6" t="s">
        <v>24</v>
      </c>
      <c r="B6" s="6" t="s">
        <v>14</v>
      </c>
      <c r="C6" s="6" t="s">
        <v>25</v>
      </c>
      <c r="D6" s="6" t="s">
        <v>26</v>
      </c>
      <c r="E6" s="6" t="s">
        <v>27</v>
      </c>
      <c r="F6" s="6" t="s">
        <v>28</v>
      </c>
      <c r="G6" s="6" t="s">
        <v>29</v>
      </c>
      <c r="H6" s="6" t="s">
        <v>30</v>
      </c>
      <c r="I6" s="6" t="s">
        <v>31</v>
      </c>
      <c r="J6" s="6" t="s">
        <v>22</v>
      </c>
      <c r="K6" s="6" t="s">
        <v>32</v>
      </c>
    </row>
    <row r="7" spans="1:11" ht="53.1" customHeight="1">
      <c r="A7" s="6" t="s">
        <v>33</v>
      </c>
      <c r="B7" s="6" t="s">
        <v>14</v>
      </c>
      <c r="C7" s="6" t="s">
        <v>25</v>
      </c>
      <c r="D7" s="6" t="s">
        <v>34</v>
      </c>
      <c r="E7" s="6" t="s">
        <v>27</v>
      </c>
      <c r="F7" s="6" t="s">
        <v>28</v>
      </c>
      <c r="G7" s="6" t="s">
        <v>29</v>
      </c>
      <c r="H7" s="6" t="s">
        <v>30</v>
      </c>
      <c r="I7" s="6" t="s">
        <v>35</v>
      </c>
      <c r="J7" s="6" t="s">
        <v>36</v>
      </c>
      <c r="K7" s="6" t="s">
        <v>37</v>
      </c>
    </row>
    <row r="8" spans="1:11" ht="53.1" customHeight="1">
      <c r="A8" s="6" t="s">
        <v>38</v>
      </c>
      <c r="B8" s="6" t="s">
        <v>39</v>
      </c>
      <c r="C8" s="6" t="s">
        <v>40</v>
      </c>
      <c r="D8" s="6" t="s">
        <v>41</v>
      </c>
      <c r="E8" s="6" t="s">
        <v>42</v>
      </c>
      <c r="F8" s="6" t="s">
        <v>43</v>
      </c>
      <c r="G8" s="6" t="s">
        <v>44</v>
      </c>
      <c r="H8" s="6" t="s">
        <v>45</v>
      </c>
      <c r="I8" s="6" t="s">
        <v>46</v>
      </c>
      <c r="J8" s="6" t="s">
        <v>47</v>
      </c>
      <c r="K8" s="6" t="s">
        <v>48</v>
      </c>
    </row>
    <row r="9" spans="1:11" ht="53.1" customHeight="1">
      <c r="A9" s="6" t="s">
        <v>49</v>
      </c>
      <c r="B9" s="6" t="s">
        <v>50</v>
      </c>
      <c r="C9" s="6" t="s">
        <v>51</v>
      </c>
      <c r="D9" s="6" t="s">
        <v>52</v>
      </c>
      <c r="E9" s="6" t="s">
        <v>53</v>
      </c>
      <c r="F9" s="6" t="s">
        <v>28</v>
      </c>
      <c r="G9" s="6" t="s">
        <v>54</v>
      </c>
      <c r="H9" s="6" t="s">
        <v>55</v>
      </c>
      <c r="I9" s="6" t="s">
        <v>56</v>
      </c>
      <c r="J9" s="6" t="s">
        <v>57</v>
      </c>
      <c r="K9" s="6" t="s">
        <v>58</v>
      </c>
    </row>
    <row r="10" spans="1:11" ht="53.1" customHeight="1">
      <c r="A10" s="6" t="s">
        <v>59</v>
      </c>
      <c r="B10" s="6" t="s">
        <v>60</v>
      </c>
      <c r="C10" s="6" t="s">
        <v>61</v>
      </c>
      <c r="D10" s="6" t="s">
        <v>62</v>
      </c>
      <c r="E10" s="6" t="s">
        <v>63</v>
      </c>
      <c r="F10" s="6" t="s">
        <v>64</v>
      </c>
      <c r="G10" s="6" t="s">
        <v>65</v>
      </c>
      <c r="H10" s="6" t="s">
        <v>66</v>
      </c>
      <c r="I10" s="6" t="s">
        <v>67</v>
      </c>
      <c r="J10" s="6" t="s">
        <v>68</v>
      </c>
      <c r="K10" s="6" t="s">
        <v>69</v>
      </c>
    </row>
    <row r="11" spans="1:11" ht="53.1" customHeight="1">
      <c r="A11" s="6" t="s">
        <v>70</v>
      </c>
      <c r="B11" s="6" t="s">
        <v>60</v>
      </c>
      <c r="C11" s="6" t="s">
        <v>61</v>
      </c>
      <c r="D11" s="6" t="s">
        <v>71</v>
      </c>
      <c r="E11" s="6" t="s">
        <v>72</v>
      </c>
      <c r="F11" s="6" t="s">
        <v>64</v>
      </c>
      <c r="G11" s="6" t="s">
        <v>65</v>
      </c>
      <c r="H11" s="6" t="s">
        <v>73</v>
      </c>
      <c r="I11" s="6" t="s">
        <v>74</v>
      </c>
      <c r="J11" s="6" t="s">
        <v>36</v>
      </c>
      <c r="K11" s="6" t="s">
        <v>75</v>
      </c>
    </row>
    <row r="12" spans="1:11" ht="53.1" customHeight="1">
      <c r="A12" s="6" t="s">
        <v>76</v>
      </c>
      <c r="B12" s="6" t="s">
        <v>77</v>
      </c>
      <c r="C12" s="6" t="s">
        <v>78</v>
      </c>
      <c r="D12" s="6" t="s">
        <v>79</v>
      </c>
      <c r="E12" s="6" t="s">
        <v>80</v>
      </c>
      <c r="F12" s="6" t="s">
        <v>28</v>
      </c>
      <c r="G12" s="6" t="s">
        <v>81</v>
      </c>
      <c r="H12" s="6" t="s">
        <v>82</v>
      </c>
      <c r="I12" s="6" t="s">
        <v>83</v>
      </c>
      <c r="J12" s="6" t="s">
        <v>84</v>
      </c>
      <c r="K12" s="6" t="s">
        <v>85</v>
      </c>
    </row>
    <row r="13" spans="1:11" ht="53.1" customHeight="1">
      <c r="A13" s="6" t="s">
        <v>86</v>
      </c>
      <c r="B13" s="6" t="s">
        <v>87</v>
      </c>
      <c r="C13" s="6" t="s">
        <v>88</v>
      </c>
      <c r="D13" s="6" t="s">
        <v>89</v>
      </c>
      <c r="E13" s="6" t="s">
        <v>90</v>
      </c>
      <c r="F13" s="6" t="s">
        <v>91</v>
      </c>
      <c r="G13" s="6" t="s">
        <v>92</v>
      </c>
      <c r="H13" s="6" t="s">
        <v>93</v>
      </c>
      <c r="I13" s="6" t="s">
        <v>94</v>
      </c>
      <c r="J13" s="6" t="s">
        <v>84</v>
      </c>
      <c r="K13" s="6" t="s">
        <v>95</v>
      </c>
    </row>
    <row r="14" spans="1:11" ht="53.1" customHeight="1">
      <c r="A14" s="6" t="s">
        <v>96</v>
      </c>
      <c r="B14" s="6" t="s">
        <v>97</v>
      </c>
      <c r="C14" s="6" t="s">
        <v>98</v>
      </c>
      <c r="D14" s="6" t="s">
        <v>99</v>
      </c>
      <c r="E14" s="6" t="s">
        <v>100</v>
      </c>
      <c r="F14" s="6" t="s">
        <v>28</v>
      </c>
      <c r="G14" s="6" t="s">
        <v>101</v>
      </c>
      <c r="H14" s="6" t="s">
        <v>102</v>
      </c>
      <c r="I14" s="6" t="s">
        <v>56</v>
      </c>
      <c r="J14" s="6" t="s">
        <v>103</v>
      </c>
      <c r="K14" s="6" t="s">
        <v>104</v>
      </c>
    </row>
    <row r="15" spans="1:11" ht="53.1" customHeight="1">
      <c r="A15" s="6" t="s">
        <v>105</v>
      </c>
      <c r="B15" s="6" t="s">
        <v>97</v>
      </c>
      <c r="C15" s="6" t="s">
        <v>15</v>
      </c>
      <c r="D15" s="6" t="s">
        <v>106</v>
      </c>
      <c r="E15" s="6" t="s">
        <v>107</v>
      </c>
      <c r="F15" s="6" t="s">
        <v>108</v>
      </c>
      <c r="G15" s="6" t="s">
        <v>109</v>
      </c>
      <c r="H15" s="6" t="s">
        <v>110</v>
      </c>
      <c r="I15" s="6" t="s">
        <v>56</v>
      </c>
      <c r="J15" s="6" t="s">
        <v>111</v>
      </c>
      <c r="K15" s="6" t="s">
        <v>112</v>
      </c>
    </row>
  </sheetData>
  <mergeCells count="2">
    <mergeCell ref="A1:K1"/>
    <mergeCell ref="A2:K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pane ySplit="4" topLeftCell="A5" activePane="bottomLeft" state="frozen"/>
      <selection pane="bottomLeft" activeCell="F2" sqref="F2"/>
    </sheetView>
  </sheetViews>
  <sheetFormatPr baseColWidth="10" defaultColWidth="9" defaultRowHeight="14.25"/>
  <cols>
    <col min="1" max="1" width="14.625" customWidth="1"/>
    <col min="2" max="2" width="88.5" customWidth="1"/>
    <col min="3" max="3" width="9.5" customWidth="1"/>
  </cols>
  <sheetData>
    <row r="1" spans="1:3" ht="36.950000000000003" customHeight="1">
      <c r="A1" s="2" t="s">
        <v>113</v>
      </c>
      <c r="B1" s="2"/>
      <c r="C1" s="1"/>
    </row>
    <row r="2" spans="1:3" ht="29.1" customHeight="1">
      <c r="A2" s="4" t="s">
        <v>114</v>
      </c>
      <c r="B2" s="4"/>
      <c r="C2" s="1"/>
    </row>
    <row r="4" spans="1:3" ht="30.95" customHeight="1">
      <c r="A4" s="5" t="s">
        <v>115</v>
      </c>
      <c r="B4" s="5" t="s">
        <v>116</v>
      </c>
      <c r="C4" s="1"/>
    </row>
    <row r="5" spans="1:3" ht="60.95" customHeight="1">
      <c r="A5" s="6" t="s">
        <v>118</v>
      </c>
      <c r="B5" s="6" t="s">
        <v>119</v>
      </c>
      <c r="C5" s="6"/>
    </row>
    <row r="6" spans="1:3" ht="60.95" customHeight="1">
      <c r="A6" s="6" t="s">
        <v>14</v>
      </c>
      <c r="B6" s="6" t="s">
        <v>120</v>
      </c>
      <c r="C6" s="6"/>
    </row>
    <row r="7" spans="1:3" ht="60.95" customHeight="1">
      <c r="A7" s="6" t="s">
        <v>25</v>
      </c>
      <c r="B7" s="6" t="s">
        <v>121</v>
      </c>
      <c r="C7" s="6"/>
    </row>
    <row r="8" spans="1:3" ht="60.95" customHeight="1">
      <c r="A8" s="6" t="s">
        <v>122</v>
      </c>
      <c r="B8" s="6" t="s">
        <v>123</v>
      </c>
      <c r="C8" s="6"/>
    </row>
    <row r="9" spans="1:3" ht="60.95" customHeight="1">
      <c r="A9" s="6" t="s">
        <v>125</v>
      </c>
      <c r="B9" s="6" t="s">
        <v>126</v>
      </c>
      <c r="C9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6"/>
  <sheetViews>
    <sheetView tabSelected="1" workbookViewId="0">
      <pane ySplit="4" topLeftCell="A17" activePane="bottomLeft" state="frozen"/>
      <selection pane="bottomLeft" sqref="A1:N1"/>
    </sheetView>
  </sheetViews>
  <sheetFormatPr baseColWidth="10" defaultColWidth="9" defaultRowHeight="14.25"/>
  <cols>
    <col min="1" max="1" width="25" customWidth="1"/>
    <col min="2" max="2" width="32" customWidth="1"/>
    <col min="3" max="12" width="9" customWidth="1"/>
    <col min="13" max="13" width="18" customWidth="1"/>
    <col min="14" max="14" width="48" customWidth="1"/>
  </cols>
  <sheetData>
    <row r="1" spans="1:14" ht="36.950000000000003" customHeight="1">
      <c r="A1" s="8" t="s">
        <v>128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29.1" customHeight="1">
      <c r="A2" s="9" t="s">
        <v>129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4" spans="1:14" ht="30.95" customHeight="1">
      <c r="A4" s="5" t="s">
        <v>130</v>
      </c>
      <c r="B4" s="5" t="s">
        <v>131</v>
      </c>
      <c r="C4" s="5" t="s">
        <v>132</v>
      </c>
      <c r="D4" s="5" t="s">
        <v>133</v>
      </c>
      <c r="E4" s="5" t="s">
        <v>134</v>
      </c>
      <c r="F4" s="5" t="s">
        <v>135</v>
      </c>
      <c r="G4" s="5" t="s">
        <v>136</v>
      </c>
      <c r="H4" s="5" t="s">
        <v>137</v>
      </c>
      <c r="I4" s="5" t="s">
        <v>138</v>
      </c>
      <c r="J4" s="5" t="s">
        <v>139</v>
      </c>
      <c r="K4" s="5" t="s">
        <v>140</v>
      </c>
      <c r="L4" s="5" t="s">
        <v>141</v>
      </c>
      <c r="M4" s="5" t="s">
        <v>142</v>
      </c>
      <c r="N4" s="5" t="s">
        <v>143</v>
      </c>
    </row>
    <row r="5" spans="1:14">
      <c r="M5" s="3" t="str">
        <f t="shared" ref="M5:M34" si="0">IF(COUNT(C5:L5)=10,2.5*((C5-1)+(5-D5)+(E5-1)+(5-F5)+(G5-1)+(5-H5)+(I5-1)+(5-J5)+(K5-1)+(5-L5)),"")</f>
        <v/>
      </c>
    </row>
    <row r="6" spans="1:14">
      <c r="M6" s="3" t="str">
        <f t="shared" si="0"/>
        <v/>
      </c>
    </row>
    <row r="7" spans="1:14">
      <c r="M7" s="3" t="str">
        <f t="shared" si="0"/>
        <v/>
      </c>
    </row>
    <row r="8" spans="1:14">
      <c r="M8" s="3" t="str">
        <f t="shared" si="0"/>
        <v/>
      </c>
    </row>
    <row r="9" spans="1:14">
      <c r="M9" s="3" t="str">
        <f t="shared" si="0"/>
        <v/>
      </c>
    </row>
    <row r="10" spans="1:14">
      <c r="M10" s="3" t="str">
        <f t="shared" si="0"/>
        <v/>
      </c>
    </row>
    <row r="11" spans="1:14">
      <c r="M11" s="3" t="str">
        <f t="shared" si="0"/>
        <v/>
      </c>
    </row>
    <row r="12" spans="1:14">
      <c r="M12" s="3" t="str">
        <f t="shared" si="0"/>
        <v/>
      </c>
    </row>
    <row r="13" spans="1:14">
      <c r="M13" s="3" t="str">
        <f t="shared" si="0"/>
        <v/>
      </c>
    </row>
    <row r="14" spans="1:14">
      <c r="M14" s="3" t="str">
        <f t="shared" si="0"/>
        <v/>
      </c>
    </row>
    <row r="15" spans="1:14">
      <c r="M15" s="3" t="str">
        <f t="shared" si="0"/>
        <v/>
      </c>
    </row>
    <row r="16" spans="1:14">
      <c r="M16" s="3" t="str">
        <f t="shared" si="0"/>
        <v/>
      </c>
    </row>
    <row r="17" spans="13:13">
      <c r="M17" s="3" t="str">
        <f t="shared" si="0"/>
        <v/>
      </c>
    </row>
    <row r="18" spans="13:13">
      <c r="M18" s="3" t="str">
        <f t="shared" si="0"/>
        <v/>
      </c>
    </row>
    <row r="19" spans="13:13">
      <c r="M19" s="3" t="str">
        <f t="shared" si="0"/>
        <v/>
      </c>
    </row>
    <row r="20" spans="13:13">
      <c r="M20" s="3" t="str">
        <f t="shared" si="0"/>
        <v/>
      </c>
    </row>
    <row r="21" spans="13:13">
      <c r="M21" s="3" t="str">
        <f t="shared" si="0"/>
        <v/>
      </c>
    </row>
    <row r="22" spans="13:13">
      <c r="M22" s="3" t="str">
        <f t="shared" si="0"/>
        <v/>
      </c>
    </row>
    <row r="23" spans="13:13">
      <c r="M23" s="3" t="str">
        <f t="shared" si="0"/>
        <v/>
      </c>
    </row>
    <row r="24" spans="13:13">
      <c r="M24" s="3" t="str">
        <f t="shared" si="0"/>
        <v/>
      </c>
    </row>
    <row r="25" spans="13:13">
      <c r="M25" s="3" t="str">
        <f t="shared" si="0"/>
        <v/>
      </c>
    </row>
    <row r="26" spans="13:13">
      <c r="M26" s="3" t="str">
        <f t="shared" si="0"/>
        <v/>
      </c>
    </row>
    <row r="27" spans="13:13">
      <c r="M27" s="3" t="str">
        <f t="shared" si="0"/>
        <v/>
      </c>
    </row>
    <row r="28" spans="13:13">
      <c r="M28" s="3" t="str">
        <f t="shared" si="0"/>
        <v/>
      </c>
    </row>
    <row r="29" spans="13:13">
      <c r="M29" s="3" t="str">
        <f t="shared" si="0"/>
        <v/>
      </c>
    </row>
    <row r="30" spans="13:13">
      <c r="M30" s="3" t="str">
        <f t="shared" si="0"/>
        <v/>
      </c>
    </row>
    <row r="31" spans="13:13">
      <c r="M31" s="3" t="str">
        <f t="shared" si="0"/>
        <v/>
      </c>
    </row>
    <row r="32" spans="13:13">
      <c r="M32" s="3" t="str">
        <f t="shared" si="0"/>
        <v/>
      </c>
    </row>
    <row r="33" spans="12:13">
      <c r="M33" s="3" t="str">
        <f t="shared" si="0"/>
        <v/>
      </c>
    </row>
    <row r="34" spans="12:13">
      <c r="M34" s="3" t="str">
        <f t="shared" si="0"/>
        <v/>
      </c>
    </row>
    <row r="36" spans="12:13" ht="24" customHeight="1">
      <c r="L36" s="7" t="s">
        <v>144</v>
      </c>
      <c r="M36" s="7" t="str">
        <f>IF(COUNT(M5:M34)&gt;0,AVERAGE(M5:M34),"")</f>
        <v/>
      </c>
    </row>
  </sheetData>
  <mergeCells count="2">
    <mergeCell ref="A1:N1"/>
    <mergeCell ref="A2:N2"/>
  </mergeCells>
  <dataValidations count="1">
    <dataValidation type="list" sqref="C5:L34" xr:uid="{00000000-0002-0000-0200-000000000000}">
      <formula1>"1,2,3,4,5"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"/>
  <sheetViews>
    <sheetView workbookViewId="0">
      <pane ySplit="4" topLeftCell="A5" activePane="bottomLeft" state="frozen"/>
      <selection pane="bottomLeft" sqref="A1:I1"/>
    </sheetView>
  </sheetViews>
  <sheetFormatPr baseColWidth="10" defaultColWidth="9" defaultRowHeight="14.25"/>
  <cols>
    <col min="1" max="1" width="14.375" customWidth="1"/>
    <col min="2" max="2" width="14.75" customWidth="1"/>
    <col min="3" max="3" width="24.625" customWidth="1"/>
    <col min="4" max="4" width="28.875" customWidth="1"/>
    <col min="5" max="5" width="22.625" customWidth="1"/>
    <col min="6" max="6" width="21.875" customWidth="1"/>
    <col min="7" max="7" width="18.375" customWidth="1"/>
    <col min="8" max="8" width="18" customWidth="1"/>
    <col min="9" max="9" width="19.875" customWidth="1"/>
  </cols>
  <sheetData>
    <row r="1" spans="1:9" ht="36.950000000000003" customHeight="1">
      <c r="A1" s="8" t="s">
        <v>145</v>
      </c>
      <c r="B1" s="8"/>
      <c r="C1" s="8"/>
      <c r="D1" s="8"/>
      <c r="E1" s="8"/>
      <c r="F1" s="8"/>
      <c r="G1" s="8"/>
      <c r="H1" s="8"/>
      <c r="I1" s="8"/>
    </row>
    <row r="2" spans="1:9" ht="29.1" customHeight="1">
      <c r="A2" s="9" t="s">
        <v>146</v>
      </c>
      <c r="B2" s="9"/>
      <c r="C2" s="9"/>
      <c r="D2" s="9"/>
      <c r="E2" s="9"/>
      <c r="F2" s="9"/>
      <c r="G2" s="9"/>
      <c r="H2" s="9"/>
      <c r="I2" s="9"/>
    </row>
    <row r="4" spans="1:9" ht="30.95" customHeight="1">
      <c r="A4" s="5" t="s">
        <v>147</v>
      </c>
      <c r="B4" s="5" t="s">
        <v>148</v>
      </c>
      <c r="C4" s="5" t="s">
        <v>149</v>
      </c>
      <c r="D4" s="5" t="s">
        <v>150</v>
      </c>
      <c r="E4" s="5" t="s">
        <v>151</v>
      </c>
      <c r="F4" s="5" t="s">
        <v>152</v>
      </c>
      <c r="G4" s="5" t="s">
        <v>153</v>
      </c>
      <c r="H4" s="5" t="s">
        <v>154</v>
      </c>
      <c r="I4" s="5" t="s">
        <v>155</v>
      </c>
    </row>
  </sheetData>
  <mergeCells count="2">
    <mergeCell ref="A1:I1"/>
    <mergeCell ref="A2:I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4"/>
  <sheetViews>
    <sheetView workbookViewId="0">
      <pane ySplit="4" topLeftCell="A5" activePane="bottomLeft" state="frozen"/>
      <selection pane="bottomLeft" sqref="A1:H1"/>
    </sheetView>
  </sheetViews>
  <sheetFormatPr baseColWidth="10" defaultColWidth="9" defaultRowHeight="14.25"/>
  <cols>
    <col min="1" max="1" width="14.625" customWidth="1"/>
    <col min="2" max="2" width="38.375" customWidth="1"/>
    <col min="3" max="3" width="17" customWidth="1"/>
    <col min="4" max="4" width="16.5" customWidth="1"/>
    <col min="5" max="5" width="26.125" customWidth="1"/>
    <col min="6" max="6" width="23" customWidth="1"/>
    <col min="7" max="7" width="27" customWidth="1"/>
    <col min="8" max="8" width="12.75" customWidth="1"/>
  </cols>
  <sheetData>
    <row r="1" spans="1:8" ht="36.950000000000003" customHeight="1">
      <c r="A1" s="8" t="s">
        <v>156</v>
      </c>
      <c r="B1" s="8"/>
      <c r="C1" s="8"/>
      <c r="D1" s="8"/>
      <c r="E1" s="8"/>
      <c r="F1" s="8"/>
      <c r="G1" s="8"/>
      <c r="H1" s="8"/>
    </row>
    <row r="2" spans="1:8" ht="29.1" customHeight="1">
      <c r="A2" s="9" t="s">
        <v>157</v>
      </c>
      <c r="B2" s="9"/>
      <c r="C2" s="9"/>
      <c r="D2" s="9"/>
      <c r="E2" s="9"/>
      <c r="F2" s="9"/>
      <c r="G2" s="9"/>
      <c r="H2" s="9"/>
    </row>
    <row r="4" spans="1:8" ht="30.95" customHeight="1">
      <c r="A4" s="5" t="s">
        <v>158</v>
      </c>
      <c r="B4" s="5" t="s">
        <v>159</v>
      </c>
      <c r="C4" s="5" t="s">
        <v>160</v>
      </c>
      <c r="D4" s="5" t="s">
        <v>161</v>
      </c>
      <c r="E4" s="5" t="s">
        <v>162</v>
      </c>
      <c r="F4" s="5" t="s">
        <v>163</v>
      </c>
      <c r="G4" s="5" t="s">
        <v>164</v>
      </c>
      <c r="H4" s="5" t="s">
        <v>117</v>
      </c>
    </row>
    <row r="5" spans="1:8">
      <c r="G5" t="str">
        <f t="shared" ref="G5:G36" si="0">IF(AND(ISNUMBER(E5),ISNUMBER(F5),E5&gt;0),100*F5/E5,"")</f>
        <v/>
      </c>
    </row>
    <row r="6" spans="1:8">
      <c r="G6" t="str">
        <f t="shared" si="0"/>
        <v/>
      </c>
    </row>
    <row r="7" spans="1:8">
      <c r="G7" t="str">
        <f t="shared" si="0"/>
        <v/>
      </c>
    </row>
    <row r="8" spans="1:8">
      <c r="G8" t="str">
        <f t="shared" si="0"/>
        <v/>
      </c>
    </row>
    <row r="9" spans="1:8">
      <c r="G9" t="str">
        <f t="shared" si="0"/>
        <v/>
      </c>
    </row>
    <row r="10" spans="1:8">
      <c r="G10" t="str">
        <f t="shared" si="0"/>
        <v/>
      </c>
    </row>
    <row r="11" spans="1:8">
      <c r="G11" t="str">
        <f t="shared" si="0"/>
        <v/>
      </c>
    </row>
    <row r="12" spans="1:8">
      <c r="G12" t="str">
        <f t="shared" si="0"/>
        <v/>
      </c>
    </row>
    <row r="13" spans="1:8">
      <c r="G13" t="str">
        <f t="shared" si="0"/>
        <v/>
      </c>
    </row>
    <row r="14" spans="1:8">
      <c r="G14" t="str">
        <f t="shared" si="0"/>
        <v/>
      </c>
    </row>
    <row r="15" spans="1:8">
      <c r="G15" t="str">
        <f t="shared" si="0"/>
        <v/>
      </c>
    </row>
    <row r="16" spans="1:8">
      <c r="G16" t="str">
        <f t="shared" si="0"/>
        <v/>
      </c>
    </row>
    <row r="17" spans="7:7">
      <c r="G17" t="str">
        <f t="shared" si="0"/>
        <v/>
      </c>
    </row>
    <row r="18" spans="7:7">
      <c r="G18" t="str">
        <f t="shared" si="0"/>
        <v/>
      </c>
    </row>
    <row r="19" spans="7:7">
      <c r="G19" t="str">
        <f t="shared" si="0"/>
        <v/>
      </c>
    </row>
    <row r="20" spans="7:7">
      <c r="G20" t="str">
        <f t="shared" si="0"/>
        <v/>
      </c>
    </row>
    <row r="21" spans="7:7">
      <c r="G21" t="str">
        <f t="shared" si="0"/>
        <v/>
      </c>
    </row>
    <row r="22" spans="7:7">
      <c r="G22" t="str">
        <f t="shared" si="0"/>
        <v/>
      </c>
    </row>
    <row r="23" spans="7:7">
      <c r="G23" t="str">
        <f t="shared" si="0"/>
        <v/>
      </c>
    </row>
    <row r="24" spans="7:7">
      <c r="G24" t="str">
        <f t="shared" si="0"/>
        <v/>
      </c>
    </row>
    <row r="25" spans="7:7">
      <c r="G25" t="str">
        <f t="shared" si="0"/>
        <v/>
      </c>
    </row>
    <row r="26" spans="7:7">
      <c r="G26" t="str">
        <f t="shared" si="0"/>
        <v/>
      </c>
    </row>
    <row r="27" spans="7:7">
      <c r="G27" t="str">
        <f t="shared" si="0"/>
        <v/>
      </c>
    </row>
    <row r="28" spans="7:7">
      <c r="G28" t="str">
        <f t="shared" si="0"/>
        <v/>
      </c>
    </row>
    <row r="29" spans="7:7">
      <c r="G29" t="str">
        <f t="shared" si="0"/>
        <v/>
      </c>
    </row>
    <row r="30" spans="7:7">
      <c r="G30" t="str">
        <f t="shared" si="0"/>
        <v/>
      </c>
    </row>
    <row r="31" spans="7:7">
      <c r="G31" t="str">
        <f t="shared" si="0"/>
        <v/>
      </c>
    </row>
    <row r="32" spans="7:7">
      <c r="G32" t="str">
        <f t="shared" si="0"/>
        <v/>
      </c>
    </row>
    <row r="33" spans="7:7">
      <c r="G33" t="str">
        <f t="shared" si="0"/>
        <v/>
      </c>
    </row>
    <row r="34" spans="7:7">
      <c r="G34" t="str">
        <f t="shared" si="0"/>
        <v/>
      </c>
    </row>
    <row r="35" spans="7:7">
      <c r="G35" t="str">
        <f t="shared" si="0"/>
        <v/>
      </c>
    </row>
    <row r="36" spans="7:7">
      <c r="G36" t="str">
        <f t="shared" si="0"/>
        <v/>
      </c>
    </row>
    <row r="37" spans="7:7">
      <c r="G37" t="str">
        <f t="shared" ref="G37:G68" si="1">IF(AND(ISNUMBER(E37),ISNUMBER(F37),E37&gt;0),100*F37/E37,"")</f>
        <v/>
      </c>
    </row>
    <row r="38" spans="7:7">
      <c r="G38" t="str">
        <f t="shared" si="1"/>
        <v/>
      </c>
    </row>
    <row r="39" spans="7:7">
      <c r="G39" t="str">
        <f t="shared" si="1"/>
        <v/>
      </c>
    </row>
    <row r="40" spans="7:7">
      <c r="G40" t="str">
        <f t="shared" si="1"/>
        <v/>
      </c>
    </row>
    <row r="41" spans="7:7">
      <c r="G41" t="str">
        <f t="shared" si="1"/>
        <v/>
      </c>
    </row>
    <row r="42" spans="7:7">
      <c r="G42" t="str">
        <f t="shared" si="1"/>
        <v/>
      </c>
    </row>
    <row r="43" spans="7:7">
      <c r="G43" t="str">
        <f t="shared" si="1"/>
        <v/>
      </c>
    </row>
    <row r="44" spans="7:7">
      <c r="G44" t="str">
        <f t="shared" si="1"/>
        <v/>
      </c>
    </row>
    <row r="45" spans="7:7">
      <c r="G45" t="str">
        <f t="shared" si="1"/>
        <v/>
      </c>
    </row>
    <row r="46" spans="7:7">
      <c r="G46" t="str">
        <f t="shared" si="1"/>
        <v/>
      </c>
    </row>
    <row r="47" spans="7:7">
      <c r="G47" t="str">
        <f t="shared" si="1"/>
        <v/>
      </c>
    </row>
    <row r="48" spans="7:7">
      <c r="G48" t="str">
        <f t="shared" si="1"/>
        <v/>
      </c>
    </row>
    <row r="49" spans="7:7">
      <c r="G49" t="str">
        <f t="shared" si="1"/>
        <v/>
      </c>
    </row>
    <row r="50" spans="7:7">
      <c r="G50" t="str">
        <f t="shared" si="1"/>
        <v/>
      </c>
    </row>
    <row r="51" spans="7:7">
      <c r="G51" t="str">
        <f t="shared" si="1"/>
        <v/>
      </c>
    </row>
    <row r="52" spans="7:7">
      <c r="G52" t="str">
        <f t="shared" si="1"/>
        <v/>
      </c>
    </row>
    <row r="53" spans="7:7">
      <c r="G53" t="str">
        <f t="shared" si="1"/>
        <v/>
      </c>
    </row>
    <row r="54" spans="7:7">
      <c r="G54" t="str">
        <f t="shared" si="1"/>
        <v/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7"/>
  <sheetViews>
    <sheetView workbookViewId="0">
      <pane ySplit="4" topLeftCell="A5" activePane="bottomLeft" state="frozen"/>
      <selection pane="bottomLeft" activeCell="A2" sqref="A2:E2"/>
    </sheetView>
  </sheetViews>
  <sheetFormatPr baseColWidth="10" defaultColWidth="9" defaultRowHeight="14.25"/>
  <cols>
    <col min="1" max="1" width="13" customWidth="1"/>
    <col min="2" max="2" width="23" customWidth="1"/>
    <col min="3" max="3" width="48" customWidth="1"/>
    <col min="4" max="4" width="65" customWidth="1"/>
    <col min="5" max="5" width="86" customWidth="1"/>
  </cols>
  <sheetData>
    <row r="1" spans="1:5" ht="36.950000000000003" customHeight="1">
      <c r="A1" s="8" t="s">
        <v>282</v>
      </c>
      <c r="B1" s="8"/>
      <c r="C1" s="8"/>
      <c r="D1" s="8"/>
      <c r="E1" s="8"/>
    </row>
    <row r="2" spans="1:5" ht="29.1" customHeight="1">
      <c r="A2" s="9" t="s">
        <v>165</v>
      </c>
      <c r="B2" s="9"/>
      <c r="C2" s="9"/>
      <c r="D2" s="9"/>
      <c r="E2" s="9"/>
    </row>
    <row r="4" spans="1:5" ht="30.95" customHeight="1">
      <c r="A4" s="5" t="s">
        <v>2</v>
      </c>
      <c r="B4" s="5" t="s">
        <v>166</v>
      </c>
      <c r="C4" s="5" t="s">
        <v>167</v>
      </c>
      <c r="D4" s="5" t="s">
        <v>168</v>
      </c>
      <c r="E4" s="5" t="s">
        <v>169</v>
      </c>
    </row>
    <row r="5" spans="1:5" ht="60.95" customHeight="1">
      <c r="A5" s="6" t="s">
        <v>170</v>
      </c>
      <c r="B5" s="6" t="s">
        <v>171</v>
      </c>
      <c r="C5" s="6" t="s">
        <v>172</v>
      </c>
      <c r="D5" s="6" t="s">
        <v>173</v>
      </c>
      <c r="E5" s="6" t="s">
        <v>174</v>
      </c>
    </row>
    <row r="6" spans="1:5" ht="60.95" customHeight="1">
      <c r="A6" s="6" t="s">
        <v>175</v>
      </c>
      <c r="B6" s="6" t="s">
        <v>176</v>
      </c>
      <c r="C6" s="6" t="s">
        <v>177</v>
      </c>
      <c r="D6" s="6" t="s">
        <v>178</v>
      </c>
      <c r="E6" s="6" t="s">
        <v>179</v>
      </c>
    </row>
    <row r="7" spans="1:5" ht="60.95" customHeight="1">
      <c r="A7" s="6" t="s">
        <v>180</v>
      </c>
      <c r="B7" s="6" t="s">
        <v>181</v>
      </c>
      <c r="C7" s="6" t="s">
        <v>182</v>
      </c>
      <c r="D7" s="6" t="s">
        <v>183</v>
      </c>
      <c r="E7" s="6" t="s">
        <v>184</v>
      </c>
    </row>
    <row r="8" spans="1:5" ht="60.95" customHeight="1">
      <c r="A8" s="6" t="s">
        <v>185</v>
      </c>
      <c r="B8" s="6" t="s">
        <v>186</v>
      </c>
      <c r="C8" s="6" t="s">
        <v>187</v>
      </c>
      <c r="D8" s="6" t="s">
        <v>188</v>
      </c>
      <c r="E8" s="6" t="s">
        <v>189</v>
      </c>
    </row>
    <row r="9" spans="1:5" ht="60.95" customHeight="1">
      <c r="A9" s="6" t="s">
        <v>190</v>
      </c>
      <c r="B9" s="6" t="s">
        <v>191</v>
      </c>
      <c r="C9" s="6" t="s">
        <v>124</v>
      </c>
      <c r="D9" s="6" t="s">
        <v>192</v>
      </c>
      <c r="E9" s="6" t="s">
        <v>193</v>
      </c>
    </row>
    <row r="10" spans="1:5" ht="60.95" customHeight="1">
      <c r="A10" s="6" t="s">
        <v>194</v>
      </c>
      <c r="B10" s="6" t="s">
        <v>195</v>
      </c>
      <c r="C10" s="6" t="s">
        <v>127</v>
      </c>
      <c r="D10" s="6" t="s">
        <v>196</v>
      </c>
      <c r="E10" s="6" t="s">
        <v>197</v>
      </c>
    </row>
    <row r="11" spans="1:5" ht="60.95" customHeight="1">
      <c r="A11" s="6" t="s">
        <v>198</v>
      </c>
      <c r="B11" s="6" t="s">
        <v>199</v>
      </c>
      <c r="C11" s="6" t="s">
        <v>200</v>
      </c>
      <c r="D11" s="6" t="s">
        <v>201</v>
      </c>
      <c r="E11" s="6" t="s">
        <v>202</v>
      </c>
    </row>
    <row r="12" spans="1:5" ht="60.95" customHeight="1">
      <c r="A12" s="6" t="s">
        <v>203</v>
      </c>
      <c r="B12" s="6" t="s">
        <v>204</v>
      </c>
      <c r="C12" s="6" t="s">
        <v>205</v>
      </c>
      <c r="D12" s="6" t="s">
        <v>206</v>
      </c>
      <c r="E12" s="6" t="s">
        <v>207</v>
      </c>
    </row>
    <row r="13" spans="1:5" ht="60.95" customHeight="1">
      <c r="A13" s="6" t="s">
        <v>208</v>
      </c>
      <c r="B13" s="6" t="s">
        <v>209</v>
      </c>
      <c r="C13" s="6" t="s">
        <v>210</v>
      </c>
      <c r="D13" s="6" t="s">
        <v>211</v>
      </c>
      <c r="E13" s="6" t="s">
        <v>212</v>
      </c>
    </row>
    <row r="14" spans="1:5" ht="60.95" customHeight="1">
      <c r="A14" s="6" t="s">
        <v>213</v>
      </c>
      <c r="B14" s="6" t="s">
        <v>214</v>
      </c>
      <c r="C14" s="6" t="s">
        <v>215</v>
      </c>
      <c r="D14" s="6" t="s">
        <v>216</v>
      </c>
      <c r="E14" s="6" t="s">
        <v>217</v>
      </c>
    </row>
    <row r="15" spans="1:5" ht="60.95" customHeight="1">
      <c r="A15" s="6" t="s">
        <v>218</v>
      </c>
      <c r="B15" s="6" t="s">
        <v>219</v>
      </c>
      <c r="C15" s="6" t="s">
        <v>220</v>
      </c>
      <c r="D15" s="6" t="s">
        <v>221</v>
      </c>
      <c r="E15" s="6" t="s">
        <v>222</v>
      </c>
    </row>
    <row r="16" spans="1:5" ht="60.95" customHeight="1">
      <c r="A16" s="6" t="s">
        <v>223</v>
      </c>
      <c r="B16" s="6" t="s">
        <v>224</v>
      </c>
      <c r="C16" s="6" t="s">
        <v>225</v>
      </c>
      <c r="D16" s="6" t="s">
        <v>226</v>
      </c>
      <c r="E16" s="6" t="s">
        <v>227</v>
      </c>
    </row>
    <row r="17" spans="1:5" ht="60.95" customHeight="1">
      <c r="A17" s="6" t="s">
        <v>228</v>
      </c>
      <c r="B17" s="6" t="s">
        <v>229</v>
      </c>
      <c r="C17" s="6" t="s">
        <v>230</v>
      </c>
      <c r="D17" s="6" t="s">
        <v>231</v>
      </c>
      <c r="E17" s="6" t="s">
        <v>232</v>
      </c>
    </row>
    <row r="18" spans="1:5" ht="60.95" customHeight="1">
      <c r="A18" s="6" t="s">
        <v>233</v>
      </c>
      <c r="B18" s="6" t="s">
        <v>234</v>
      </c>
      <c r="C18" s="6" t="s">
        <v>235</v>
      </c>
      <c r="D18" s="6" t="s">
        <v>236</v>
      </c>
      <c r="E18" s="6" t="s">
        <v>237</v>
      </c>
    </row>
    <row r="19" spans="1:5" ht="60.95" customHeight="1">
      <c r="A19" s="6" t="s">
        <v>238</v>
      </c>
      <c r="B19" s="6" t="s">
        <v>239</v>
      </c>
      <c r="C19" s="6" t="s">
        <v>240</v>
      </c>
      <c r="D19" s="6" t="s">
        <v>241</v>
      </c>
      <c r="E19" s="6" t="s">
        <v>242</v>
      </c>
    </row>
    <row r="20" spans="1:5" ht="60.95" customHeight="1">
      <c r="A20" s="6" t="s">
        <v>243</v>
      </c>
      <c r="B20" s="6" t="s">
        <v>244</v>
      </c>
      <c r="C20" s="6" t="s">
        <v>245</v>
      </c>
      <c r="D20" s="6" t="s">
        <v>246</v>
      </c>
      <c r="E20" s="6" t="s">
        <v>247</v>
      </c>
    </row>
    <row r="21" spans="1:5" ht="60.95" customHeight="1">
      <c r="A21" s="6" t="s">
        <v>248</v>
      </c>
      <c r="B21" s="6" t="s">
        <v>249</v>
      </c>
      <c r="C21" s="6" t="s">
        <v>250</v>
      </c>
      <c r="D21" s="6" t="s">
        <v>251</v>
      </c>
      <c r="E21" s="6" t="s">
        <v>252</v>
      </c>
    </row>
    <row r="22" spans="1:5" ht="60.95" customHeight="1">
      <c r="A22" s="6" t="s">
        <v>253</v>
      </c>
      <c r="B22" s="6" t="s">
        <v>254</v>
      </c>
      <c r="C22" s="6" t="s">
        <v>255</v>
      </c>
      <c r="D22" s="6" t="s">
        <v>256</v>
      </c>
      <c r="E22" s="6" t="s">
        <v>257</v>
      </c>
    </row>
    <row r="23" spans="1:5" ht="60.95" customHeight="1">
      <c r="A23" s="6" t="s">
        <v>258</v>
      </c>
      <c r="B23" s="6" t="s">
        <v>259</v>
      </c>
      <c r="C23" s="6" t="s">
        <v>260</v>
      </c>
      <c r="D23" s="6" t="s">
        <v>261</v>
      </c>
      <c r="E23" s="6" t="s">
        <v>262</v>
      </c>
    </row>
    <row r="24" spans="1:5" ht="60.95" customHeight="1">
      <c r="A24" s="6" t="s">
        <v>263</v>
      </c>
      <c r="B24" s="6" t="s">
        <v>264</v>
      </c>
      <c r="C24" s="6" t="s">
        <v>265</v>
      </c>
      <c r="D24" s="6" t="s">
        <v>266</v>
      </c>
      <c r="E24" s="6" t="s">
        <v>267</v>
      </c>
    </row>
    <row r="25" spans="1:5" ht="60.95" customHeight="1">
      <c r="A25" s="6" t="s">
        <v>268</v>
      </c>
      <c r="B25" s="6" t="s">
        <v>269</v>
      </c>
      <c r="C25" s="6" t="s">
        <v>270</v>
      </c>
      <c r="D25" s="6" t="s">
        <v>271</v>
      </c>
      <c r="E25" s="6" t="s">
        <v>272</v>
      </c>
    </row>
    <row r="26" spans="1:5" ht="60.95" customHeight="1">
      <c r="A26" s="6" t="s">
        <v>273</v>
      </c>
      <c r="B26" s="6" t="s">
        <v>274</v>
      </c>
      <c r="C26" s="6" t="s">
        <v>275</v>
      </c>
      <c r="D26" s="6" t="s">
        <v>276</v>
      </c>
      <c r="E26" s="6" t="s">
        <v>277</v>
      </c>
    </row>
    <row r="27" spans="1:5" ht="60.95" customHeight="1">
      <c r="A27" s="6" t="s">
        <v>278</v>
      </c>
      <c r="B27" s="6" t="s">
        <v>279</v>
      </c>
      <c r="C27" s="6" t="s">
        <v>280</v>
      </c>
      <c r="D27" s="6" t="s">
        <v>281</v>
      </c>
      <c r="E27" s="6" t="s">
        <v>262</v>
      </c>
    </row>
  </sheetData>
  <mergeCells count="2">
    <mergeCell ref="A1:E1"/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VARIABLES</vt:lpstr>
      <vt:lpstr>NOTAS_OPERATIVAS</vt:lpstr>
      <vt:lpstr>SUS_CAPTURA</vt:lpstr>
      <vt:lpstr>OPERACIONES</vt:lpstr>
      <vt:lpstr>DISPONIBILIDAD</vt:lpstr>
      <vt:lpstr>FUENTES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 SANTIAGO PULGAR LEON</cp:lastModifiedBy>
  <dcterms:modified xsi:type="dcterms:W3CDTF">2026-10-14T19:28:05Z</dcterms:modified>
</cp:coreProperties>
</file>