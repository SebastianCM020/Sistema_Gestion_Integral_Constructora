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C3599D4-3B34-4773-B46C-A289F1FFC0F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sumen" sheetId="1" r:id="rId1"/>
    <sheet name="Escalas" sheetId="2" r:id="rId2"/>
    <sheet name="Matriz_Riesgos" sheetId="3" r:id="rId3"/>
    <sheet name="Respuesta_Priorizada" sheetId="4" r:id="rId4"/>
    <sheet name="Seguimien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3" l="1"/>
  <c r="J29" i="3"/>
  <c r="M29" i="3" s="1"/>
  <c r="N29" i="3" s="1"/>
  <c r="L28" i="3"/>
  <c r="J28" i="3"/>
  <c r="M28" i="3" s="1"/>
  <c r="N28" i="3" s="1"/>
  <c r="L27" i="3"/>
  <c r="J27" i="3"/>
  <c r="M27" i="3" s="1"/>
  <c r="N27" i="3" s="1"/>
  <c r="L26" i="3"/>
  <c r="J26" i="3"/>
  <c r="M26" i="3" s="1"/>
  <c r="N26" i="3" s="1"/>
  <c r="L25" i="3"/>
  <c r="J25" i="3"/>
  <c r="M25" i="3" s="1"/>
  <c r="N25" i="3" s="1"/>
  <c r="M24" i="3"/>
  <c r="N24" i="3" s="1"/>
  <c r="L24" i="3"/>
  <c r="J24" i="3"/>
  <c r="L23" i="3"/>
  <c r="J23" i="3"/>
  <c r="M23" i="3" s="1"/>
  <c r="N23" i="3" s="1"/>
  <c r="L22" i="3"/>
  <c r="J22" i="3"/>
  <c r="M22" i="3" s="1"/>
  <c r="N22" i="3" s="1"/>
  <c r="L21" i="3"/>
  <c r="J21" i="3"/>
  <c r="M21" i="3" s="1"/>
  <c r="N21" i="3" s="1"/>
  <c r="M20" i="3"/>
  <c r="N20" i="3" s="1"/>
  <c r="L20" i="3"/>
  <c r="J20" i="3"/>
  <c r="L19" i="3"/>
  <c r="J19" i="3"/>
  <c r="M19" i="3" s="1"/>
  <c r="N19" i="3" s="1"/>
  <c r="L18" i="3"/>
  <c r="J18" i="3"/>
  <c r="M18" i="3" s="1"/>
  <c r="N18" i="3" s="1"/>
  <c r="L17" i="3"/>
  <c r="J17" i="3"/>
  <c r="M17" i="3" s="1"/>
  <c r="N17" i="3" s="1"/>
  <c r="M16" i="3"/>
  <c r="N16" i="3" s="1"/>
  <c r="L16" i="3"/>
  <c r="J16" i="3"/>
  <c r="L15" i="3"/>
  <c r="J15" i="3"/>
  <c r="M15" i="3" s="1"/>
  <c r="N15" i="3" s="1"/>
  <c r="L14" i="3"/>
  <c r="J14" i="3"/>
  <c r="M14" i="3" s="1"/>
  <c r="N14" i="3" s="1"/>
  <c r="L13" i="3"/>
  <c r="J13" i="3"/>
  <c r="M13" i="3" s="1"/>
  <c r="N13" i="3" s="1"/>
  <c r="M12" i="3"/>
  <c r="N12" i="3" s="1"/>
  <c r="L12" i="3"/>
  <c r="J12" i="3"/>
  <c r="L11" i="3"/>
  <c r="J11" i="3"/>
  <c r="M11" i="3" s="1"/>
  <c r="N11" i="3" s="1"/>
  <c r="L10" i="3"/>
  <c r="J10" i="3"/>
  <c r="M10" i="3" s="1"/>
  <c r="N10" i="3" s="1"/>
  <c r="L9" i="3"/>
  <c r="J9" i="3"/>
  <c r="M9" i="3" s="1"/>
  <c r="N9" i="3" s="1"/>
  <c r="M8" i="3"/>
  <c r="N8" i="3" s="1"/>
  <c r="L8" i="3"/>
  <c r="J8" i="3"/>
  <c r="L7" i="3"/>
  <c r="J7" i="3"/>
  <c r="M7" i="3" s="1"/>
  <c r="N7" i="3" s="1"/>
  <c r="L6" i="3"/>
  <c r="J6" i="3"/>
  <c r="M6" i="3" s="1"/>
  <c r="N6" i="3" s="1"/>
  <c r="L5" i="3"/>
  <c r="J5" i="3"/>
  <c r="M5" i="3" s="1"/>
  <c r="N5" i="3" s="1"/>
  <c r="M4" i="3"/>
  <c r="N4" i="3" s="1"/>
  <c r="L4" i="3"/>
  <c r="J4" i="3"/>
  <c r="L3" i="3"/>
  <c r="J3" i="3"/>
  <c r="M3" i="3" s="1"/>
  <c r="N3" i="3" s="1"/>
  <c r="L2" i="3"/>
  <c r="J2" i="3"/>
  <c r="M2" i="3" s="1"/>
  <c r="N2" i="3" s="1"/>
  <c r="B7" i="1"/>
  <c r="I21" i="5" l="1"/>
  <c r="O21" i="3"/>
  <c r="B11" i="4" s="1"/>
  <c r="O13" i="3"/>
  <c r="I13" i="5"/>
  <c r="I4" i="5"/>
  <c r="O4" i="3"/>
  <c r="B4" i="4" s="1"/>
  <c r="I14" i="5"/>
  <c r="O14" i="3"/>
  <c r="B6" i="4" s="1"/>
  <c r="O6" i="3"/>
  <c r="I6" i="5"/>
  <c r="I24" i="5"/>
  <c r="O24" i="3"/>
  <c r="I28" i="5"/>
  <c r="O28" i="3"/>
  <c r="O3" i="3"/>
  <c r="B3" i="4" s="1"/>
  <c r="I3" i="5"/>
  <c r="I17" i="5"/>
  <c r="O17" i="3"/>
  <c r="B9" i="4" s="1"/>
  <c r="O20" i="3"/>
  <c r="I20" i="5"/>
  <c r="I12" i="5"/>
  <c r="O12" i="3"/>
  <c r="I22" i="5"/>
  <c r="O22" i="3"/>
  <c r="B12" i="4" s="1"/>
  <c r="I5" i="5"/>
  <c r="O5" i="3"/>
  <c r="I23" i="5"/>
  <c r="O23" i="3"/>
  <c r="B13" i="4" s="1"/>
  <c r="O15" i="3"/>
  <c r="B7" i="4" s="1"/>
  <c r="I15" i="5"/>
  <c r="O7" i="3"/>
  <c r="I7" i="5"/>
  <c r="I25" i="5"/>
  <c r="O25" i="3"/>
  <c r="B14" i="4" s="1"/>
  <c r="I16" i="5"/>
  <c r="O16" i="3"/>
  <c r="B8" i="4" s="1"/>
  <c r="I26" i="5"/>
  <c r="O26" i="3"/>
  <c r="I8" i="5"/>
  <c r="O8" i="3"/>
  <c r="B5" i="4" s="1"/>
  <c r="I9" i="5"/>
  <c r="O9" i="3"/>
  <c r="I18" i="5"/>
  <c r="O18" i="3"/>
  <c r="I27" i="5"/>
  <c r="O27" i="3"/>
  <c r="O10" i="3"/>
  <c r="I10" i="5"/>
  <c r="I19" i="5"/>
  <c r="O19" i="3"/>
  <c r="B10" i="4" s="1"/>
  <c r="F9" i="1"/>
  <c r="I2" i="5"/>
  <c r="O2" i="3"/>
  <c r="F10" i="1"/>
  <c r="F7" i="1"/>
  <c r="F8" i="1"/>
  <c r="O11" i="3"/>
  <c r="I11" i="5"/>
  <c r="I29" i="5"/>
  <c r="O29" i="3"/>
  <c r="B15" i="4" s="1"/>
  <c r="B2" i="4" l="1"/>
  <c r="B10" i="1"/>
  <c r="B8" i="1"/>
  <c r="B11" i="1"/>
  <c r="B9" i="1"/>
</calcChain>
</file>

<file path=xl/sharedStrings.xml><?xml version="1.0" encoding="utf-8"?>
<sst xmlns="http://schemas.openxmlformats.org/spreadsheetml/2006/main" count="872" uniqueCount="416">
  <si>
    <t>Matriz de riesgos ICARO actualizada</t>
  </si>
  <si>
    <t>Fecha de actualización: 2026-05-01</t>
  </si>
  <si>
    <t>Base de actualización</t>
  </si>
  <si>
    <t>Casos de uso CU-00 a CU-12, HU-01 a HU-26, historias técnicas, plan de sprints 5-11 y revisión del programa entregado.</t>
  </si>
  <si>
    <t>Criterio aplicado</t>
  </si>
  <si>
    <t>Se excluyen riesgos que ya cuentan con evidencia técnica suficiente y se mantienen solo riesgos activos, parciales o pendientes.</t>
  </si>
  <si>
    <t>Indicador</t>
  </si>
  <si>
    <t>Valor</t>
  </si>
  <si>
    <t>Interpretación</t>
  </si>
  <si>
    <t>Distribución por nivel</t>
  </si>
  <si>
    <t>Cantidad</t>
  </si>
  <si>
    <t>Total de riesgos activos</t>
  </si>
  <si>
    <t>Riesgos que requieren seguimiento desde sprint 5 en adelante.</t>
  </si>
  <si>
    <t>Crítica</t>
  </si>
  <si>
    <t>Riesgos prioridad I</t>
  </si>
  <si>
    <t>Atención inmediata por impacto crítico o exposición elevada.</t>
  </si>
  <si>
    <t>Alta</t>
  </si>
  <si>
    <t>Riesgos prioridad II</t>
  </si>
  <si>
    <t>Planificar mitigación dentro del sprint correspondiente.</t>
  </si>
  <si>
    <t>Moderada</t>
  </si>
  <si>
    <t>Riesgos prioridad III</t>
  </si>
  <si>
    <t>Seguimiento controlado y respuesta preventiva.</t>
  </si>
  <si>
    <t>Baja</t>
  </si>
  <si>
    <t>Riesgos prioridad IV</t>
  </si>
  <si>
    <t>Aceptación o monitoreo básico.</t>
  </si>
  <si>
    <t>Principales focos de riesgo</t>
  </si>
  <si>
    <t>Backend funcional incompleto; integración frontend/API/BD; offline real; Storage/Queue/Notification; cierre contable; planillas PDF; pruebas E2E; SUS y P95.</t>
  </si>
  <si>
    <t>Escalas y criterios de evaluación</t>
  </si>
  <si>
    <t>Escala de impacto</t>
  </si>
  <si>
    <t>Escala de probabilidad</t>
  </si>
  <si>
    <t>Nivel</t>
  </si>
  <si>
    <t>Puntaje</t>
  </si>
  <si>
    <t>Descripción</t>
  </si>
  <si>
    <t>Leve</t>
  </si>
  <si>
    <t>Afecta ajustes puntuales o actividades no críticas.</t>
  </si>
  <si>
    <t>Puede presentarse de forma poco frecuente.</t>
  </si>
  <si>
    <t>Moderado</t>
  </si>
  <si>
    <t>Incide en coordinación, acceso, documentación o consistencia parcial.</t>
  </si>
  <si>
    <t>Media</t>
  </si>
  <si>
    <t>Puede ocurrir bajo condiciones operativas o técnicas específicas.</t>
  </si>
  <si>
    <t>Alto</t>
  </si>
  <si>
    <t>Afecta entregables sustantivos, integración o calidad del sistema.</t>
  </si>
  <si>
    <t>Tiene condiciones favorables para ocurrir en el proyecto.</t>
  </si>
  <si>
    <t>Crítico</t>
  </si>
  <si>
    <t>Puede comprometer alcance, integridad, validación o entrega funcional.</t>
  </si>
  <si>
    <t>Regla de exposición</t>
  </si>
  <si>
    <t>Exposición</t>
  </si>
  <si>
    <t>Prioridad</t>
  </si>
  <si>
    <t>Criterio de respuesta</t>
  </si>
  <si>
    <t>9 a 12</t>
  </si>
  <si>
    <t>I</t>
  </si>
  <si>
    <t>Atención inmediata y seguimiento por sprint.</t>
  </si>
  <si>
    <t>7 a 8</t>
  </si>
  <si>
    <t>II</t>
  </si>
  <si>
    <t>Mitigación planificada y responsable definido.</t>
  </si>
  <si>
    <t>4 a 6</t>
  </si>
  <si>
    <t>III</t>
  </si>
  <si>
    <t>Control preventivo y seguimiento periódico.</t>
  </si>
  <si>
    <t>1 a 3</t>
  </si>
  <si>
    <t>IV</t>
  </si>
  <si>
    <t>Aceptación controlada o monitoreo básico.</t>
  </si>
  <si>
    <t>Código</t>
  </si>
  <si>
    <t>Riesgo identificado</t>
  </si>
  <si>
    <t>Categoría</t>
  </si>
  <si>
    <t>Fase / sprint principal</t>
  </si>
  <si>
    <t>HU/CU/RF afectados</t>
  </si>
  <si>
    <t>Evidencia utilizada</t>
  </si>
  <si>
    <t>Impacto resumido</t>
  </si>
  <si>
    <t>Detonante / señal de alerta</t>
  </si>
  <si>
    <t>Impacto</t>
  </si>
  <si>
    <t>Puntaje impacto</t>
  </si>
  <si>
    <t>Probabilidad</t>
  </si>
  <si>
    <t>Puntaje probabilidad</t>
  </si>
  <si>
    <t>Nivel exposición</t>
  </si>
  <si>
    <t>Estrategia principal</t>
  </si>
  <si>
    <t>Respuesta planificada</t>
  </si>
  <si>
    <t>Medida de contingencia</t>
  </si>
  <si>
    <t>Responsable sugerido</t>
  </si>
  <si>
    <t>Estado actualizado</t>
  </si>
  <si>
    <t>Observaciones</t>
  </si>
  <si>
    <t>R1</t>
  </si>
  <si>
    <t>Backend funcional incompleto para módulos de avances, compras, inventario, contabilidad, reportes y planillas.</t>
  </si>
  <si>
    <t>Técnico / Integración</t>
  </si>
  <si>
    <t>Sprints 5-11</t>
  </si>
  <si>
    <t>HU-01, HU-05, HU-08, HU-09, HU-11, HU-12, HU-13, HU-14, HU-23</t>
  </si>
  <si>
    <t>En server.js solo están activas /auth, /users y /proyectos; rutas /avances, /compras y /reportes aparecen comentadas, sin rutas de inventario ni cierres.</t>
  </si>
  <si>
    <t>Impide demostrar flujos completos con persistencia real y expone una brecha entre documentación y producto.</t>
  </si>
  <si>
    <t>Intentar ejecutar pruebas funcionales completas y encontrar módulos sin endpoints reales.</t>
  </si>
  <si>
    <t>Mitigación prioritaria</t>
  </si>
  <si>
    <t>Implementar rutas, controladores y servicios mínimos para avances, compras, inventario, cierres, reportes y planillas, priorizando los criterios críticos de HU actualizadas.</t>
  </si>
  <si>
    <t>Acotar alcance demostrable y documentar módulos no integrados como pendientes técnicos si no alcanzan a implementarse.</t>
  </si>
  <si>
    <t>Equipo backend / responsable técnico</t>
  </si>
  <si>
    <t>Activo</t>
  </si>
  <si>
    <t>Debe abordarse antes de una campaña integral de pruebas.</t>
  </si>
  <si>
    <t>R2</t>
  </si>
  <si>
    <t>Frontend con cobertura visual amplia, pero con dependencia de datos mock en módulos funcionales.</t>
  </si>
  <si>
    <t>Integración / Calidad</t>
  </si>
  <si>
    <t>HU-01 a HU-18, HU-23, HU-24</t>
  </si>
  <si>
    <t>El frontend contiene múltiples vistas y componentes, pero no se evidencia consumo real de API para los módulos de negocio.</t>
  </si>
  <si>
    <t>Puede generar falsa percepción de avance funcional porque las pantallas existen, pero no prueban persistencia ni reglas reales.</t>
  </si>
  <si>
    <t>Las pruebas navegan pantallas correctamente, pero los datos no cambian en PostgreSQL.</t>
  </si>
  <si>
    <t>Mitigación</t>
  </si>
  <si>
    <t>Sustituir mocks críticos por servicios API reales empezando por obra, compras, inventario y contabilidad.</t>
  </si>
  <si>
    <t>Mantener mocks solo para demostración visual y separar explícitamente evidencia frontend de evidencia funcional.</t>
  </si>
  <si>
    <t>Equipo frontend / backend</t>
  </si>
  <si>
    <t>Riesgo central de integración.</t>
  </si>
  <si>
    <t>R3</t>
  </si>
  <si>
    <t>Capa offline móvil no implementada como PWA/local cache/sincronización real.</t>
  </si>
  <si>
    <t>Disponibilidad / Offline</t>
  </si>
  <si>
    <t>Sprint 5 y Sprint 9</t>
  </si>
  <si>
    <t>HU-01, HU-03, HU-04, HU-09, HU-22</t>
  </si>
  <si>
    <t>package.json del frontend no incluye idb ni vite-plugin-pwa; existen componentes visuales de sincronización, pero no se evidencia motor offline real.</t>
  </si>
  <si>
    <t>El sistema no garantiza operación en campo sin conectividad ni sincronización posterior verificable.</t>
  </si>
  <si>
    <t>Modo sin red no conserva operaciones reales o no las sincroniza contra API.</t>
  </si>
  <si>
    <t>Implementar IndexedDB, cola local, estados Pendiente/Sincronizado/Error y Sync Manager conectado a la API.</t>
  </si>
  <si>
    <t>Reducir offline a prototipo controlado y declarar limitación si no se completa integración real.</t>
  </si>
  <si>
    <t>Equipo frontend móvil / backend</t>
  </si>
  <si>
    <t>Afecta directamente HU-22 y disponibilidad en campo.</t>
  </si>
  <si>
    <t>R4</t>
  </si>
  <si>
    <t>StorageService para evidencias y planillas no implementado en backend.</t>
  </si>
  <si>
    <t>Infraestructura / Archivos</t>
  </si>
  <si>
    <t>Sprint 5 y Sprint 11</t>
  </si>
  <si>
    <t>HU-03, HU-04, HU-13, HU-14</t>
  </si>
  <si>
    <t>El esquema contiene campos url/storageKey, pero no se observa servicio backend de almacenamiento para imágenes o PDFs.</t>
  </si>
  <si>
    <t>Las evidencias y planillas no pueden almacenarse ni recuperarse de forma persistente y trazable.</t>
  </si>
  <si>
    <t>Subida de archivo o consulta de PDF falla o queda simulada.</t>
  </si>
  <si>
    <t>Crear StorageService con validación de formato/tamaño, generación de nombre único y registro de URL o referencia persistente.</t>
  </si>
  <si>
    <t>Usar almacenamiento local controlado para prototipo y documentar limitación cloud.</t>
  </si>
  <si>
    <t>Equipo backend</t>
  </si>
  <si>
    <t>Debe cubrir evidencias y planillas.</t>
  </si>
  <si>
    <t>R5</t>
  </si>
  <si>
    <t>QueueService para planillas PDF pesadas no implementado.</t>
  </si>
  <si>
    <t>Infraestructura / Procesamiento diferido</t>
  </si>
  <si>
    <t>Sprint 11</t>
  </si>
  <si>
    <t>HU-13</t>
  </si>
  <si>
    <t>No se evidencia cola de tareas ni worker para generación diferida de PDF.</t>
  </si>
  <si>
    <t>La generación de planillas con evidencias puede bloquear la respuesta HTTP o fallar por tiempo de procesamiento.</t>
  </si>
  <si>
    <t>Planilla con muchas evidencias tarda demasiado o produce timeout.</t>
  </si>
  <si>
    <t>Implementar cola simple de generación con estados Pendiente, En proceso, Completado y Error.</t>
  </si>
  <si>
    <t>Limitar volumen de evidencias por planilla y procesar solo planillas ligeras de forma síncrona.</t>
  </si>
  <si>
    <t>Relacionado con PDF y notificaciones.</t>
  </si>
  <si>
    <t>R6</t>
  </si>
  <si>
    <t>NotificationService no implementado para aprobaciones, rechazos, requerimientos y planillas.</t>
  </si>
  <si>
    <t>Infraestructura / Comunicación funcional</t>
  </si>
  <si>
    <t>Sprint 6, 7 y 11</t>
  </si>
  <si>
    <t>HU-05, HU-06, HU-07, HU-13</t>
  </si>
  <si>
    <t>No se observa servicio backend de notificaciones; las historias actualizadas lo requieren como soporte funcional.</t>
  </si>
  <si>
    <t>Los usuarios no reciben avisos de eventos críticos y deben depender de consulta manual.</t>
  </si>
  <si>
    <t>Aprobaciones o planillas listas no notifican al usuario creador o solicitante.</t>
  </si>
  <si>
    <t>Implementar notificación interna básica y dejar parametrizable correo para fase posterior.</t>
  </si>
  <si>
    <t>Registrar avisos en bandeja del sistema sin envío externo.</t>
  </si>
  <si>
    <t>Equipo backend / frontend</t>
  </si>
  <si>
    <t>Debe evitarse sobredimensionar correo real si no hay tiempo.</t>
  </si>
  <si>
    <t>R7</t>
  </si>
  <si>
    <t>Modelo de datos no cubre completamente consumo, movimientos de inventario y órdenes de cambio.</t>
  </si>
  <si>
    <t>Datos / Dominio</t>
  </si>
  <si>
    <t>Sprints 7-9</t>
  </si>
  <si>
    <t>HU-02, HU-08, HU-09, HU-10</t>
  </si>
  <si>
    <t>schema.prisma incluye InventarioProyecto, pero no se evidencia entidad ConsumoMaterial, MovimientoInventario u OrdenCambio formal.</t>
  </si>
  <si>
    <t>Puede impedir trazabilidad completa de salidas, Kardex, validación de excedentes y autorización de avances fuera de presupuesto.</t>
  </si>
  <si>
    <t>No es posible reconstruir entradas/salidas o validar excedentes con soporte persistido.</t>
  </si>
  <si>
    <t>Agregar entidades mínimas para consumo, movimientos de inventario y autorización de cambio presupuestario o formalizar su exclusión.</t>
  </si>
  <si>
    <t>Usar audit_log y campos de inventario como soporte temporal, documentando limitación.</t>
  </si>
  <si>
    <t>Equipo de datos / backend</t>
  </si>
  <si>
    <t>Afecta inventario y control presupuestario.</t>
  </si>
  <si>
    <t>R8</t>
  </si>
  <si>
    <t>Inmutabilidad de audit_log no está protegida a nivel de base de datos.</t>
  </si>
  <si>
    <t>Auditoría / Seguridad</t>
  </si>
  <si>
    <t>Sprint 10-11</t>
  </si>
  <si>
    <t>HU-24, RNF auditoría</t>
  </si>
  <si>
    <t>Existe AuditLog y AuditService, pero no se observan triggers de bloqueo UPDATE/DELETE sobre audit_log.</t>
  </si>
  <si>
    <t>Un acceso directo a BD podría alterar o eliminar evidencia de auditoría.</t>
  </si>
  <si>
    <t>Actualización o eliminación manual de audit_log desde herramienta de administración.</t>
  </si>
  <si>
    <t>Agregar migración con triggers/funciones que bloqueen UPDATE y DELETE sobre audit_log.</t>
  </si>
  <si>
    <t>Restringir permisos de usuario de BD y documentar control manual.</t>
  </si>
  <si>
    <t>Equipo backend / base de datos</t>
  </si>
  <si>
    <t>El riesgo es parcial, porque la auditoría base sí existe.</t>
  </si>
  <si>
    <t>R9</t>
  </si>
  <si>
    <t>Auditoría automática genérica puede ser insuficiente para datos antes/después y eventos críticos.</t>
  </si>
  <si>
    <t>Auditoría / Trazabilidad</t>
  </si>
  <si>
    <t>Sprints 7-11</t>
  </si>
  <si>
    <t>HU-06, HU-07, HU-08, HU-09, HU-12, HU-13, HU-24</t>
  </si>
  <si>
    <t>audit.middleware registra body posterior, pero no garantiza snapshot real de datos antes/después en operaciones de dominio.</t>
  </si>
  <si>
    <t>Puede limitar la reconstrucción de decisiones críticas y cambios de estado.</t>
  </si>
  <si>
    <t>Consulta de auditoría no permite explicar quién cambió qué estado y cuál era el valor anterior.</t>
  </si>
  <si>
    <t>Complementar auditoría genérica con logs explícitos en servicios críticos de aprobación, recepción, consumo, cierre y planillas.</t>
  </si>
  <si>
    <t>Registrar datos mínimos obligatorios por evento si no se implementan snapshots completos.</t>
  </si>
  <si>
    <t>Clave para HU-24.</t>
  </si>
  <si>
    <t>R10</t>
  </si>
  <si>
    <t>Gestión de proyectos incompleta en backend.</t>
  </si>
  <si>
    <t>Configuración / Backend</t>
  </si>
  <si>
    <t>Sprint 5 y Sprint 6</t>
  </si>
  <si>
    <t>HU-15, HU-20, HU-21</t>
  </si>
  <si>
    <t>proyectos.routes.js permite listar y consultar detalle, pero no se evidencia creación, edición, activación/desactivación ni asignaciones administrativas completas.</t>
  </si>
  <si>
    <t>No se pueden cumplir HU-15, HU-20 y HU-21 de forma transaccional.</t>
  </si>
  <si>
    <t>Administrador no puede crear/editar proyectos reales mediante API.</t>
  </si>
  <si>
    <t>Agregar endpoints POST/PUT/PATCH para proyectos y endpoints de asignaciones usuario-proyecto-vigencia.</t>
  </si>
  <si>
    <t>Cargar proyectos por seed y documentar limitación administrativa.</t>
  </si>
  <si>
    <t>Los sprints 1-4 no se modifican; se regulariza desde sprint 5.</t>
  </si>
  <si>
    <t>R11</t>
  </si>
  <si>
    <t>Catálogo de materiales sin API administrativa real.</t>
  </si>
  <si>
    <t>Configuración / Inventario</t>
  </si>
  <si>
    <t>Sprint 6</t>
  </si>
  <si>
    <t>HU-05, HU-08, HU-09, HU-10, HU-26</t>
  </si>
  <si>
    <t>El frontend contiene componentes de materiales, pero no se observan rutas backend /materiales o /catalogos.</t>
  </si>
  <si>
    <t>Requerimientos, recepciones y consumos pueden quedar sin fuente real de materiales vigentes.</t>
  </si>
  <si>
    <t>El usuario intenta seleccionar o crear materiales y solo encuentra datos simulados.</t>
  </si>
  <si>
    <t>Implementar CRUD mínimo de materiales con estado activo/inactivo y validación de duplicados.</t>
  </si>
  <si>
    <t>Usar seed de materiales fijos y limitar administración del catálogo.</t>
  </si>
  <si>
    <t>Necesario para HU-26.</t>
  </si>
  <si>
    <t>R12</t>
  </si>
  <si>
    <t>Carga masiva de rubros no garantizada con rollback real en backend.</t>
  </si>
  <si>
    <t>Configuración / Carga masiva</t>
  </si>
  <si>
    <t>Sprint 5-6</t>
  </si>
  <si>
    <t>HU-16</t>
  </si>
  <si>
    <t>Hay componentes frontend de CSV, pero no se observa endpoint backend de importación transaccional.</t>
  </si>
  <si>
    <t>Puede ocurrir carga parcial o inconsistente de rubros frente a errores de archivo.</t>
  </si>
  <si>
    <t>CSV con error genera algunos rubros guardados y otros rechazados sin reversión completa.</t>
  </si>
  <si>
    <t>Implementar endpoint de importación CSV con validación de cabecera, tipos, duplicados y transacción atómica.</t>
  </si>
  <si>
    <t>Reducir carga a validación manual y registro individual si no se implementa importación completa.</t>
  </si>
  <si>
    <t>Debe mantener la cabecera exacta definida.</t>
  </si>
  <si>
    <t>R13</t>
  </si>
  <si>
    <t>Flujo de requerimientos de compra sin backend completo.</t>
  </si>
  <si>
    <t>Compras / Backend</t>
  </si>
  <si>
    <t>Sprints 6-7</t>
  </si>
  <si>
    <t>HU-05, HU-06, HU-07</t>
  </si>
  <si>
    <t>No se observa ruta /compras activa; server.js la mantiene comentada.</t>
  </si>
  <si>
    <t>No se pueden validar creación, aprobación, rechazo, notificación ni trazabilidad de requerimientos en BD.</t>
  </si>
  <si>
    <t>Bandeja de requerimientos no se alimenta con solicitudes reales.</t>
  </si>
  <si>
    <t>Activar módulo de compras con endpoints para creación, detalle, aprobación, rechazo y notificación.</t>
  </si>
  <si>
    <t>Mantener flujo simulado como evidencia visual, separándolo de la evidencia funcional.</t>
  </si>
  <si>
    <t>Dependencia directa de inventario.</t>
  </si>
  <si>
    <t>R14</t>
  </si>
  <si>
    <t>Recepción, consumo y consulta de inventario sin backend transaccional.</t>
  </si>
  <si>
    <t>Inventario / Backend</t>
  </si>
  <si>
    <t>Sprints 8-9</t>
  </si>
  <si>
    <t>HU-08, HU-09, HU-10</t>
  </si>
  <si>
    <t>No se observan rutas backend de inventario, recepción, consumo o movimientos.</t>
  </si>
  <si>
    <t>Riesgo de que el stock no se actualice realmente o no pueda demostrarse integridad ingreso-salida-saldo.</t>
  </si>
  <si>
    <t>Inventario visual no coincide con persistencia ni movimientos auditables.</t>
  </si>
  <si>
    <t>Implementar servicios transaccionales de recepción, consumo y consulta de inventario por proyecto.</t>
  </si>
  <si>
    <t>Limitar pruebas a un escenario manual controlado y documentar ausencia de Kardex real.</t>
  </si>
  <si>
    <t>Equipo backend / datos</t>
  </si>
  <si>
    <t>Afecta integridad contable posterior.</t>
  </si>
  <si>
    <t>R15</t>
  </si>
  <si>
    <t>Cierre contable, bloqueo de registros y hash sin implementación backend completa.</t>
  </si>
  <si>
    <t>Contabilidad / Integridad</t>
  </si>
  <si>
    <t>Sprint 10</t>
  </si>
  <si>
    <t>HU-11, HU-12</t>
  </si>
  <si>
    <t>El esquema incluye CierreMensual, pero no se observa ruta o servicio de cierre y bloqueo transaccional.</t>
  </si>
  <si>
    <t>No se puede asegurar que el periodo cerrado sea inmutable ni que el hash refleje datos reales.</t>
  </si>
  <si>
    <t>El usuario cierra un periodo, pero registros posteriores siguen editables o no existe hash verificable.</t>
  </si>
  <si>
    <t>Implementar motor de consolidación/cierre con validación de pendientes, hash, bloqueo y rollback ante fallas.</t>
  </si>
  <si>
    <t>Mostrar consolidación como prototipo y dejar cierre real como limitación técnica documentada.</t>
  </si>
  <si>
    <t>Equipo backend / contabilidad</t>
  </si>
  <si>
    <t>Clave para planillas PDF.</t>
  </si>
  <si>
    <t>R16</t>
  </si>
  <si>
    <t>Generación y consulta de planillas PDF sin backend ni procesamiento real.</t>
  </si>
  <si>
    <t>Reportes / Planillas</t>
  </si>
  <si>
    <t>HU-13, HU-14</t>
  </si>
  <si>
    <t>No se observa ruta activa /reportes ni servicio PDF; PlanillaPdf existe solo como modelo.</t>
  </si>
  <si>
    <t>La planilla puede quedar como artefacto visual sin respaldo de datos cerrados, evidencias ni archivo descargable.</t>
  </si>
  <si>
    <t>No se puede descargar PDF real o la generación no usa datos de cierre.</t>
  </si>
  <si>
    <t>Implementar generación mínima de PDF basada en cierre, guardar referencia y permitir consulta/descarga.</t>
  </si>
  <si>
    <t>Generar reporte HTML exportable manualmente y documentar limitación del PDF.</t>
  </si>
  <si>
    <t>Equipo backend / reportes</t>
  </si>
  <si>
    <t>Relacionar con StorageService y QueueService.</t>
  </si>
  <si>
    <t>R17</t>
  </si>
  <si>
    <t>Dashboards gerenciales sin consultas reales ni métricas integradas.</t>
  </si>
  <si>
    <t>Reportes / Gerencia</t>
  </si>
  <si>
    <t>HU-23</t>
  </si>
  <si>
    <t>El frontend incluye componentes de reportes, pero no se observa backend de indicadores consolidados.</t>
  </si>
  <si>
    <t>Los indicadores pueden no reflejar información real de avances, compras, inventario y cierres.</t>
  </si>
  <si>
    <t>Dashboard presenta valores mock o inconsistentes con BD.</t>
  </si>
  <si>
    <t>Construir endpoints de indicadores por proyecto y periodo con datos reales validados.</t>
  </si>
  <si>
    <t>Limitar dashboard a indicadores disponibles y declarar indicadores pendientes.</t>
  </si>
  <si>
    <t>Debe evitar mezclar datos entre proyectos.</t>
  </si>
  <si>
    <t>R18</t>
  </si>
  <si>
    <t>Pruebas automatizadas limitadas a seguridad, sin cobertura de módulos de negocio.</t>
  </si>
  <si>
    <t>Pruebas / Calidad</t>
  </si>
  <si>
    <t>HU-01 a HU-26</t>
  </si>
  <si>
    <t>Se observa security.test.js con pruebas JWT/RBAC/proyecto, pero no pruebas automatizadas para compras, inventario, cierre, planillas u offline.</t>
  </si>
  <si>
    <t>Errores de negocio podrían pasar sin detección antes de la entrega final.</t>
  </si>
  <si>
    <t>Cambios en servicios rompen reglas de negocio y CI no lo detecta.</t>
  </si>
  <si>
    <t>Agregar pruebas mínimas de integración para flujos críticos por sprint desde el sprint 5.</t>
  </si>
  <si>
    <t>Ejecutar pruebas manuales documentadas con evidencia si no se automatiza todo.</t>
  </si>
  <si>
    <t>Equipo QA / desarrollo</t>
  </si>
  <si>
    <t>Debe estar atado a criterios de aceptación.</t>
  </si>
  <si>
    <t>R19</t>
  </si>
  <si>
    <t>Validación SUS con usuarios clave sin evidencia ejecutada.</t>
  </si>
  <si>
    <t>Validación / Usabilidad</t>
  </si>
  <si>
    <t>RNF usabilidad, HU-23, HU-24</t>
  </si>
  <si>
    <t>La documentación exige SUS con usuarios clave, pero no se evidencia resultado aplicado.</t>
  </si>
  <si>
    <t>No se puede demostrar cumplimiento de usabilidad frente al umbral definido.</t>
  </si>
  <si>
    <t>No se consigue aplicar la encuesta o no se obtiene muestra mínima.</t>
  </si>
  <si>
    <t>Planificar sesión SUS en sprint 11 con guion, usuarios, formulario y consolidación de resultados.</t>
  </si>
  <si>
    <t>Aplicar validación heurística documentada si no se logra muestra completa.</t>
  </si>
  <si>
    <t>Equipo del proyecto / usuarios clave</t>
  </si>
  <si>
    <t>Debe cerrarse con evidencia.</t>
  </si>
  <si>
    <t>R20</t>
  </si>
  <si>
    <t>RNF de rendimiento P95, disponibilidad y fiabilidad sin medición verificable.</t>
  </si>
  <si>
    <t>RNF / Medición</t>
  </si>
  <si>
    <t>RNF-01, RNF-03, RNF-04</t>
  </si>
  <si>
    <t>No se observan resultados de pruebas de carga o medición P95 sobre endpoints reales.</t>
  </si>
  <si>
    <t>Los atributos de calidad quedan declarados, pero no demostrados.</t>
  </si>
  <si>
    <t>Informe final no puede respaldar P95 &lt; 2000 ms o disponibilidad esperada.</t>
  </si>
  <si>
    <t>Definir prueba ligera de rendimiento sobre endpoints principales y registrar resultados.</t>
  </si>
  <si>
    <t>Reportar medición parcial por módulo y justificar limitaciones del entorno.</t>
  </si>
  <si>
    <t>Equipo QA / backend</t>
  </si>
  <si>
    <t>Depende de tener endpoints reales.</t>
  </si>
  <si>
    <t>R21</t>
  </si>
  <si>
    <t>Replanificación concentrada desde sprint 5 por congelamiento de los sprints 1 al 4.</t>
  </si>
  <si>
    <t>Gestión / Cronograma</t>
  </si>
  <si>
    <t>Plan de sprints actualizado</t>
  </si>
  <si>
    <t>Los sprints 1-4 no pueden modificarse y los faltantes se trasladan a sprints posteriores.</t>
  </si>
  <si>
    <t>Aumenta el riesgo de acumulación de tareas críticas en las últimas semanas.</t>
  </si>
  <si>
    <t>Sprint 5 o 6 consume tiempo de regularización y desplaza inventario, contabilidad o reportes.</t>
  </si>
  <si>
    <t>Mantener tareas combinadas, priorizar flujos núcleo y reservar pruebas críticas por sprint.</t>
  </si>
  <si>
    <t>Reducir funcionalidades no esenciales y conservar trazabilidad documental del ajuste.</t>
  </si>
  <si>
    <t>Equipo del proyecto</t>
  </si>
  <si>
    <t>Debe monitorearse semanalmente.</t>
  </si>
  <si>
    <t>R22</t>
  </si>
  <si>
    <t>Pérdida de trazabilidad entre casos de uso, historias actualizadas, historias técnicas, pruebas y sprint plan.</t>
  </si>
  <si>
    <t>Trazabilidad / Documentación</t>
  </si>
  <si>
    <t>CU-00 a CU-12, HU-01 a HU-26</t>
  </si>
  <si>
    <t>La documentación fue ampliada con HU-19 a HU-26 y ajustes de dependencias; se requiere mantener consistencia entre matrices.</t>
  </si>
  <si>
    <t>Puede generar contradicciones durante defensa o revisión académica.</t>
  </si>
  <si>
    <t>Una HU, prueba o sprint hace referencia a RF/CU desactualizado.</t>
  </si>
  <si>
    <t>Mantener matriz CU-HU-HT-Pruebas actualizada y usar un único identificador por historia.</t>
  </si>
  <si>
    <t>Agregar anexo de cambios y correcciones de trazabilidad antes de la entrega.</t>
  </si>
  <si>
    <t>Responsable documental / técnico</t>
  </si>
  <si>
    <t>Evitar usar referencias anteriores HU-02/HU-03 de la tabla base.</t>
  </si>
  <si>
    <t>R23</t>
  </si>
  <si>
    <t>Estado activo/inactivo del proyecto no validado de forma completa en accesos operativos.</t>
  </si>
  <si>
    <t>Seguridad / Proyecto</t>
  </si>
  <si>
    <t>Sprints 5-8</t>
  </si>
  <si>
    <t>HU-17, HU-18, HU-20, HU-21</t>
  </si>
  <si>
    <t>projectAccess.middleware consulta estado del proyecto, pero no bloquea explícitamente proyectos inactivos.</t>
  </si>
  <si>
    <t>Usuarios podrían operar sobre proyectos desactivados si mantienen asignación vigente.</t>
  </si>
  <si>
    <t>Proyecto desactivado sigue visible u operativo para Residente/Bodeguero.</t>
  </si>
  <si>
    <t>Agregar validación de estado ACTIVO en middleware y servicios de operaciones por proyecto.</t>
  </si>
  <si>
    <t>Bloquear proyectos inactivos a nivel de interfaz mientras se ajusta backend.</t>
  </si>
  <si>
    <t>Equipo backend / seguridad</t>
  </si>
  <si>
    <t>Conecta con HU-20.</t>
  </si>
  <si>
    <t>R24</t>
  </si>
  <si>
    <t>Conflictos de sincronización offline y duplicados no resueltos formalmente.</t>
  </si>
  <si>
    <t>Offline / Integridad de datos</t>
  </si>
  <si>
    <t>HU-22, HU-09, HU-03</t>
  </si>
  <si>
    <t>No se observa implementación real de cola local con idempotencia o resolución de conflictos.</t>
  </si>
  <si>
    <t>Puede duplicar avances, consumos o evidencias, o rechazar registros sin trazabilidad clara.</t>
  </si>
  <si>
    <t>Reintentos luego de pérdida de conexión generan registros duplicados.</t>
  </si>
  <si>
    <t>Usar identificadores locales/idempotency keys, estados de sync y manejo de conflictos por servidor.</t>
  </si>
  <si>
    <t>Permitir revisión manual de registros con Error de sincronización.</t>
  </si>
  <si>
    <t>Es distinto al riesgo general offline.</t>
  </si>
  <si>
    <t>R25</t>
  </si>
  <si>
    <t>Integridad de base de datos insuficiente frente a reglas actualizadas.</t>
  </si>
  <si>
    <t>Datos / Restricciones</t>
  </si>
  <si>
    <t>Sprints 5-10</t>
  </si>
  <si>
    <t>HU-08, HU-09, HU-12, HU-16, HU-21</t>
  </si>
  <si>
    <t>El schema cubre modelos base, pero requiere constraints adicionales para duplicados por proyecto, relaciones, estados, auditoría inmutable y operaciones de inventario.</t>
  </si>
  <si>
    <t>Reglas que deberían estar protegidas en BD podrían depender solo del frontend o de servicios incompletos.</t>
  </si>
  <si>
    <t>Se insertan duplicados, estados inválidos o relaciones inconsistentes mediante API o seed.</t>
  </si>
  <si>
    <t>Agregar constraints, índices únicos por contexto, checks de estado y validaciones transaccionales.</t>
  </si>
  <si>
    <t>Controlar validaciones en servicios y registrar deuda técnica de constraints.</t>
  </si>
  <si>
    <t>Equipo base de datos / backend</t>
  </si>
  <si>
    <t>Revisar especialmente rubros, asignaciones e inventario.</t>
  </si>
  <si>
    <t>R26</t>
  </si>
  <si>
    <t>Reaparición de alcance de gestión documental avanzada en historias o módulos no aprobados.</t>
  </si>
  <si>
    <t>Alcance / Scope creep</t>
  </si>
  <si>
    <t>Alcance, HU-03, HU-13, HU-14</t>
  </si>
  <si>
    <t>La documentación actual excluye gestión documental avanzada, pero evidencias y planillas pueden confundirse con módulo documental.</t>
  </si>
  <si>
    <t>Puede ampliar alcance y consumir tiempo destinado a módulos críticos.</t>
  </si>
  <si>
    <t>Se solicitan funciones de carga, versionado o aprobación documental fuera de evidencias y planillas.</t>
  </si>
  <si>
    <t>Aceptación controlada</t>
  </si>
  <si>
    <t>Mantener la delimitación: solo evidencias fotográficas y planillas PDF; gestión documental queda para fase posterior.</t>
  </si>
  <si>
    <t>Registrar nuevas necesidades documentales en backlog futuro sin implementarlas en esta fase.</t>
  </si>
  <si>
    <t>Equipo del proyecto / director</t>
  </si>
  <si>
    <t>Riesgo de alcance, no de código.</t>
  </si>
  <si>
    <t>R27</t>
  </si>
  <si>
    <t>Configuración de despliegue y secretos insuficientemente endurecida para entorno productivo.</t>
  </si>
  <si>
    <t>Seguridad / Despliegue</t>
  </si>
  <si>
    <t>RNF seguridad, despliegue</t>
  </si>
  <si>
    <t>Existe Docker Compose y .env, pero se requiere revisar manejo de secretos, CORS, JWT_SECRET, base de datos y perfiles de entorno.</t>
  </si>
  <si>
    <t>Puede exponer credenciales o permitir configuraciones inseguras en demostración o despliegue.</t>
  </si>
  <si>
    <t>Variables sensibles quedan versionadas o CORS abierto en entorno no controlado.</t>
  </si>
  <si>
    <t>Separar .env.example de secretos reales, restringir CORS y documentar configuración segura.</t>
  </si>
  <si>
    <t>Usar entorno local controlado para defensa y no publicar credenciales.</t>
  </si>
  <si>
    <t>Equipo DevOps / backend</t>
  </si>
  <si>
    <t>No implica que Docker/CI sean inexistentes.</t>
  </si>
  <si>
    <t>R28</t>
  </si>
  <si>
    <t>Falta de evidencia end-to-end Frontend → API → PostgreSQL para flujos críticos.</t>
  </si>
  <si>
    <t>Integración / Evidencia</t>
  </si>
  <si>
    <t>HU-01, HU-05, HU-08, HU-09, HU-12, HU-13, HU-24</t>
  </si>
  <si>
    <t>El programa contiene backend parcial y frontend amplio; faltan recorridos integrados documentados con capturas/logs/BD.</t>
  </si>
  <si>
    <t>La defensa puede no probar que el sistema funciona más allá del prototipo visual.</t>
  </si>
  <si>
    <t>No se cuenta con evidencia de una operación real persistida y auditada de inicio a fin.</t>
  </si>
  <si>
    <t>Definir 5 flujos E2E mínimos: login, avance+evidencia, requerimiento+aprobación, recepción+consumo, cierre+planilla.</t>
  </si>
  <si>
    <t>Si un flujo no está completo, documentar evidencia parcial y brecha técnica con plan de corrección.</t>
  </si>
  <si>
    <t>Debe alimentar informe de ejecución actualizado.</t>
  </si>
  <si>
    <t>Riesgo priorizado</t>
  </si>
  <si>
    <t>Acción preventiva / respuesta</t>
  </si>
  <si>
    <t>Fase / sprint</t>
  </si>
  <si>
    <t>Estado</t>
  </si>
  <si>
    <t>Fecha de revisión</t>
  </si>
  <si>
    <t>Código del riesgo</t>
  </si>
  <si>
    <t>Riesgo</t>
  </si>
  <si>
    <t>Sprint / fase</t>
  </si>
  <si>
    <t>Probabilidad anterior</t>
  </si>
  <si>
    <t>Probabilidad nueva</t>
  </si>
  <si>
    <t>Impacto anterior</t>
  </si>
  <si>
    <t>Impacto nuevo</t>
  </si>
  <si>
    <t>Nivel anterior</t>
  </si>
  <si>
    <t>Nivel nuevo</t>
  </si>
  <si>
    <t>Responsable</t>
  </si>
  <si>
    <t>Acción tomada</t>
  </si>
  <si>
    <t>Próxima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</si>
</sst>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0F172A"/>
      <name val="Carlito"/>
    </font>
    <font>
      <b/>
      <sz val="10"/>
      <color rgb="FF1F2937"/>
      <name val="Carlito"/>
    </font>
    <font>
      <sz val="9"/>
      <color rgb="FF111827"/>
      <name val="Carlito"/>
    </font>
    <font>
      <b/>
      <sz val="16"/>
      <color rgb="FF0F172A"/>
      <name val="Carlito"/>
    </font>
    <font>
      <b/>
      <sz val="11"/>
      <name val="Carlito"/>
    </font>
    <font>
      <sz val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D9EAF7"/>
      </patternFill>
    </fill>
    <fill>
      <patternFill patternType="solid">
        <fgColor rgb="FFEFF6FF"/>
      </patternFill>
    </fill>
    <fill>
      <patternFill patternType="solid">
        <fgColor rgb="FFE0F2FE"/>
      </patternFill>
    </fill>
    <fill>
      <patternFill patternType="solid">
        <fgColor rgb="FFFDE2E2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4" fillId="4" borderId="0" xfId="0" applyFont="1" applyFill="1"/>
    <xf numFmtId="0" fontId="5" fillId="3" borderId="1" xfId="0" applyFont="1" applyFill="1" applyBorder="1"/>
    <xf numFmtId="0" fontId="6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5" fillId="5" borderId="0" xfId="0" applyFont="1" applyFill="1"/>
    <xf numFmtId="0" fontId="0" fillId="0" borderId="2" xfId="0" applyBorder="1" applyAlignment="1">
      <alignment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1" fontId="3" fillId="0" borderId="2" xfId="0" applyNumberFormat="1" applyFont="1" applyBorder="1" applyAlignment="1">
      <alignment vertical="top" wrapText="1"/>
    </xf>
    <xf numFmtId="1" fontId="3" fillId="6" borderId="2" xfId="0" applyNumberFormat="1" applyFont="1" applyFill="1" applyBorder="1" applyAlignment="1">
      <alignment vertical="top" wrapText="1"/>
    </xf>
    <xf numFmtId="1" fontId="3" fillId="7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workbookViewId="0"/>
  </sheetViews>
  <sheetFormatPr baseColWidth="10" defaultColWidth="9" defaultRowHeight="14.25"/>
  <cols>
    <col min="1" max="1" width="26" customWidth="1"/>
    <col min="2" max="2" width="18" customWidth="1"/>
    <col min="3" max="3" width="44" customWidth="1"/>
    <col min="5" max="5" width="20" customWidth="1"/>
    <col min="6" max="6" width="14" customWidth="1"/>
  </cols>
  <sheetData>
    <row r="1" spans="1:26" ht="19.5" customHeight="1">
      <c r="A1" s="4" t="s">
        <v>0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t="s">
        <v>1</v>
      </c>
    </row>
    <row r="3" spans="1:26" ht="73.150000000000006" customHeight="1">
      <c r="A3" s="6" t="s">
        <v>2</v>
      </c>
      <c r="B3" s="6" t="s">
        <v>3</v>
      </c>
      <c r="C3" s="6"/>
      <c r="D3" s="6"/>
      <c r="E3" s="6"/>
      <c r="F3" s="6"/>
    </row>
    <row r="4" spans="1:26" ht="85.35" customHeight="1">
      <c r="A4" s="6" t="s">
        <v>4</v>
      </c>
      <c r="B4" s="6" t="s">
        <v>5</v>
      </c>
      <c r="C4" s="6"/>
      <c r="D4" s="6"/>
      <c r="E4" s="6"/>
      <c r="F4" s="6"/>
    </row>
    <row r="5" spans="1:26" ht="15" customHeight="1"/>
    <row r="6" spans="1:26" ht="15" customHeight="1">
      <c r="A6" s="5" t="s">
        <v>6</v>
      </c>
      <c r="B6" s="5" t="s">
        <v>7</v>
      </c>
      <c r="C6" s="5" t="s">
        <v>8</v>
      </c>
      <c r="D6" s="5"/>
      <c r="E6" s="5" t="s">
        <v>9</v>
      </c>
      <c r="F6" s="5" t="s">
        <v>10</v>
      </c>
    </row>
    <row r="7" spans="1:26" ht="15" customHeight="1">
      <c r="A7" s="3" t="s">
        <v>11</v>
      </c>
      <c r="B7" s="14">
        <f>COUNTA(Matriz_Riesgos!A2:A29)</f>
        <v>28</v>
      </c>
      <c r="C7" s="3" t="s">
        <v>12</v>
      </c>
      <c r="D7" s="3"/>
      <c r="E7" s="3" t="s">
        <v>13</v>
      </c>
      <c r="F7" s="14">
        <f>COUNTIF(Matriz_Riesgos!N2:N29,"Crítica")</f>
        <v>11</v>
      </c>
    </row>
    <row r="8" spans="1:26" ht="15" customHeight="1">
      <c r="A8" s="3" t="s">
        <v>14</v>
      </c>
      <c r="B8" s="14">
        <f>COUNTIF(Matriz_Riesgos!O2:O29,"I")</f>
        <v>11</v>
      </c>
      <c r="C8" s="3" t="s">
        <v>15</v>
      </c>
      <c r="D8" s="3"/>
      <c r="E8" s="3" t="s">
        <v>16</v>
      </c>
      <c r="F8" s="14">
        <f>COUNTIF(Matriz_Riesgos!N2:N29,"Alta")</f>
        <v>1</v>
      </c>
    </row>
    <row r="9" spans="1:26" ht="15" customHeight="1">
      <c r="A9" s="3" t="s">
        <v>17</v>
      </c>
      <c r="B9" s="14">
        <f>COUNTIF(Matriz_Riesgos!O2:O29,"II")</f>
        <v>1</v>
      </c>
      <c r="C9" s="3" t="s">
        <v>18</v>
      </c>
      <c r="D9" s="3"/>
      <c r="E9" s="3" t="s">
        <v>19</v>
      </c>
      <c r="F9" s="14">
        <f>COUNTIF(Matriz_Riesgos!N2:N29,"Moderada")</f>
        <v>16</v>
      </c>
    </row>
    <row r="10" spans="1:26" ht="15" customHeight="1">
      <c r="A10" s="3" t="s">
        <v>20</v>
      </c>
      <c r="B10" s="14">
        <f>COUNTIF(Matriz_Riesgos!O2:O29,"III")</f>
        <v>16</v>
      </c>
      <c r="C10" s="3" t="s">
        <v>21</v>
      </c>
      <c r="D10" s="3"/>
      <c r="E10" s="3" t="s">
        <v>22</v>
      </c>
      <c r="F10" s="14">
        <f>COUNTIF(Matriz_Riesgos!N2:N29,"Baja")</f>
        <v>0</v>
      </c>
    </row>
    <row r="11" spans="1:26" ht="15" customHeight="1">
      <c r="A11" s="3" t="s">
        <v>23</v>
      </c>
      <c r="B11" s="14">
        <f>COUNTIF(Matriz_Riesgos!O2:O29,"IV")</f>
        <v>0</v>
      </c>
      <c r="C11" s="3" t="s">
        <v>24</v>
      </c>
      <c r="D11" s="3"/>
      <c r="E11" s="3"/>
      <c r="F11" s="3"/>
    </row>
    <row r="12" spans="1:26" ht="15" customHeight="1"/>
    <row r="13" spans="1:26" ht="134.25" customHeight="1">
      <c r="A13" s="7" t="s">
        <v>25</v>
      </c>
      <c r="B13" s="7" t="s">
        <v>26</v>
      </c>
      <c r="C13" s="7"/>
      <c r="D13" s="7"/>
      <c r="E13" s="7"/>
      <c r="F1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/>
  </sheetViews>
  <sheetFormatPr baseColWidth="10" defaultColWidth="9" defaultRowHeight="14.25"/>
  <cols>
    <col min="1" max="7" width="22" customWidth="1"/>
  </cols>
  <sheetData>
    <row r="1" spans="1:26" ht="17.100000000000001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/>
    <row r="3" spans="1:26" ht="15" customHeight="1">
      <c r="A3" s="8" t="s">
        <v>28</v>
      </c>
      <c r="B3" s="8"/>
      <c r="C3" s="8"/>
      <c r="E3" s="8" t="s">
        <v>29</v>
      </c>
      <c r="F3" s="8"/>
      <c r="G3" s="8"/>
    </row>
    <row r="4" spans="1:26" ht="15" customHeight="1">
      <c r="A4" s="5" t="s">
        <v>30</v>
      </c>
      <c r="B4" s="5" t="s">
        <v>31</v>
      </c>
      <c r="C4" s="5" t="s">
        <v>32</v>
      </c>
      <c r="E4" s="5" t="s">
        <v>30</v>
      </c>
      <c r="F4" s="5" t="s">
        <v>31</v>
      </c>
      <c r="G4" s="5" t="s">
        <v>32</v>
      </c>
    </row>
    <row r="5" spans="1:26" ht="21.95" customHeight="1">
      <c r="A5" s="3" t="s">
        <v>33</v>
      </c>
      <c r="B5" s="3">
        <v>1</v>
      </c>
      <c r="C5" s="3" t="s">
        <v>34</v>
      </c>
      <c r="E5" s="3" t="s">
        <v>22</v>
      </c>
      <c r="F5" s="3">
        <v>1</v>
      </c>
      <c r="G5" s="3" t="s">
        <v>35</v>
      </c>
    </row>
    <row r="6" spans="1:26" ht="33" customHeight="1">
      <c r="A6" s="3" t="s">
        <v>36</v>
      </c>
      <c r="B6" s="3">
        <v>2</v>
      </c>
      <c r="C6" s="3" t="s">
        <v>37</v>
      </c>
      <c r="E6" s="3" t="s">
        <v>38</v>
      </c>
      <c r="F6" s="3">
        <v>2</v>
      </c>
      <c r="G6" s="3" t="s">
        <v>39</v>
      </c>
    </row>
    <row r="7" spans="1:26" ht="33" customHeight="1">
      <c r="A7" s="3" t="s">
        <v>40</v>
      </c>
      <c r="B7" s="3">
        <v>3</v>
      </c>
      <c r="C7" s="3" t="s">
        <v>41</v>
      </c>
      <c r="E7" s="3" t="s">
        <v>16</v>
      </c>
      <c r="F7" s="3">
        <v>3</v>
      </c>
      <c r="G7" s="3" t="s">
        <v>42</v>
      </c>
    </row>
    <row r="8" spans="1:26" ht="33" customHeight="1">
      <c r="A8" s="3" t="s">
        <v>43</v>
      </c>
      <c r="B8" s="3">
        <v>4</v>
      </c>
      <c r="C8" s="3" t="s">
        <v>44</v>
      </c>
      <c r="E8" s="3"/>
      <c r="F8" s="3"/>
      <c r="G8" s="3"/>
    </row>
    <row r="9" spans="1:26" ht="15" customHeight="1"/>
    <row r="10" spans="1:26" ht="15" customHeight="1">
      <c r="A10" s="8" t="s">
        <v>45</v>
      </c>
      <c r="B10" s="8"/>
      <c r="C10" s="8"/>
      <c r="D10" s="8"/>
    </row>
    <row r="11" spans="1:26" ht="15" customHeight="1">
      <c r="A11" s="9" t="s">
        <v>46</v>
      </c>
      <c r="B11" s="9" t="s">
        <v>30</v>
      </c>
      <c r="C11" s="9" t="s">
        <v>47</v>
      </c>
      <c r="D11" s="9" t="s">
        <v>48</v>
      </c>
    </row>
    <row r="12" spans="1:26" ht="26.85" customHeight="1">
      <c r="A12" s="9" t="s">
        <v>49</v>
      </c>
      <c r="B12" s="9" t="s">
        <v>13</v>
      </c>
      <c r="C12" s="9" t="s">
        <v>50</v>
      </c>
      <c r="D12" s="9" t="s">
        <v>51</v>
      </c>
    </row>
    <row r="13" spans="1:26" ht="26.85" customHeight="1">
      <c r="A13" s="9" t="s">
        <v>52</v>
      </c>
      <c r="B13" s="9" t="s">
        <v>16</v>
      </c>
      <c r="C13" s="9" t="s">
        <v>53</v>
      </c>
      <c r="D13" s="9" t="s">
        <v>54</v>
      </c>
    </row>
    <row r="14" spans="1:26" ht="26.85" customHeight="1">
      <c r="A14" s="9" t="s">
        <v>55</v>
      </c>
      <c r="B14" s="9" t="s">
        <v>19</v>
      </c>
      <c r="C14" s="9" t="s">
        <v>56</v>
      </c>
      <c r="D14" s="9" t="s">
        <v>57</v>
      </c>
    </row>
    <row r="15" spans="1:26" ht="26.85" customHeight="1">
      <c r="A15" s="9" t="s">
        <v>58</v>
      </c>
      <c r="B15" s="9" t="s">
        <v>22</v>
      </c>
      <c r="C15" s="9" t="s">
        <v>59</v>
      </c>
      <c r="D15" s="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baseColWidth="10" defaultColWidth="9" defaultRowHeight="14.25"/>
  <cols>
    <col min="1" max="1" width="9" customWidth="1"/>
    <col min="2" max="2" width="34" customWidth="1"/>
    <col min="3" max="3" width="20" customWidth="1"/>
    <col min="4" max="4" width="17" customWidth="1"/>
    <col min="5" max="5" width="28" customWidth="1"/>
    <col min="6" max="8" width="34" customWidth="1"/>
    <col min="9" max="15" width="12" customWidth="1"/>
    <col min="16" max="18" width="34" customWidth="1"/>
    <col min="19" max="19" width="22" customWidth="1"/>
    <col min="20" max="20" width="14" customWidth="1"/>
    <col min="21" max="21" width="28" customWidth="1"/>
  </cols>
  <sheetData>
    <row r="1" spans="1:26" ht="24.4" customHeight="1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46</v>
      </c>
      <c r="N1" s="2" t="s">
        <v>73</v>
      </c>
      <c r="O1" s="2" t="s">
        <v>47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  <c r="U1" s="2" t="s">
        <v>79</v>
      </c>
      <c r="V1" s="1"/>
      <c r="W1" s="1"/>
      <c r="X1" s="1"/>
      <c r="Y1" s="1"/>
      <c r="Z1" s="1"/>
    </row>
    <row r="2" spans="1:26" ht="43.9" customHeight="1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  <c r="F2" s="3" t="s">
        <v>85</v>
      </c>
      <c r="G2" s="3" t="s">
        <v>86</v>
      </c>
      <c r="H2" s="3" t="s">
        <v>87</v>
      </c>
      <c r="I2" s="10" t="s">
        <v>43</v>
      </c>
      <c r="J2" s="14">
        <f t="shared" ref="J2:J29" si="0">IF(I2="Leve",1,IF(I2="Moderado",2,IF(I2="Alto",3,IF(I2="Crítico",4,0))))</f>
        <v>4</v>
      </c>
      <c r="K2" s="15" t="s">
        <v>16</v>
      </c>
      <c r="L2" s="14">
        <f t="shared" ref="L2:L29" si="1">IF(K2="Baja",1,IF(K2="Media",2,IF(K2="Alta",3,0)))</f>
        <v>3</v>
      </c>
      <c r="M2" s="14">
        <f t="shared" ref="M2:M29" si="2">J2*L2</f>
        <v>12</v>
      </c>
      <c r="N2" s="3" t="str">
        <f t="shared" ref="N2:N29" si="3">IF(M2&gt;=9,"Crítica",IF(M2&gt;=7,"Alta",IF(M2&gt;=4,"Moderada","Baja")))</f>
        <v>Crítica</v>
      </c>
      <c r="O2" s="3" t="str">
        <f t="shared" ref="O2:O29" si="4">IF(N2="Crítica","I",IF(N2="Alta","II",IF(N2="Moderada","III","IV")))</f>
        <v>I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13"/>
      <c r="W2" s="13"/>
      <c r="X2" s="13"/>
      <c r="Y2" s="13"/>
      <c r="Z2" s="13"/>
    </row>
    <row r="3" spans="1:26" ht="33" customHeight="1">
      <c r="A3" s="3" t="s">
        <v>94</v>
      </c>
      <c r="B3" s="3" t="s">
        <v>95</v>
      </c>
      <c r="C3" s="3" t="s">
        <v>96</v>
      </c>
      <c r="D3" s="3" t="s">
        <v>83</v>
      </c>
      <c r="E3" s="3" t="s">
        <v>97</v>
      </c>
      <c r="F3" s="3" t="s">
        <v>98</v>
      </c>
      <c r="G3" s="3" t="s">
        <v>99</v>
      </c>
      <c r="H3" s="3" t="s">
        <v>100</v>
      </c>
      <c r="I3" s="10" t="s">
        <v>43</v>
      </c>
      <c r="J3" s="14">
        <f t="shared" si="0"/>
        <v>4</v>
      </c>
      <c r="K3" s="15" t="s">
        <v>16</v>
      </c>
      <c r="L3" s="14">
        <f t="shared" si="1"/>
        <v>3</v>
      </c>
      <c r="M3" s="14">
        <f t="shared" si="2"/>
        <v>12</v>
      </c>
      <c r="N3" s="3" t="str">
        <f t="shared" si="3"/>
        <v>Crítica</v>
      </c>
      <c r="O3" s="3" t="str">
        <f t="shared" si="4"/>
        <v>I</v>
      </c>
      <c r="P3" s="3" t="s">
        <v>101</v>
      </c>
      <c r="Q3" s="3" t="s">
        <v>102</v>
      </c>
      <c r="R3" s="3" t="s">
        <v>103</v>
      </c>
      <c r="S3" s="3" t="s">
        <v>104</v>
      </c>
      <c r="T3" s="3" t="s">
        <v>92</v>
      </c>
      <c r="U3" s="3" t="s">
        <v>105</v>
      </c>
      <c r="V3" s="13"/>
      <c r="W3" s="13"/>
      <c r="X3" s="13"/>
      <c r="Y3" s="13"/>
      <c r="Z3" s="13"/>
    </row>
    <row r="4" spans="1:26" ht="43.9" customHeight="1">
      <c r="A4" s="3" t="s">
        <v>106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10" t="s">
        <v>43</v>
      </c>
      <c r="J4" s="14">
        <f t="shared" si="0"/>
        <v>4</v>
      </c>
      <c r="K4" s="15" t="s">
        <v>16</v>
      </c>
      <c r="L4" s="14">
        <f t="shared" si="1"/>
        <v>3</v>
      </c>
      <c r="M4" s="14">
        <f t="shared" si="2"/>
        <v>12</v>
      </c>
      <c r="N4" s="3" t="str">
        <f t="shared" si="3"/>
        <v>Crítica</v>
      </c>
      <c r="O4" s="3" t="str">
        <f t="shared" si="4"/>
        <v>I</v>
      </c>
      <c r="P4" s="3" t="s">
        <v>88</v>
      </c>
      <c r="Q4" s="3" t="s">
        <v>114</v>
      </c>
      <c r="R4" s="3" t="s">
        <v>115</v>
      </c>
      <c r="S4" s="3" t="s">
        <v>116</v>
      </c>
      <c r="T4" s="3" t="s">
        <v>92</v>
      </c>
      <c r="U4" s="3" t="s">
        <v>117</v>
      </c>
      <c r="V4" s="13"/>
      <c r="W4" s="13"/>
      <c r="X4" s="13"/>
      <c r="Y4" s="13"/>
      <c r="Z4" s="13"/>
    </row>
    <row r="5" spans="1:26" ht="33" customHeight="1">
      <c r="A5" s="3" t="s">
        <v>118</v>
      </c>
      <c r="B5" s="3" t="s">
        <v>119</v>
      </c>
      <c r="C5" s="3" t="s">
        <v>120</v>
      </c>
      <c r="D5" s="3" t="s">
        <v>121</v>
      </c>
      <c r="E5" s="3" t="s">
        <v>122</v>
      </c>
      <c r="F5" s="3" t="s">
        <v>123</v>
      </c>
      <c r="G5" s="3" t="s">
        <v>124</v>
      </c>
      <c r="H5" s="3" t="s">
        <v>125</v>
      </c>
      <c r="I5" s="11" t="s">
        <v>40</v>
      </c>
      <c r="J5" s="14">
        <f t="shared" si="0"/>
        <v>3</v>
      </c>
      <c r="K5" s="15" t="s">
        <v>16</v>
      </c>
      <c r="L5" s="14">
        <f t="shared" si="1"/>
        <v>3</v>
      </c>
      <c r="M5" s="14">
        <f t="shared" si="2"/>
        <v>9</v>
      </c>
      <c r="N5" s="3" t="str">
        <f t="shared" si="3"/>
        <v>Crítica</v>
      </c>
      <c r="O5" s="3" t="str">
        <f t="shared" si="4"/>
        <v>I</v>
      </c>
      <c r="P5" s="3" t="s">
        <v>101</v>
      </c>
      <c r="Q5" s="3" t="s">
        <v>126</v>
      </c>
      <c r="R5" s="3" t="s">
        <v>127</v>
      </c>
      <c r="S5" s="3" t="s">
        <v>128</v>
      </c>
      <c r="T5" s="3" t="s">
        <v>92</v>
      </c>
      <c r="U5" s="3" t="s">
        <v>129</v>
      </c>
      <c r="V5" s="13"/>
      <c r="W5" s="13"/>
      <c r="X5" s="13"/>
      <c r="Y5" s="13"/>
      <c r="Z5" s="13"/>
    </row>
    <row r="6" spans="1:26" ht="33" customHeight="1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11" t="s">
        <v>40</v>
      </c>
      <c r="J6" s="14">
        <f t="shared" si="0"/>
        <v>3</v>
      </c>
      <c r="K6" s="16" t="s">
        <v>38</v>
      </c>
      <c r="L6" s="14">
        <f t="shared" si="1"/>
        <v>2</v>
      </c>
      <c r="M6" s="14">
        <f t="shared" si="2"/>
        <v>6</v>
      </c>
      <c r="N6" s="3" t="str">
        <f t="shared" si="3"/>
        <v>Moderada</v>
      </c>
      <c r="O6" s="3" t="str">
        <f t="shared" si="4"/>
        <v>III</v>
      </c>
      <c r="P6" s="3" t="s">
        <v>101</v>
      </c>
      <c r="Q6" s="3" t="s">
        <v>138</v>
      </c>
      <c r="R6" s="3" t="s">
        <v>139</v>
      </c>
      <c r="S6" s="3" t="s">
        <v>128</v>
      </c>
      <c r="T6" s="3" t="s">
        <v>92</v>
      </c>
      <c r="U6" s="3" t="s">
        <v>140</v>
      </c>
      <c r="V6" s="13"/>
      <c r="W6" s="13"/>
      <c r="X6" s="13"/>
      <c r="Y6" s="13"/>
      <c r="Z6" s="13"/>
    </row>
    <row r="7" spans="1:26" ht="33" customHeight="1">
      <c r="A7" s="3" t="s">
        <v>141</v>
      </c>
      <c r="B7" s="3" t="s">
        <v>142</v>
      </c>
      <c r="C7" s="3" t="s">
        <v>143</v>
      </c>
      <c r="D7" s="3" t="s">
        <v>144</v>
      </c>
      <c r="E7" s="3" t="s">
        <v>145</v>
      </c>
      <c r="F7" s="3" t="s">
        <v>146</v>
      </c>
      <c r="G7" s="3" t="s">
        <v>147</v>
      </c>
      <c r="H7" s="3" t="s">
        <v>148</v>
      </c>
      <c r="I7" s="12" t="s">
        <v>36</v>
      </c>
      <c r="J7" s="14">
        <f t="shared" si="0"/>
        <v>2</v>
      </c>
      <c r="K7" s="15" t="s">
        <v>16</v>
      </c>
      <c r="L7" s="14">
        <f t="shared" si="1"/>
        <v>3</v>
      </c>
      <c r="M7" s="14">
        <f t="shared" si="2"/>
        <v>6</v>
      </c>
      <c r="N7" s="3" t="str">
        <f t="shared" si="3"/>
        <v>Moderada</v>
      </c>
      <c r="O7" s="3" t="str">
        <f t="shared" si="4"/>
        <v>III</v>
      </c>
      <c r="P7" s="3" t="s">
        <v>101</v>
      </c>
      <c r="Q7" s="3" t="s">
        <v>149</v>
      </c>
      <c r="R7" s="3" t="s">
        <v>150</v>
      </c>
      <c r="S7" s="3" t="s">
        <v>151</v>
      </c>
      <c r="T7" s="3" t="s">
        <v>92</v>
      </c>
      <c r="U7" s="3" t="s">
        <v>152</v>
      </c>
      <c r="V7" s="13"/>
      <c r="W7" s="13"/>
      <c r="X7" s="13"/>
      <c r="Y7" s="13"/>
      <c r="Z7" s="13"/>
    </row>
    <row r="8" spans="1:26" ht="33" customHeight="1">
      <c r="A8" s="3" t="s">
        <v>153</v>
      </c>
      <c r="B8" s="3" t="s">
        <v>154</v>
      </c>
      <c r="C8" s="3" t="s">
        <v>155</v>
      </c>
      <c r="D8" s="3" t="s">
        <v>156</v>
      </c>
      <c r="E8" s="3" t="s">
        <v>157</v>
      </c>
      <c r="F8" s="3" t="s">
        <v>158</v>
      </c>
      <c r="G8" s="3" t="s">
        <v>159</v>
      </c>
      <c r="H8" s="3" t="s">
        <v>160</v>
      </c>
      <c r="I8" s="10" t="s">
        <v>43</v>
      </c>
      <c r="J8" s="14">
        <f t="shared" si="0"/>
        <v>4</v>
      </c>
      <c r="K8" s="15" t="s">
        <v>16</v>
      </c>
      <c r="L8" s="14">
        <f t="shared" si="1"/>
        <v>3</v>
      </c>
      <c r="M8" s="14">
        <f t="shared" si="2"/>
        <v>12</v>
      </c>
      <c r="N8" s="3" t="str">
        <f t="shared" si="3"/>
        <v>Crítica</v>
      </c>
      <c r="O8" s="3" t="str">
        <f t="shared" si="4"/>
        <v>I</v>
      </c>
      <c r="P8" s="3" t="s">
        <v>88</v>
      </c>
      <c r="Q8" s="3" t="s">
        <v>161</v>
      </c>
      <c r="R8" s="3" t="s">
        <v>162</v>
      </c>
      <c r="S8" s="3" t="s">
        <v>163</v>
      </c>
      <c r="T8" s="3" t="s">
        <v>92</v>
      </c>
      <c r="U8" s="3" t="s">
        <v>164</v>
      </c>
      <c r="V8" s="13"/>
      <c r="W8" s="13"/>
      <c r="X8" s="13"/>
      <c r="Y8" s="13"/>
      <c r="Z8" s="13"/>
    </row>
    <row r="9" spans="1:26" ht="33" customHeight="1">
      <c r="A9" s="3" t="s">
        <v>165</v>
      </c>
      <c r="B9" s="3" t="s">
        <v>166</v>
      </c>
      <c r="C9" s="3" t="s">
        <v>167</v>
      </c>
      <c r="D9" s="3" t="s">
        <v>168</v>
      </c>
      <c r="E9" s="3" t="s">
        <v>169</v>
      </c>
      <c r="F9" s="3" t="s">
        <v>170</v>
      </c>
      <c r="G9" s="3" t="s">
        <v>171</v>
      </c>
      <c r="H9" s="3" t="s">
        <v>172</v>
      </c>
      <c r="I9" s="11" t="s">
        <v>40</v>
      </c>
      <c r="J9" s="14">
        <f t="shared" si="0"/>
        <v>3</v>
      </c>
      <c r="K9" s="16" t="s">
        <v>38</v>
      </c>
      <c r="L9" s="14">
        <f t="shared" si="1"/>
        <v>2</v>
      </c>
      <c r="M9" s="14">
        <f t="shared" si="2"/>
        <v>6</v>
      </c>
      <c r="N9" s="3" t="str">
        <f t="shared" si="3"/>
        <v>Moderada</v>
      </c>
      <c r="O9" s="3" t="str">
        <f t="shared" si="4"/>
        <v>III</v>
      </c>
      <c r="P9" s="3" t="s">
        <v>101</v>
      </c>
      <c r="Q9" s="3" t="s">
        <v>173</v>
      </c>
      <c r="R9" s="3" t="s">
        <v>174</v>
      </c>
      <c r="S9" s="3" t="s">
        <v>175</v>
      </c>
      <c r="T9" s="3" t="s">
        <v>92</v>
      </c>
      <c r="U9" s="3" t="s">
        <v>176</v>
      </c>
      <c r="V9" s="13"/>
      <c r="W9" s="13"/>
      <c r="X9" s="13"/>
      <c r="Y9" s="13"/>
      <c r="Z9" s="13"/>
    </row>
    <row r="10" spans="1:26" ht="33" customHeight="1">
      <c r="A10" s="3" t="s">
        <v>177</v>
      </c>
      <c r="B10" s="3" t="s">
        <v>178</v>
      </c>
      <c r="C10" s="3" t="s">
        <v>179</v>
      </c>
      <c r="D10" s="3" t="s">
        <v>180</v>
      </c>
      <c r="E10" s="3" t="s">
        <v>181</v>
      </c>
      <c r="F10" s="3" t="s">
        <v>182</v>
      </c>
      <c r="G10" s="3" t="s">
        <v>183</v>
      </c>
      <c r="H10" s="3" t="s">
        <v>184</v>
      </c>
      <c r="I10" s="11" t="s">
        <v>40</v>
      </c>
      <c r="J10" s="14">
        <f t="shared" si="0"/>
        <v>3</v>
      </c>
      <c r="K10" s="16" t="s">
        <v>38</v>
      </c>
      <c r="L10" s="14">
        <f t="shared" si="1"/>
        <v>2</v>
      </c>
      <c r="M10" s="14">
        <f t="shared" si="2"/>
        <v>6</v>
      </c>
      <c r="N10" s="3" t="str">
        <f t="shared" si="3"/>
        <v>Moderada</v>
      </c>
      <c r="O10" s="3" t="str">
        <f t="shared" si="4"/>
        <v>III</v>
      </c>
      <c r="P10" s="3" t="s">
        <v>101</v>
      </c>
      <c r="Q10" s="3" t="s">
        <v>185</v>
      </c>
      <c r="R10" s="3" t="s">
        <v>186</v>
      </c>
      <c r="S10" s="3" t="s">
        <v>128</v>
      </c>
      <c r="T10" s="3" t="s">
        <v>92</v>
      </c>
      <c r="U10" s="3" t="s">
        <v>187</v>
      </c>
      <c r="V10" s="13"/>
      <c r="W10" s="13"/>
      <c r="X10" s="13"/>
      <c r="Y10" s="13"/>
      <c r="Z10" s="13"/>
    </row>
    <row r="11" spans="1:26" ht="43.9" customHeight="1">
      <c r="A11" s="3" t="s">
        <v>188</v>
      </c>
      <c r="B11" s="3" t="s">
        <v>189</v>
      </c>
      <c r="C11" s="3" t="s">
        <v>190</v>
      </c>
      <c r="D11" s="3" t="s">
        <v>191</v>
      </c>
      <c r="E11" s="3" t="s">
        <v>192</v>
      </c>
      <c r="F11" s="3" t="s">
        <v>193</v>
      </c>
      <c r="G11" s="3" t="s">
        <v>194</v>
      </c>
      <c r="H11" s="3" t="s">
        <v>195</v>
      </c>
      <c r="I11" s="11" t="s">
        <v>40</v>
      </c>
      <c r="J11" s="14">
        <f t="shared" si="0"/>
        <v>3</v>
      </c>
      <c r="K11" s="16" t="s">
        <v>38</v>
      </c>
      <c r="L11" s="14">
        <f t="shared" si="1"/>
        <v>2</v>
      </c>
      <c r="M11" s="14">
        <f t="shared" si="2"/>
        <v>6</v>
      </c>
      <c r="N11" s="3" t="str">
        <f t="shared" si="3"/>
        <v>Moderada</v>
      </c>
      <c r="O11" s="3" t="str">
        <f t="shared" si="4"/>
        <v>III</v>
      </c>
      <c r="P11" s="3" t="s">
        <v>101</v>
      </c>
      <c r="Q11" s="3" t="s">
        <v>196</v>
      </c>
      <c r="R11" s="3" t="s">
        <v>197</v>
      </c>
      <c r="S11" s="3" t="s">
        <v>128</v>
      </c>
      <c r="T11" s="3" t="s">
        <v>92</v>
      </c>
      <c r="U11" s="3" t="s">
        <v>198</v>
      </c>
      <c r="V11" s="13"/>
      <c r="W11" s="13"/>
      <c r="X11" s="13"/>
      <c r="Y11" s="13"/>
      <c r="Z11" s="13"/>
    </row>
    <row r="12" spans="1:26" ht="33" customHeight="1">
      <c r="A12" s="3" t="s">
        <v>199</v>
      </c>
      <c r="B12" s="3" t="s">
        <v>200</v>
      </c>
      <c r="C12" s="3" t="s">
        <v>201</v>
      </c>
      <c r="D12" s="3" t="s">
        <v>202</v>
      </c>
      <c r="E12" s="3" t="s">
        <v>203</v>
      </c>
      <c r="F12" s="3" t="s">
        <v>204</v>
      </c>
      <c r="G12" s="3" t="s">
        <v>205</v>
      </c>
      <c r="H12" s="3" t="s">
        <v>206</v>
      </c>
      <c r="I12" s="11" t="s">
        <v>40</v>
      </c>
      <c r="J12" s="14">
        <f t="shared" si="0"/>
        <v>3</v>
      </c>
      <c r="K12" s="16" t="s">
        <v>38</v>
      </c>
      <c r="L12" s="14">
        <f t="shared" si="1"/>
        <v>2</v>
      </c>
      <c r="M12" s="14">
        <f t="shared" si="2"/>
        <v>6</v>
      </c>
      <c r="N12" s="3" t="str">
        <f t="shared" si="3"/>
        <v>Moderada</v>
      </c>
      <c r="O12" s="3" t="str">
        <f t="shared" si="4"/>
        <v>III</v>
      </c>
      <c r="P12" s="3" t="s">
        <v>101</v>
      </c>
      <c r="Q12" s="3" t="s">
        <v>207</v>
      </c>
      <c r="R12" s="3" t="s">
        <v>208</v>
      </c>
      <c r="S12" s="3" t="s">
        <v>151</v>
      </c>
      <c r="T12" s="3" t="s">
        <v>92</v>
      </c>
      <c r="U12" s="3" t="s">
        <v>209</v>
      </c>
      <c r="V12" s="13"/>
      <c r="W12" s="13"/>
      <c r="X12" s="13"/>
      <c r="Y12" s="13"/>
      <c r="Z12" s="13"/>
    </row>
    <row r="13" spans="1:26" ht="33" customHeight="1">
      <c r="A13" s="3" t="s">
        <v>210</v>
      </c>
      <c r="B13" s="3" t="s">
        <v>211</v>
      </c>
      <c r="C13" s="3" t="s">
        <v>212</v>
      </c>
      <c r="D13" s="3" t="s">
        <v>213</v>
      </c>
      <c r="E13" s="3" t="s">
        <v>214</v>
      </c>
      <c r="F13" s="3" t="s">
        <v>215</v>
      </c>
      <c r="G13" s="3" t="s">
        <v>216</v>
      </c>
      <c r="H13" s="3" t="s">
        <v>217</v>
      </c>
      <c r="I13" s="11" t="s">
        <v>40</v>
      </c>
      <c r="J13" s="14">
        <f t="shared" si="0"/>
        <v>3</v>
      </c>
      <c r="K13" s="16" t="s">
        <v>38</v>
      </c>
      <c r="L13" s="14">
        <f t="shared" si="1"/>
        <v>2</v>
      </c>
      <c r="M13" s="14">
        <f t="shared" si="2"/>
        <v>6</v>
      </c>
      <c r="N13" s="3" t="str">
        <f t="shared" si="3"/>
        <v>Moderada</v>
      </c>
      <c r="O13" s="3" t="str">
        <f t="shared" si="4"/>
        <v>III</v>
      </c>
      <c r="P13" s="3" t="s">
        <v>101</v>
      </c>
      <c r="Q13" s="3" t="s">
        <v>218</v>
      </c>
      <c r="R13" s="3" t="s">
        <v>219</v>
      </c>
      <c r="S13" s="3" t="s">
        <v>128</v>
      </c>
      <c r="T13" s="3" t="s">
        <v>92</v>
      </c>
      <c r="U13" s="3" t="s">
        <v>220</v>
      </c>
      <c r="V13" s="13"/>
      <c r="W13" s="13"/>
      <c r="X13" s="13"/>
      <c r="Y13" s="13"/>
      <c r="Z13" s="13"/>
    </row>
    <row r="14" spans="1:26" ht="33" customHeight="1">
      <c r="A14" s="3" t="s">
        <v>221</v>
      </c>
      <c r="B14" s="3" t="s">
        <v>222</v>
      </c>
      <c r="C14" s="3" t="s">
        <v>223</v>
      </c>
      <c r="D14" s="3" t="s">
        <v>224</v>
      </c>
      <c r="E14" s="3" t="s">
        <v>225</v>
      </c>
      <c r="F14" s="3" t="s">
        <v>226</v>
      </c>
      <c r="G14" s="3" t="s">
        <v>227</v>
      </c>
      <c r="H14" s="3" t="s">
        <v>228</v>
      </c>
      <c r="I14" s="10" t="s">
        <v>43</v>
      </c>
      <c r="J14" s="14">
        <f t="shared" si="0"/>
        <v>4</v>
      </c>
      <c r="K14" s="15" t="s">
        <v>16</v>
      </c>
      <c r="L14" s="14">
        <f t="shared" si="1"/>
        <v>3</v>
      </c>
      <c r="M14" s="14">
        <f t="shared" si="2"/>
        <v>12</v>
      </c>
      <c r="N14" s="3" t="str">
        <f t="shared" si="3"/>
        <v>Crítica</v>
      </c>
      <c r="O14" s="3" t="str">
        <f t="shared" si="4"/>
        <v>I</v>
      </c>
      <c r="P14" s="3" t="s">
        <v>88</v>
      </c>
      <c r="Q14" s="3" t="s">
        <v>229</v>
      </c>
      <c r="R14" s="3" t="s">
        <v>230</v>
      </c>
      <c r="S14" s="3" t="s">
        <v>151</v>
      </c>
      <c r="T14" s="3" t="s">
        <v>92</v>
      </c>
      <c r="U14" s="3" t="s">
        <v>231</v>
      </c>
      <c r="V14" s="13"/>
      <c r="W14" s="13"/>
      <c r="X14" s="13"/>
      <c r="Y14" s="13"/>
      <c r="Z14" s="13"/>
    </row>
    <row r="15" spans="1:26" ht="33" customHeight="1">
      <c r="A15" s="3" t="s">
        <v>232</v>
      </c>
      <c r="B15" s="3" t="s">
        <v>233</v>
      </c>
      <c r="C15" s="3" t="s">
        <v>234</v>
      </c>
      <c r="D15" s="3" t="s">
        <v>235</v>
      </c>
      <c r="E15" s="3" t="s">
        <v>236</v>
      </c>
      <c r="F15" s="3" t="s">
        <v>237</v>
      </c>
      <c r="G15" s="3" t="s">
        <v>238</v>
      </c>
      <c r="H15" s="3" t="s">
        <v>239</v>
      </c>
      <c r="I15" s="10" t="s">
        <v>43</v>
      </c>
      <c r="J15" s="14">
        <f t="shared" si="0"/>
        <v>4</v>
      </c>
      <c r="K15" s="15" t="s">
        <v>16</v>
      </c>
      <c r="L15" s="14">
        <f t="shared" si="1"/>
        <v>3</v>
      </c>
      <c r="M15" s="14">
        <f t="shared" si="2"/>
        <v>12</v>
      </c>
      <c r="N15" s="3" t="str">
        <f t="shared" si="3"/>
        <v>Crítica</v>
      </c>
      <c r="O15" s="3" t="str">
        <f t="shared" si="4"/>
        <v>I</v>
      </c>
      <c r="P15" s="3" t="s">
        <v>88</v>
      </c>
      <c r="Q15" s="3" t="s">
        <v>240</v>
      </c>
      <c r="R15" s="3" t="s">
        <v>241</v>
      </c>
      <c r="S15" s="3" t="s">
        <v>242</v>
      </c>
      <c r="T15" s="3" t="s">
        <v>92</v>
      </c>
      <c r="U15" s="3" t="s">
        <v>243</v>
      </c>
      <c r="V15" s="13"/>
      <c r="W15" s="13"/>
      <c r="X15" s="13"/>
      <c r="Y15" s="13"/>
      <c r="Z15" s="13"/>
    </row>
    <row r="16" spans="1:26" ht="33" customHeight="1">
      <c r="A16" s="3" t="s">
        <v>244</v>
      </c>
      <c r="B16" s="3" t="s">
        <v>245</v>
      </c>
      <c r="C16" s="3" t="s">
        <v>246</v>
      </c>
      <c r="D16" s="3" t="s">
        <v>247</v>
      </c>
      <c r="E16" s="3" t="s">
        <v>248</v>
      </c>
      <c r="F16" s="3" t="s">
        <v>249</v>
      </c>
      <c r="G16" s="3" t="s">
        <v>250</v>
      </c>
      <c r="H16" s="3" t="s">
        <v>251</v>
      </c>
      <c r="I16" s="10" t="s">
        <v>43</v>
      </c>
      <c r="J16" s="14">
        <f t="shared" si="0"/>
        <v>4</v>
      </c>
      <c r="K16" s="15" t="s">
        <v>16</v>
      </c>
      <c r="L16" s="14">
        <f t="shared" si="1"/>
        <v>3</v>
      </c>
      <c r="M16" s="14">
        <f t="shared" si="2"/>
        <v>12</v>
      </c>
      <c r="N16" s="3" t="str">
        <f t="shared" si="3"/>
        <v>Crítica</v>
      </c>
      <c r="O16" s="3" t="str">
        <f t="shared" si="4"/>
        <v>I</v>
      </c>
      <c r="P16" s="3" t="s">
        <v>88</v>
      </c>
      <c r="Q16" s="3" t="s">
        <v>252</v>
      </c>
      <c r="R16" s="3" t="s">
        <v>253</v>
      </c>
      <c r="S16" s="3" t="s">
        <v>254</v>
      </c>
      <c r="T16" s="3" t="s">
        <v>92</v>
      </c>
      <c r="U16" s="3" t="s">
        <v>255</v>
      </c>
      <c r="V16" s="13"/>
      <c r="W16" s="13"/>
      <c r="X16" s="13"/>
      <c r="Y16" s="13"/>
      <c r="Z16" s="13"/>
    </row>
    <row r="17" spans="1:26" ht="33" customHeight="1">
      <c r="A17" s="3" t="s">
        <v>256</v>
      </c>
      <c r="B17" s="3" t="s">
        <v>257</v>
      </c>
      <c r="C17" s="3" t="s">
        <v>258</v>
      </c>
      <c r="D17" s="3" t="s">
        <v>133</v>
      </c>
      <c r="E17" s="3" t="s">
        <v>259</v>
      </c>
      <c r="F17" s="3" t="s">
        <v>260</v>
      </c>
      <c r="G17" s="3" t="s">
        <v>261</v>
      </c>
      <c r="H17" s="3" t="s">
        <v>262</v>
      </c>
      <c r="I17" s="10" t="s">
        <v>43</v>
      </c>
      <c r="J17" s="14">
        <f t="shared" si="0"/>
        <v>4</v>
      </c>
      <c r="K17" s="16" t="s">
        <v>38</v>
      </c>
      <c r="L17" s="14">
        <f t="shared" si="1"/>
        <v>2</v>
      </c>
      <c r="M17" s="14">
        <f t="shared" si="2"/>
        <v>8</v>
      </c>
      <c r="N17" s="3" t="str">
        <f t="shared" si="3"/>
        <v>Alta</v>
      </c>
      <c r="O17" s="3" t="str">
        <f t="shared" si="4"/>
        <v>II</v>
      </c>
      <c r="P17" s="3" t="s">
        <v>101</v>
      </c>
      <c r="Q17" s="3" t="s">
        <v>263</v>
      </c>
      <c r="R17" s="3" t="s">
        <v>264</v>
      </c>
      <c r="S17" s="3" t="s">
        <v>265</v>
      </c>
      <c r="T17" s="3" t="s">
        <v>92</v>
      </c>
      <c r="U17" s="3" t="s">
        <v>266</v>
      </c>
      <c r="V17" s="13"/>
      <c r="W17" s="13"/>
      <c r="X17" s="13"/>
      <c r="Y17" s="13"/>
      <c r="Z17" s="13"/>
    </row>
    <row r="18" spans="1:26" ht="33" customHeight="1">
      <c r="A18" s="3" t="s">
        <v>267</v>
      </c>
      <c r="B18" s="3" t="s">
        <v>268</v>
      </c>
      <c r="C18" s="3" t="s">
        <v>269</v>
      </c>
      <c r="D18" s="3" t="s">
        <v>133</v>
      </c>
      <c r="E18" s="3" t="s">
        <v>270</v>
      </c>
      <c r="F18" s="3" t="s">
        <v>271</v>
      </c>
      <c r="G18" s="3" t="s">
        <v>272</v>
      </c>
      <c r="H18" s="3" t="s">
        <v>273</v>
      </c>
      <c r="I18" s="11" t="s">
        <v>40</v>
      </c>
      <c r="J18" s="14">
        <f t="shared" si="0"/>
        <v>3</v>
      </c>
      <c r="K18" s="16" t="s">
        <v>38</v>
      </c>
      <c r="L18" s="14">
        <f t="shared" si="1"/>
        <v>2</v>
      </c>
      <c r="M18" s="14">
        <f t="shared" si="2"/>
        <v>6</v>
      </c>
      <c r="N18" s="3" t="str">
        <f t="shared" si="3"/>
        <v>Moderada</v>
      </c>
      <c r="O18" s="3" t="str">
        <f t="shared" si="4"/>
        <v>III</v>
      </c>
      <c r="P18" s="3" t="s">
        <v>101</v>
      </c>
      <c r="Q18" s="3" t="s">
        <v>274</v>
      </c>
      <c r="R18" s="3" t="s">
        <v>275</v>
      </c>
      <c r="S18" s="3" t="s">
        <v>151</v>
      </c>
      <c r="T18" s="3" t="s">
        <v>92</v>
      </c>
      <c r="U18" s="3" t="s">
        <v>276</v>
      </c>
      <c r="V18" s="13"/>
      <c r="W18" s="13"/>
      <c r="X18" s="13"/>
      <c r="Y18" s="13"/>
      <c r="Z18" s="13"/>
    </row>
    <row r="19" spans="1:26" ht="43.9" customHeight="1">
      <c r="A19" s="3" t="s">
        <v>277</v>
      </c>
      <c r="B19" s="3" t="s">
        <v>278</v>
      </c>
      <c r="C19" s="3" t="s">
        <v>279</v>
      </c>
      <c r="D19" s="3" t="s">
        <v>83</v>
      </c>
      <c r="E19" s="3" t="s">
        <v>280</v>
      </c>
      <c r="F19" s="3" t="s">
        <v>281</v>
      </c>
      <c r="G19" s="3" t="s">
        <v>282</v>
      </c>
      <c r="H19" s="3" t="s">
        <v>283</v>
      </c>
      <c r="I19" s="11" t="s">
        <v>40</v>
      </c>
      <c r="J19" s="14">
        <f t="shared" si="0"/>
        <v>3</v>
      </c>
      <c r="K19" s="15" t="s">
        <v>16</v>
      </c>
      <c r="L19" s="14">
        <f t="shared" si="1"/>
        <v>3</v>
      </c>
      <c r="M19" s="14">
        <f t="shared" si="2"/>
        <v>9</v>
      </c>
      <c r="N19" s="3" t="str">
        <f t="shared" si="3"/>
        <v>Crítica</v>
      </c>
      <c r="O19" s="3" t="str">
        <f t="shared" si="4"/>
        <v>I</v>
      </c>
      <c r="P19" s="3" t="s">
        <v>101</v>
      </c>
      <c r="Q19" s="3" t="s">
        <v>284</v>
      </c>
      <c r="R19" s="3" t="s">
        <v>285</v>
      </c>
      <c r="S19" s="3" t="s">
        <v>286</v>
      </c>
      <c r="T19" s="3" t="s">
        <v>92</v>
      </c>
      <c r="U19" s="3" t="s">
        <v>287</v>
      </c>
      <c r="V19" s="13"/>
      <c r="W19" s="13"/>
      <c r="X19" s="13"/>
      <c r="Y19" s="13"/>
      <c r="Z19" s="13"/>
    </row>
    <row r="20" spans="1:26" ht="33" customHeight="1">
      <c r="A20" s="3" t="s">
        <v>288</v>
      </c>
      <c r="B20" s="3" t="s">
        <v>289</v>
      </c>
      <c r="C20" s="3" t="s">
        <v>290</v>
      </c>
      <c r="D20" s="3" t="s">
        <v>133</v>
      </c>
      <c r="E20" s="3" t="s">
        <v>291</v>
      </c>
      <c r="F20" s="3" t="s">
        <v>292</v>
      </c>
      <c r="G20" s="3" t="s">
        <v>293</v>
      </c>
      <c r="H20" s="3" t="s">
        <v>294</v>
      </c>
      <c r="I20" s="11" t="s">
        <v>40</v>
      </c>
      <c r="J20" s="14">
        <f t="shared" si="0"/>
        <v>3</v>
      </c>
      <c r="K20" s="16" t="s">
        <v>38</v>
      </c>
      <c r="L20" s="14">
        <f t="shared" si="1"/>
        <v>2</v>
      </c>
      <c r="M20" s="14">
        <f t="shared" si="2"/>
        <v>6</v>
      </c>
      <c r="N20" s="3" t="str">
        <f t="shared" si="3"/>
        <v>Moderada</v>
      </c>
      <c r="O20" s="3" t="str">
        <f t="shared" si="4"/>
        <v>III</v>
      </c>
      <c r="P20" s="3" t="s">
        <v>101</v>
      </c>
      <c r="Q20" s="3" t="s">
        <v>295</v>
      </c>
      <c r="R20" s="3" t="s">
        <v>296</v>
      </c>
      <c r="S20" s="3" t="s">
        <v>297</v>
      </c>
      <c r="T20" s="3" t="s">
        <v>92</v>
      </c>
      <c r="U20" s="3" t="s">
        <v>298</v>
      </c>
      <c r="V20" s="13"/>
      <c r="W20" s="13"/>
      <c r="X20" s="13"/>
      <c r="Y20" s="13"/>
      <c r="Z20" s="13"/>
    </row>
    <row r="21" spans="1:26" ht="21.95" customHeight="1">
      <c r="A21" s="3" t="s">
        <v>299</v>
      </c>
      <c r="B21" s="3" t="s">
        <v>300</v>
      </c>
      <c r="C21" s="3" t="s">
        <v>301</v>
      </c>
      <c r="D21" s="3" t="s">
        <v>133</v>
      </c>
      <c r="E21" s="3" t="s">
        <v>302</v>
      </c>
      <c r="F21" s="3" t="s">
        <v>303</v>
      </c>
      <c r="G21" s="3" t="s">
        <v>304</v>
      </c>
      <c r="H21" s="3" t="s">
        <v>305</v>
      </c>
      <c r="I21" s="11" t="s">
        <v>40</v>
      </c>
      <c r="J21" s="14">
        <f t="shared" si="0"/>
        <v>3</v>
      </c>
      <c r="K21" s="16" t="s">
        <v>38</v>
      </c>
      <c r="L21" s="14">
        <f t="shared" si="1"/>
        <v>2</v>
      </c>
      <c r="M21" s="14">
        <f t="shared" si="2"/>
        <v>6</v>
      </c>
      <c r="N21" s="3" t="str">
        <f t="shared" si="3"/>
        <v>Moderada</v>
      </c>
      <c r="O21" s="3" t="str">
        <f t="shared" si="4"/>
        <v>III</v>
      </c>
      <c r="P21" s="3" t="s">
        <v>101</v>
      </c>
      <c r="Q21" s="3" t="s">
        <v>306</v>
      </c>
      <c r="R21" s="3" t="s">
        <v>307</v>
      </c>
      <c r="S21" s="3" t="s">
        <v>308</v>
      </c>
      <c r="T21" s="3" t="s">
        <v>92</v>
      </c>
      <c r="U21" s="3" t="s">
        <v>309</v>
      </c>
      <c r="V21" s="13"/>
      <c r="W21" s="13"/>
      <c r="X21" s="13"/>
      <c r="Y21" s="13"/>
      <c r="Z21" s="13"/>
    </row>
    <row r="22" spans="1:26" ht="21.95" customHeight="1">
      <c r="A22" s="3" t="s">
        <v>310</v>
      </c>
      <c r="B22" s="3" t="s">
        <v>311</v>
      </c>
      <c r="C22" s="3" t="s">
        <v>312</v>
      </c>
      <c r="D22" s="3" t="s">
        <v>83</v>
      </c>
      <c r="E22" s="3" t="s">
        <v>313</v>
      </c>
      <c r="F22" s="3" t="s">
        <v>314</v>
      </c>
      <c r="G22" s="3" t="s">
        <v>315</v>
      </c>
      <c r="H22" s="3" t="s">
        <v>316</v>
      </c>
      <c r="I22" s="12" t="s">
        <v>36</v>
      </c>
      <c r="J22" s="14">
        <f t="shared" si="0"/>
        <v>2</v>
      </c>
      <c r="K22" s="15" t="s">
        <v>16</v>
      </c>
      <c r="L22" s="14">
        <f t="shared" si="1"/>
        <v>3</v>
      </c>
      <c r="M22" s="14">
        <f t="shared" si="2"/>
        <v>6</v>
      </c>
      <c r="N22" s="3" t="str">
        <f t="shared" si="3"/>
        <v>Moderada</v>
      </c>
      <c r="O22" s="3" t="str">
        <f t="shared" si="4"/>
        <v>III</v>
      </c>
      <c r="P22" s="3" t="s">
        <v>101</v>
      </c>
      <c r="Q22" s="3" t="s">
        <v>317</v>
      </c>
      <c r="R22" s="3" t="s">
        <v>318</v>
      </c>
      <c r="S22" s="3" t="s">
        <v>319</v>
      </c>
      <c r="T22" s="3" t="s">
        <v>92</v>
      </c>
      <c r="U22" s="3" t="s">
        <v>320</v>
      </c>
      <c r="V22" s="13"/>
      <c r="W22" s="13"/>
      <c r="X22" s="13"/>
      <c r="Y22" s="13"/>
      <c r="Z22" s="13"/>
    </row>
    <row r="23" spans="1:26" ht="33" customHeight="1">
      <c r="A23" s="3" t="s">
        <v>321</v>
      </c>
      <c r="B23" s="3" t="s">
        <v>322</v>
      </c>
      <c r="C23" s="3" t="s">
        <v>323</v>
      </c>
      <c r="D23" s="3" t="s">
        <v>83</v>
      </c>
      <c r="E23" s="3" t="s">
        <v>324</v>
      </c>
      <c r="F23" s="3" t="s">
        <v>325</v>
      </c>
      <c r="G23" s="3" t="s">
        <v>326</v>
      </c>
      <c r="H23" s="3" t="s">
        <v>327</v>
      </c>
      <c r="I23" s="11" t="s">
        <v>40</v>
      </c>
      <c r="J23" s="14">
        <f t="shared" si="0"/>
        <v>3</v>
      </c>
      <c r="K23" s="16" t="s">
        <v>38</v>
      </c>
      <c r="L23" s="14">
        <f t="shared" si="1"/>
        <v>2</v>
      </c>
      <c r="M23" s="14">
        <f t="shared" si="2"/>
        <v>6</v>
      </c>
      <c r="N23" s="3" t="str">
        <f t="shared" si="3"/>
        <v>Moderada</v>
      </c>
      <c r="O23" s="3" t="str">
        <f t="shared" si="4"/>
        <v>III</v>
      </c>
      <c r="P23" s="3" t="s">
        <v>101</v>
      </c>
      <c r="Q23" s="3" t="s">
        <v>328</v>
      </c>
      <c r="R23" s="3" t="s">
        <v>329</v>
      </c>
      <c r="S23" s="3" t="s">
        <v>330</v>
      </c>
      <c r="T23" s="3" t="s">
        <v>92</v>
      </c>
      <c r="U23" s="3" t="s">
        <v>331</v>
      </c>
      <c r="V23" s="13"/>
      <c r="W23" s="13"/>
      <c r="X23" s="13"/>
      <c r="Y23" s="13"/>
      <c r="Z23" s="13"/>
    </row>
    <row r="24" spans="1:26" ht="33" customHeight="1">
      <c r="A24" s="3" t="s">
        <v>332</v>
      </c>
      <c r="B24" s="3" t="s">
        <v>333</v>
      </c>
      <c r="C24" s="3" t="s">
        <v>334</v>
      </c>
      <c r="D24" s="3" t="s">
        <v>335</v>
      </c>
      <c r="E24" s="3" t="s">
        <v>336</v>
      </c>
      <c r="F24" s="3" t="s">
        <v>337</v>
      </c>
      <c r="G24" s="3" t="s">
        <v>338</v>
      </c>
      <c r="H24" s="3" t="s">
        <v>339</v>
      </c>
      <c r="I24" s="11" t="s">
        <v>40</v>
      </c>
      <c r="J24" s="14">
        <f t="shared" si="0"/>
        <v>3</v>
      </c>
      <c r="K24" s="16" t="s">
        <v>38</v>
      </c>
      <c r="L24" s="14">
        <f t="shared" si="1"/>
        <v>2</v>
      </c>
      <c r="M24" s="14">
        <f t="shared" si="2"/>
        <v>6</v>
      </c>
      <c r="N24" s="3" t="str">
        <f t="shared" si="3"/>
        <v>Moderada</v>
      </c>
      <c r="O24" s="3" t="str">
        <f t="shared" si="4"/>
        <v>III</v>
      </c>
      <c r="P24" s="3" t="s">
        <v>101</v>
      </c>
      <c r="Q24" s="3" t="s">
        <v>340</v>
      </c>
      <c r="R24" s="3" t="s">
        <v>341</v>
      </c>
      <c r="S24" s="3" t="s">
        <v>342</v>
      </c>
      <c r="T24" s="3" t="s">
        <v>92</v>
      </c>
      <c r="U24" s="3" t="s">
        <v>343</v>
      </c>
      <c r="V24" s="13"/>
      <c r="W24" s="13"/>
      <c r="X24" s="13"/>
      <c r="Y24" s="13"/>
      <c r="Z24" s="13"/>
    </row>
    <row r="25" spans="1:26" ht="33" customHeight="1">
      <c r="A25" s="3" t="s">
        <v>344</v>
      </c>
      <c r="B25" s="3" t="s">
        <v>345</v>
      </c>
      <c r="C25" s="3" t="s">
        <v>346</v>
      </c>
      <c r="D25" s="3" t="s">
        <v>109</v>
      </c>
      <c r="E25" s="3" t="s">
        <v>347</v>
      </c>
      <c r="F25" s="3" t="s">
        <v>348</v>
      </c>
      <c r="G25" s="3" t="s">
        <v>349</v>
      </c>
      <c r="H25" s="3" t="s">
        <v>350</v>
      </c>
      <c r="I25" s="11" t="s">
        <v>40</v>
      </c>
      <c r="J25" s="14">
        <f t="shared" si="0"/>
        <v>3</v>
      </c>
      <c r="K25" s="15" t="s">
        <v>16</v>
      </c>
      <c r="L25" s="14">
        <f t="shared" si="1"/>
        <v>3</v>
      </c>
      <c r="M25" s="14">
        <f t="shared" si="2"/>
        <v>9</v>
      </c>
      <c r="N25" s="3" t="str">
        <f t="shared" si="3"/>
        <v>Crítica</v>
      </c>
      <c r="O25" s="3" t="str">
        <f t="shared" si="4"/>
        <v>I</v>
      </c>
      <c r="P25" s="3" t="s">
        <v>101</v>
      </c>
      <c r="Q25" s="3" t="s">
        <v>351</v>
      </c>
      <c r="R25" s="3" t="s">
        <v>352</v>
      </c>
      <c r="S25" s="3" t="s">
        <v>116</v>
      </c>
      <c r="T25" s="3" t="s">
        <v>92</v>
      </c>
      <c r="U25" s="3" t="s">
        <v>353</v>
      </c>
      <c r="V25" s="13"/>
      <c r="W25" s="13"/>
      <c r="X25" s="13"/>
      <c r="Y25" s="13"/>
      <c r="Z25" s="13"/>
    </row>
    <row r="26" spans="1:26" ht="43.9" customHeight="1">
      <c r="A26" s="3" t="s">
        <v>354</v>
      </c>
      <c r="B26" s="3" t="s">
        <v>355</v>
      </c>
      <c r="C26" s="3" t="s">
        <v>356</v>
      </c>
      <c r="D26" s="3" t="s">
        <v>357</v>
      </c>
      <c r="E26" s="3" t="s">
        <v>358</v>
      </c>
      <c r="F26" s="3" t="s">
        <v>359</v>
      </c>
      <c r="G26" s="3" t="s">
        <v>360</v>
      </c>
      <c r="H26" s="3" t="s">
        <v>361</v>
      </c>
      <c r="I26" s="11" t="s">
        <v>40</v>
      </c>
      <c r="J26" s="14">
        <f t="shared" si="0"/>
        <v>3</v>
      </c>
      <c r="K26" s="16" t="s">
        <v>38</v>
      </c>
      <c r="L26" s="14">
        <f t="shared" si="1"/>
        <v>2</v>
      </c>
      <c r="M26" s="14">
        <f t="shared" si="2"/>
        <v>6</v>
      </c>
      <c r="N26" s="3" t="str">
        <f t="shared" si="3"/>
        <v>Moderada</v>
      </c>
      <c r="O26" s="3" t="str">
        <f t="shared" si="4"/>
        <v>III</v>
      </c>
      <c r="P26" s="3" t="s">
        <v>101</v>
      </c>
      <c r="Q26" s="3" t="s">
        <v>362</v>
      </c>
      <c r="R26" s="3" t="s">
        <v>363</v>
      </c>
      <c r="S26" s="3" t="s">
        <v>364</v>
      </c>
      <c r="T26" s="3" t="s">
        <v>92</v>
      </c>
      <c r="U26" s="3" t="s">
        <v>365</v>
      </c>
      <c r="V26" s="13"/>
      <c r="W26" s="13"/>
      <c r="X26" s="13"/>
      <c r="Y26" s="13"/>
      <c r="Z26" s="13"/>
    </row>
    <row r="27" spans="1:26" ht="33" customHeight="1">
      <c r="A27" s="3" t="s">
        <v>366</v>
      </c>
      <c r="B27" s="3" t="s">
        <v>367</v>
      </c>
      <c r="C27" s="3" t="s">
        <v>368</v>
      </c>
      <c r="D27" s="3" t="s">
        <v>83</v>
      </c>
      <c r="E27" s="3" t="s">
        <v>369</v>
      </c>
      <c r="F27" s="3" t="s">
        <v>370</v>
      </c>
      <c r="G27" s="3" t="s">
        <v>371</v>
      </c>
      <c r="H27" s="3" t="s">
        <v>372</v>
      </c>
      <c r="I27" s="12" t="s">
        <v>36</v>
      </c>
      <c r="J27" s="14">
        <f t="shared" si="0"/>
        <v>2</v>
      </c>
      <c r="K27" s="16" t="s">
        <v>38</v>
      </c>
      <c r="L27" s="14">
        <f t="shared" si="1"/>
        <v>2</v>
      </c>
      <c r="M27" s="14">
        <f t="shared" si="2"/>
        <v>4</v>
      </c>
      <c r="N27" s="3" t="str">
        <f t="shared" si="3"/>
        <v>Moderada</v>
      </c>
      <c r="O27" s="3" t="str">
        <f t="shared" si="4"/>
        <v>III</v>
      </c>
      <c r="P27" s="3" t="s">
        <v>373</v>
      </c>
      <c r="Q27" s="3" t="s">
        <v>374</v>
      </c>
      <c r="R27" s="3" t="s">
        <v>375</v>
      </c>
      <c r="S27" s="3" t="s">
        <v>376</v>
      </c>
      <c r="T27" s="3" t="s">
        <v>92</v>
      </c>
      <c r="U27" s="3" t="s">
        <v>377</v>
      </c>
      <c r="V27" s="13"/>
      <c r="W27" s="13"/>
      <c r="X27" s="13"/>
      <c r="Y27" s="13"/>
      <c r="Z27" s="13"/>
    </row>
    <row r="28" spans="1:26" ht="33" customHeight="1">
      <c r="A28" s="3" t="s">
        <v>378</v>
      </c>
      <c r="B28" s="3" t="s">
        <v>379</v>
      </c>
      <c r="C28" s="3" t="s">
        <v>380</v>
      </c>
      <c r="D28" s="3" t="s">
        <v>133</v>
      </c>
      <c r="E28" s="3" t="s">
        <v>381</v>
      </c>
      <c r="F28" s="3" t="s">
        <v>382</v>
      </c>
      <c r="G28" s="3" t="s">
        <v>383</v>
      </c>
      <c r="H28" s="3" t="s">
        <v>384</v>
      </c>
      <c r="I28" s="12" t="s">
        <v>36</v>
      </c>
      <c r="J28" s="14">
        <f t="shared" si="0"/>
        <v>2</v>
      </c>
      <c r="K28" s="16" t="s">
        <v>38</v>
      </c>
      <c r="L28" s="14">
        <f t="shared" si="1"/>
        <v>2</v>
      </c>
      <c r="M28" s="14">
        <f t="shared" si="2"/>
        <v>4</v>
      </c>
      <c r="N28" s="3" t="str">
        <f t="shared" si="3"/>
        <v>Moderada</v>
      </c>
      <c r="O28" s="3" t="str">
        <f t="shared" si="4"/>
        <v>III</v>
      </c>
      <c r="P28" s="3" t="s">
        <v>101</v>
      </c>
      <c r="Q28" s="3" t="s">
        <v>385</v>
      </c>
      <c r="R28" s="3" t="s">
        <v>386</v>
      </c>
      <c r="S28" s="3" t="s">
        <v>387</v>
      </c>
      <c r="T28" s="3" t="s">
        <v>92</v>
      </c>
      <c r="U28" s="3" t="s">
        <v>388</v>
      </c>
      <c r="V28" s="13"/>
      <c r="W28" s="13"/>
      <c r="X28" s="13"/>
      <c r="Y28" s="13"/>
      <c r="Z28" s="13"/>
    </row>
    <row r="29" spans="1:26" ht="33" customHeight="1">
      <c r="A29" s="3" t="s">
        <v>389</v>
      </c>
      <c r="B29" s="3" t="s">
        <v>390</v>
      </c>
      <c r="C29" s="3" t="s">
        <v>391</v>
      </c>
      <c r="D29" s="3" t="s">
        <v>83</v>
      </c>
      <c r="E29" s="3" t="s">
        <v>392</v>
      </c>
      <c r="F29" s="3" t="s">
        <v>393</v>
      </c>
      <c r="G29" s="3" t="s">
        <v>394</v>
      </c>
      <c r="H29" s="3" t="s">
        <v>395</v>
      </c>
      <c r="I29" s="10" t="s">
        <v>43</v>
      </c>
      <c r="J29" s="14">
        <f t="shared" si="0"/>
        <v>4</v>
      </c>
      <c r="K29" s="15" t="s">
        <v>16</v>
      </c>
      <c r="L29" s="14">
        <f t="shared" si="1"/>
        <v>3</v>
      </c>
      <c r="M29" s="14">
        <f t="shared" si="2"/>
        <v>12</v>
      </c>
      <c r="N29" s="3" t="str">
        <f t="shared" si="3"/>
        <v>Crítica</v>
      </c>
      <c r="O29" s="3" t="str">
        <f t="shared" si="4"/>
        <v>I</v>
      </c>
      <c r="P29" s="3" t="s">
        <v>88</v>
      </c>
      <c r="Q29" s="3" t="s">
        <v>396</v>
      </c>
      <c r="R29" s="3" t="s">
        <v>397</v>
      </c>
      <c r="S29" s="3" t="s">
        <v>286</v>
      </c>
      <c r="T29" s="3" t="s">
        <v>92</v>
      </c>
      <c r="U29" s="3" t="s">
        <v>398</v>
      </c>
      <c r="V29" s="13"/>
      <c r="W29" s="13"/>
      <c r="X29" s="13"/>
      <c r="Y29" s="13"/>
      <c r="Z29" s="13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tabSelected="1" workbookViewId="0"/>
  </sheetViews>
  <sheetFormatPr baseColWidth="10" defaultColWidth="9" defaultRowHeight="14.25"/>
  <cols>
    <col min="1" max="1" width="8" customWidth="1"/>
    <col min="2" max="2" width="10" customWidth="1"/>
    <col min="3" max="3" width="34" customWidth="1"/>
    <col min="4" max="4" width="18" customWidth="1"/>
    <col min="5" max="6" width="38" customWidth="1"/>
    <col min="7" max="7" width="22" customWidth="1"/>
    <col min="8" max="8" width="16" customWidth="1"/>
    <col min="9" max="9" width="12" customWidth="1"/>
  </cols>
  <sheetData>
    <row r="1" spans="1:26" ht="15" customHeight="1">
      <c r="A1" s="2" t="s">
        <v>61</v>
      </c>
      <c r="B1" s="2" t="s">
        <v>47</v>
      </c>
      <c r="C1" s="2" t="s">
        <v>399</v>
      </c>
      <c r="D1" s="2" t="s">
        <v>74</v>
      </c>
      <c r="E1" s="2" t="s">
        <v>400</v>
      </c>
      <c r="F1" s="2" t="s">
        <v>76</v>
      </c>
      <c r="G1" s="2" t="s">
        <v>77</v>
      </c>
      <c r="H1" s="2" t="s">
        <v>401</v>
      </c>
      <c r="I1" s="2" t="s">
        <v>402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3.9" customHeight="1">
      <c r="A2" s="3" t="s">
        <v>80</v>
      </c>
      <c r="B2" s="3" t="str">
        <f>VLOOKUP(A2,Matriz_Riesgos!A:O,15,FALSE)</f>
        <v>I</v>
      </c>
      <c r="C2" s="3" t="s">
        <v>81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83</v>
      </c>
      <c r="I2" s="3" t="s">
        <v>92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3" customHeight="1">
      <c r="A3" s="3" t="s">
        <v>94</v>
      </c>
      <c r="B3" s="3" t="str">
        <f>VLOOKUP(A3,Matriz_Riesgos!A:O,15,FALSE)</f>
        <v>I</v>
      </c>
      <c r="C3" s="3" t="s">
        <v>95</v>
      </c>
      <c r="D3" s="3" t="s">
        <v>101</v>
      </c>
      <c r="E3" s="3" t="s">
        <v>102</v>
      </c>
      <c r="F3" s="3" t="s">
        <v>103</v>
      </c>
      <c r="G3" s="3" t="s">
        <v>104</v>
      </c>
      <c r="H3" s="3" t="s">
        <v>83</v>
      </c>
      <c r="I3" s="3" t="s">
        <v>92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33" customHeight="1">
      <c r="A4" s="3" t="s">
        <v>106</v>
      </c>
      <c r="B4" s="3" t="str">
        <f>VLOOKUP(A4,Matriz_Riesgos!A:O,15,FALSE)</f>
        <v>I</v>
      </c>
      <c r="C4" s="3" t="s">
        <v>107</v>
      </c>
      <c r="D4" s="3" t="s">
        <v>88</v>
      </c>
      <c r="E4" s="3" t="s">
        <v>114</v>
      </c>
      <c r="F4" s="3" t="s">
        <v>115</v>
      </c>
      <c r="G4" s="3" t="s">
        <v>116</v>
      </c>
      <c r="H4" s="3" t="s">
        <v>109</v>
      </c>
      <c r="I4" s="3" t="s">
        <v>92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3" customHeight="1">
      <c r="A5" s="3" t="s">
        <v>153</v>
      </c>
      <c r="B5" s="3" t="str">
        <f>VLOOKUP(A5,Matriz_Riesgos!A:O,15,FALSE)</f>
        <v>I</v>
      </c>
      <c r="C5" s="3" t="s">
        <v>154</v>
      </c>
      <c r="D5" s="3" t="s">
        <v>88</v>
      </c>
      <c r="E5" s="3" t="s">
        <v>161</v>
      </c>
      <c r="F5" s="3" t="s">
        <v>162</v>
      </c>
      <c r="G5" s="3" t="s">
        <v>163</v>
      </c>
      <c r="H5" s="3" t="s">
        <v>156</v>
      </c>
      <c r="I5" s="3" t="s">
        <v>92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1.95" customHeight="1">
      <c r="A6" s="3" t="s">
        <v>221</v>
      </c>
      <c r="B6" s="3" t="str">
        <f>VLOOKUP(A6,Matriz_Riesgos!A:O,15,FALSE)</f>
        <v>I</v>
      </c>
      <c r="C6" s="3" t="s">
        <v>222</v>
      </c>
      <c r="D6" s="3" t="s">
        <v>88</v>
      </c>
      <c r="E6" s="3" t="s">
        <v>229</v>
      </c>
      <c r="F6" s="3" t="s">
        <v>230</v>
      </c>
      <c r="G6" s="3" t="s">
        <v>151</v>
      </c>
      <c r="H6" s="3" t="s">
        <v>224</v>
      </c>
      <c r="I6" s="3" t="s">
        <v>92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1.95" customHeight="1">
      <c r="A7" s="3" t="s">
        <v>232</v>
      </c>
      <c r="B7" s="3" t="str">
        <f>VLOOKUP(A7,Matriz_Riesgos!A:O,15,FALSE)</f>
        <v>I</v>
      </c>
      <c r="C7" s="3" t="s">
        <v>233</v>
      </c>
      <c r="D7" s="3" t="s">
        <v>88</v>
      </c>
      <c r="E7" s="3" t="s">
        <v>240</v>
      </c>
      <c r="F7" s="3" t="s">
        <v>241</v>
      </c>
      <c r="G7" s="3" t="s">
        <v>242</v>
      </c>
      <c r="H7" s="3" t="s">
        <v>235</v>
      </c>
      <c r="I7" s="3" t="s">
        <v>92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3" customHeight="1">
      <c r="A8" s="3" t="s">
        <v>244</v>
      </c>
      <c r="B8" s="3" t="str">
        <f>VLOOKUP(A8,Matriz_Riesgos!A:O,15,FALSE)</f>
        <v>I</v>
      </c>
      <c r="C8" s="3" t="s">
        <v>245</v>
      </c>
      <c r="D8" s="3" t="s">
        <v>88</v>
      </c>
      <c r="E8" s="3" t="s">
        <v>252</v>
      </c>
      <c r="F8" s="3" t="s">
        <v>253</v>
      </c>
      <c r="G8" s="3" t="s">
        <v>254</v>
      </c>
      <c r="H8" s="3" t="s">
        <v>247</v>
      </c>
      <c r="I8" s="3" t="s">
        <v>92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3" customHeight="1">
      <c r="A9" s="3" t="s">
        <v>256</v>
      </c>
      <c r="B9" s="3" t="str">
        <f>VLOOKUP(A9,Matriz_Riesgos!A:O,15,FALSE)</f>
        <v>II</v>
      </c>
      <c r="C9" s="3" t="s">
        <v>257</v>
      </c>
      <c r="D9" s="3" t="s">
        <v>101</v>
      </c>
      <c r="E9" s="3" t="s">
        <v>263</v>
      </c>
      <c r="F9" s="3" t="s">
        <v>264</v>
      </c>
      <c r="G9" s="3" t="s">
        <v>265</v>
      </c>
      <c r="H9" s="3" t="s">
        <v>133</v>
      </c>
      <c r="I9" s="3" t="s">
        <v>92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1.95" customHeight="1">
      <c r="A10" s="3" t="s">
        <v>277</v>
      </c>
      <c r="B10" s="3" t="str">
        <f>VLOOKUP(A10,Matriz_Riesgos!A:O,15,FALSE)</f>
        <v>I</v>
      </c>
      <c r="C10" s="3" t="s">
        <v>278</v>
      </c>
      <c r="D10" s="3" t="s">
        <v>101</v>
      </c>
      <c r="E10" s="3" t="s">
        <v>284</v>
      </c>
      <c r="F10" s="3" t="s">
        <v>285</v>
      </c>
      <c r="G10" s="3" t="s">
        <v>286</v>
      </c>
      <c r="H10" s="3" t="s">
        <v>83</v>
      </c>
      <c r="I10" s="3" t="s">
        <v>92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1.95" customHeight="1">
      <c r="A11" s="3" t="s">
        <v>299</v>
      </c>
      <c r="B11" s="3" t="str">
        <f>VLOOKUP(A11,Matriz_Riesgos!A:O,15,FALSE)</f>
        <v>III</v>
      </c>
      <c r="C11" s="3" t="s">
        <v>300</v>
      </c>
      <c r="D11" s="3" t="s">
        <v>101</v>
      </c>
      <c r="E11" s="3" t="s">
        <v>306</v>
      </c>
      <c r="F11" s="3" t="s">
        <v>307</v>
      </c>
      <c r="G11" s="3" t="s">
        <v>308</v>
      </c>
      <c r="H11" s="3" t="s">
        <v>133</v>
      </c>
      <c r="I11" s="3" t="s">
        <v>92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1.95" customHeight="1">
      <c r="A12" s="3" t="s">
        <v>310</v>
      </c>
      <c r="B12" s="3" t="str">
        <f>VLOOKUP(A12,Matriz_Riesgos!A:O,15,FALSE)</f>
        <v>III</v>
      </c>
      <c r="C12" s="3" t="s">
        <v>311</v>
      </c>
      <c r="D12" s="3" t="s">
        <v>101</v>
      </c>
      <c r="E12" s="3" t="s">
        <v>317</v>
      </c>
      <c r="F12" s="3" t="s">
        <v>318</v>
      </c>
      <c r="G12" s="3" t="s">
        <v>319</v>
      </c>
      <c r="H12" s="3" t="s">
        <v>83</v>
      </c>
      <c r="I12" s="3" t="s">
        <v>92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3" customHeight="1">
      <c r="A13" s="3" t="s">
        <v>321</v>
      </c>
      <c r="B13" s="3" t="str">
        <f>VLOOKUP(A13,Matriz_Riesgos!A:O,15,FALSE)</f>
        <v>III</v>
      </c>
      <c r="C13" s="3" t="s">
        <v>322</v>
      </c>
      <c r="D13" s="3" t="s">
        <v>101</v>
      </c>
      <c r="E13" s="3" t="s">
        <v>328</v>
      </c>
      <c r="F13" s="3" t="s">
        <v>329</v>
      </c>
      <c r="G13" s="3" t="s">
        <v>330</v>
      </c>
      <c r="H13" s="3" t="s">
        <v>83</v>
      </c>
      <c r="I13" s="3" t="s">
        <v>92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1.95" customHeight="1">
      <c r="A14" s="3" t="s">
        <v>344</v>
      </c>
      <c r="B14" s="3" t="str">
        <f>VLOOKUP(A14,Matriz_Riesgos!A:O,15,FALSE)</f>
        <v>I</v>
      </c>
      <c r="C14" s="3" t="s">
        <v>345</v>
      </c>
      <c r="D14" s="3" t="s">
        <v>101</v>
      </c>
      <c r="E14" s="3" t="s">
        <v>351</v>
      </c>
      <c r="F14" s="3" t="s">
        <v>352</v>
      </c>
      <c r="G14" s="3" t="s">
        <v>116</v>
      </c>
      <c r="H14" s="3" t="s">
        <v>109</v>
      </c>
      <c r="I14" s="3" t="s">
        <v>92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3" customHeight="1">
      <c r="A15" s="3" t="s">
        <v>389</v>
      </c>
      <c r="B15" s="3" t="str">
        <f>VLOOKUP(A15,Matriz_Riesgos!A:O,15,FALSE)</f>
        <v>I</v>
      </c>
      <c r="C15" s="3" t="s">
        <v>390</v>
      </c>
      <c r="D15" s="3" t="s">
        <v>88</v>
      </c>
      <c r="E15" s="3" t="s">
        <v>396</v>
      </c>
      <c r="F15" s="3" t="s">
        <v>397</v>
      </c>
      <c r="G15" s="3" t="s">
        <v>286</v>
      </c>
      <c r="H15" s="3" t="s">
        <v>83</v>
      </c>
      <c r="I15" s="3" t="s">
        <v>92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baseColWidth="10" defaultColWidth="9" defaultRowHeight="14.25"/>
  <cols>
    <col min="1" max="1" width="16" customWidth="1"/>
    <col min="2" max="2" width="10" customWidth="1"/>
    <col min="3" max="3" width="34" customWidth="1"/>
    <col min="4" max="4" width="16" customWidth="1"/>
    <col min="5" max="10" width="15" customWidth="1"/>
    <col min="11" max="15" width="22" customWidth="1"/>
  </cols>
  <sheetData>
    <row r="1" spans="1:26" ht="24.4" customHeight="1">
      <c r="A1" s="2" t="s">
        <v>403</v>
      </c>
      <c r="B1" s="2" t="s">
        <v>404</v>
      </c>
      <c r="C1" s="2" t="s">
        <v>405</v>
      </c>
      <c r="D1" s="2" t="s">
        <v>406</v>
      </c>
      <c r="E1" s="2" t="s">
        <v>407</v>
      </c>
      <c r="F1" s="2" t="s">
        <v>408</v>
      </c>
      <c r="G1" s="2" t="s">
        <v>409</v>
      </c>
      <c r="H1" s="2" t="s">
        <v>410</v>
      </c>
      <c r="I1" s="2" t="s">
        <v>411</v>
      </c>
      <c r="J1" s="2" t="s">
        <v>412</v>
      </c>
      <c r="K1" s="2" t="s">
        <v>402</v>
      </c>
      <c r="L1" s="2" t="s">
        <v>413</v>
      </c>
      <c r="M1" s="2" t="s">
        <v>414</v>
      </c>
      <c r="N1" s="2" t="s">
        <v>415</v>
      </c>
      <c r="O1" s="2" t="s">
        <v>79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>
      <c r="A2" s="3"/>
      <c r="B2" s="3" t="s">
        <v>80</v>
      </c>
      <c r="C2" s="3" t="s">
        <v>81</v>
      </c>
      <c r="D2" s="3" t="s">
        <v>83</v>
      </c>
      <c r="E2" s="3" t="s">
        <v>16</v>
      </c>
      <c r="F2" s="3"/>
      <c r="G2" s="3" t="s">
        <v>43</v>
      </c>
      <c r="H2" s="3"/>
      <c r="I2" s="3" t="str">
        <f>VLOOKUP(B2,Matriz_Riesgos!A:N,14,FALSE)</f>
        <v>Crítica</v>
      </c>
      <c r="J2" s="3"/>
      <c r="K2" s="3" t="s">
        <v>92</v>
      </c>
      <c r="L2" s="3" t="s">
        <v>91</v>
      </c>
      <c r="M2" s="3"/>
      <c r="N2" s="3"/>
      <c r="O2" s="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3" customHeight="1">
      <c r="A3" s="3"/>
      <c r="B3" s="3" t="s">
        <v>94</v>
      </c>
      <c r="C3" s="3" t="s">
        <v>95</v>
      </c>
      <c r="D3" s="3" t="s">
        <v>83</v>
      </c>
      <c r="E3" s="3" t="s">
        <v>16</v>
      </c>
      <c r="F3" s="3"/>
      <c r="G3" s="3" t="s">
        <v>43</v>
      </c>
      <c r="H3" s="3"/>
      <c r="I3" s="3" t="str">
        <f>VLOOKUP(B3,Matriz_Riesgos!A:N,14,FALSE)</f>
        <v>Crítica</v>
      </c>
      <c r="J3" s="3"/>
      <c r="K3" s="3" t="s">
        <v>92</v>
      </c>
      <c r="L3" s="3" t="s">
        <v>104</v>
      </c>
      <c r="M3" s="3"/>
      <c r="N3" s="3"/>
      <c r="O3" s="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1.95" customHeight="1">
      <c r="A4" s="3"/>
      <c r="B4" s="3" t="s">
        <v>106</v>
      </c>
      <c r="C4" s="3" t="s">
        <v>107</v>
      </c>
      <c r="D4" s="3" t="s">
        <v>109</v>
      </c>
      <c r="E4" s="3" t="s">
        <v>16</v>
      </c>
      <c r="F4" s="3"/>
      <c r="G4" s="3" t="s">
        <v>43</v>
      </c>
      <c r="H4" s="3"/>
      <c r="I4" s="3" t="str">
        <f>VLOOKUP(B4,Matriz_Riesgos!A:N,14,FALSE)</f>
        <v>Crítica</v>
      </c>
      <c r="J4" s="3"/>
      <c r="K4" s="3" t="s">
        <v>92</v>
      </c>
      <c r="L4" s="3" t="s">
        <v>116</v>
      </c>
      <c r="M4" s="3"/>
      <c r="N4" s="3"/>
      <c r="O4" s="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1.95" customHeight="1">
      <c r="A5" s="3"/>
      <c r="B5" s="3" t="s">
        <v>118</v>
      </c>
      <c r="C5" s="3" t="s">
        <v>119</v>
      </c>
      <c r="D5" s="3" t="s">
        <v>121</v>
      </c>
      <c r="E5" s="3" t="s">
        <v>16</v>
      </c>
      <c r="F5" s="3"/>
      <c r="G5" s="3" t="s">
        <v>40</v>
      </c>
      <c r="H5" s="3"/>
      <c r="I5" s="3" t="str">
        <f>VLOOKUP(B5,Matriz_Riesgos!A:N,14,FALSE)</f>
        <v>Crítica</v>
      </c>
      <c r="J5" s="3"/>
      <c r="K5" s="3" t="s">
        <v>92</v>
      </c>
      <c r="L5" s="3" t="s">
        <v>128</v>
      </c>
      <c r="M5" s="3"/>
      <c r="N5" s="3"/>
      <c r="O5" s="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1.95" customHeight="1">
      <c r="A6" s="3"/>
      <c r="B6" s="3" t="s">
        <v>130</v>
      </c>
      <c r="C6" s="3" t="s">
        <v>131</v>
      </c>
      <c r="D6" s="3" t="s">
        <v>133</v>
      </c>
      <c r="E6" s="3" t="s">
        <v>38</v>
      </c>
      <c r="F6" s="3"/>
      <c r="G6" s="3" t="s">
        <v>40</v>
      </c>
      <c r="H6" s="3"/>
      <c r="I6" s="3" t="str">
        <f>VLOOKUP(B6,Matriz_Riesgos!A:N,14,FALSE)</f>
        <v>Moderada</v>
      </c>
      <c r="J6" s="3"/>
      <c r="K6" s="3" t="s">
        <v>92</v>
      </c>
      <c r="L6" s="3" t="s">
        <v>128</v>
      </c>
      <c r="M6" s="3"/>
      <c r="N6" s="3"/>
      <c r="O6" s="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3" customHeight="1">
      <c r="A7" s="3"/>
      <c r="B7" s="3" t="s">
        <v>141</v>
      </c>
      <c r="C7" s="3" t="s">
        <v>142</v>
      </c>
      <c r="D7" s="3" t="s">
        <v>144</v>
      </c>
      <c r="E7" s="3" t="s">
        <v>16</v>
      </c>
      <c r="F7" s="3"/>
      <c r="G7" s="3" t="s">
        <v>36</v>
      </c>
      <c r="H7" s="3"/>
      <c r="I7" s="3" t="str">
        <f>VLOOKUP(B7,Matriz_Riesgos!A:N,14,FALSE)</f>
        <v>Moderada</v>
      </c>
      <c r="J7" s="3"/>
      <c r="K7" s="3" t="s">
        <v>92</v>
      </c>
      <c r="L7" s="3" t="s">
        <v>151</v>
      </c>
      <c r="M7" s="3"/>
      <c r="N7" s="3"/>
      <c r="O7" s="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3" customHeight="1">
      <c r="A8" s="3"/>
      <c r="B8" s="3" t="s">
        <v>153</v>
      </c>
      <c r="C8" s="3" t="s">
        <v>154</v>
      </c>
      <c r="D8" s="3" t="s">
        <v>156</v>
      </c>
      <c r="E8" s="3" t="s">
        <v>16</v>
      </c>
      <c r="F8" s="3"/>
      <c r="G8" s="3" t="s">
        <v>43</v>
      </c>
      <c r="H8" s="3"/>
      <c r="I8" s="3" t="str">
        <f>VLOOKUP(B8,Matriz_Riesgos!A:N,14,FALSE)</f>
        <v>Crítica</v>
      </c>
      <c r="J8" s="3"/>
      <c r="K8" s="3" t="s">
        <v>92</v>
      </c>
      <c r="L8" s="3" t="s">
        <v>163</v>
      </c>
      <c r="M8" s="3"/>
      <c r="N8" s="3"/>
      <c r="O8" s="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1.95" customHeight="1">
      <c r="A9" s="3"/>
      <c r="B9" s="3" t="s">
        <v>165</v>
      </c>
      <c r="C9" s="3" t="s">
        <v>166</v>
      </c>
      <c r="D9" s="3" t="s">
        <v>168</v>
      </c>
      <c r="E9" s="3" t="s">
        <v>38</v>
      </c>
      <c r="F9" s="3"/>
      <c r="G9" s="3" t="s">
        <v>40</v>
      </c>
      <c r="H9" s="3"/>
      <c r="I9" s="3" t="str">
        <f>VLOOKUP(B9,Matriz_Riesgos!A:N,14,FALSE)</f>
        <v>Moderada</v>
      </c>
      <c r="J9" s="3"/>
      <c r="K9" s="3" t="s">
        <v>92</v>
      </c>
      <c r="L9" s="3" t="s">
        <v>175</v>
      </c>
      <c r="M9" s="3"/>
      <c r="N9" s="3"/>
      <c r="O9" s="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3" customHeight="1">
      <c r="A10" s="3"/>
      <c r="B10" s="3" t="s">
        <v>177</v>
      </c>
      <c r="C10" s="3" t="s">
        <v>178</v>
      </c>
      <c r="D10" s="3" t="s">
        <v>180</v>
      </c>
      <c r="E10" s="3" t="s">
        <v>38</v>
      </c>
      <c r="F10" s="3"/>
      <c r="G10" s="3" t="s">
        <v>40</v>
      </c>
      <c r="H10" s="3"/>
      <c r="I10" s="3" t="str">
        <f>VLOOKUP(B10,Matriz_Riesgos!A:N,14,FALSE)</f>
        <v>Moderada</v>
      </c>
      <c r="J10" s="3"/>
      <c r="K10" s="3" t="s">
        <v>92</v>
      </c>
      <c r="L10" s="3" t="s">
        <v>128</v>
      </c>
      <c r="M10" s="3"/>
      <c r="N10" s="3"/>
      <c r="O10" s="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" customHeight="1">
      <c r="A11" s="3"/>
      <c r="B11" s="3" t="s">
        <v>188</v>
      </c>
      <c r="C11" s="3" t="s">
        <v>189</v>
      </c>
      <c r="D11" s="3" t="s">
        <v>191</v>
      </c>
      <c r="E11" s="3" t="s">
        <v>38</v>
      </c>
      <c r="F11" s="3"/>
      <c r="G11" s="3" t="s">
        <v>40</v>
      </c>
      <c r="H11" s="3"/>
      <c r="I11" s="3" t="str">
        <f>VLOOKUP(B11,Matriz_Riesgos!A:N,14,FALSE)</f>
        <v>Moderada</v>
      </c>
      <c r="J11" s="3"/>
      <c r="K11" s="3" t="s">
        <v>92</v>
      </c>
      <c r="L11" s="3" t="s">
        <v>128</v>
      </c>
      <c r="M11" s="3"/>
      <c r="N11" s="3"/>
      <c r="O11" s="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1.95" customHeight="1">
      <c r="A12" s="3"/>
      <c r="B12" s="3" t="s">
        <v>199</v>
      </c>
      <c r="C12" s="3" t="s">
        <v>200</v>
      </c>
      <c r="D12" s="3" t="s">
        <v>202</v>
      </c>
      <c r="E12" s="3" t="s">
        <v>38</v>
      </c>
      <c r="F12" s="3"/>
      <c r="G12" s="3" t="s">
        <v>40</v>
      </c>
      <c r="H12" s="3"/>
      <c r="I12" s="3" t="str">
        <f>VLOOKUP(B12,Matriz_Riesgos!A:N,14,FALSE)</f>
        <v>Moderada</v>
      </c>
      <c r="J12" s="3"/>
      <c r="K12" s="3" t="s">
        <v>92</v>
      </c>
      <c r="L12" s="3" t="s">
        <v>151</v>
      </c>
      <c r="M12" s="3"/>
      <c r="N12" s="3"/>
      <c r="O12" s="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1.95" customHeight="1">
      <c r="A13" s="3"/>
      <c r="B13" s="3" t="s">
        <v>210</v>
      </c>
      <c r="C13" s="3" t="s">
        <v>211</v>
      </c>
      <c r="D13" s="3" t="s">
        <v>213</v>
      </c>
      <c r="E13" s="3" t="s">
        <v>38</v>
      </c>
      <c r="F13" s="3"/>
      <c r="G13" s="3" t="s">
        <v>40</v>
      </c>
      <c r="H13" s="3"/>
      <c r="I13" s="3" t="str">
        <f>VLOOKUP(B13,Matriz_Riesgos!A:N,14,FALSE)</f>
        <v>Moderada</v>
      </c>
      <c r="J13" s="3"/>
      <c r="K13" s="3" t="s">
        <v>92</v>
      </c>
      <c r="L13" s="3" t="s">
        <v>128</v>
      </c>
      <c r="M13" s="3"/>
      <c r="N13" s="3"/>
      <c r="O13" s="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1.95" customHeight="1">
      <c r="A14" s="3"/>
      <c r="B14" s="3" t="s">
        <v>221</v>
      </c>
      <c r="C14" s="3" t="s">
        <v>222</v>
      </c>
      <c r="D14" s="3" t="s">
        <v>224</v>
      </c>
      <c r="E14" s="3" t="s">
        <v>16</v>
      </c>
      <c r="F14" s="3"/>
      <c r="G14" s="3" t="s">
        <v>43</v>
      </c>
      <c r="H14" s="3"/>
      <c r="I14" s="3" t="str">
        <f>VLOOKUP(B14,Matriz_Riesgos!A:N,14,FALSE)</f>
        <v>Crítica</v>
      </c>
      <c r="J14" s="3"/>
      <c r="K14" s="3" t="s">
        <v>92</v>
      </c>
      <c r="L14" s="3" t="s">
        <v>151</v>
      </c>
      <c r="M14" s="3"/>
      <c r="N14" s="3"/>
      <c r="O14" s="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1.95" customHeight="1">
      <c r="A15" s="3"/>
      <c r="B15" s="3" t="s">
        <v>232</v>
      </c>
      <c r="C15" s="3" t="s">
        <v>233</v>
      </c>
      <c r="D15" s="3" t="s">
        <v>235</v>
      </c>
      <c r="E15" s="3" t="s">
        <v>16</v>
      </c>
      <c r="F15" s="3"/>
      <c r="G15" s="3" t="s">
        <v>43</v>
      </c>
      <c r="H15" s="3"/>
      <c r="I15" s="3" t="str">
        <f>VLOOKUP(B15,Matriz_Riesgos!A:N,14,FALSE)</f>
        <v>Crítica</v>
      </c>
      <c r="J15" s="3"/>
      <c r="K15" s="3" t="s">
        <v>92</v>
      </c>
      <c r="L15" s="3" t="s">
        <v>242</v>
      </c>
      <c r="M15" s="3"/>
      <c r="N15" s="3"/>
      <c r="O15" s="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1.95" customHeight="1">
      <c r="A16" s="3"/>
      <c r="B16" s="3" t="s">
        <v>244</v>
      </c>
      <c r="C16" s="3" t="s">
        <v>245</v>
      </c>
      <c r="D16" s="3" t="s">
        <v>247</v>
      </c>
      <c r="E16" s="3" t="s">
        <v>16</v>
      </c>
      <c r="F16" s="3"/>
      <c r="G16" s="3" t="s">
        <v>43</v>
      </c>
      <c r="H16" s="3"/>
      <c r="I16" s="3" t="str">
        <f>VLOOKUP(B16,Matriz_Riesgos!A:N,14,FALSE)</f>
        <v>Crítica</v>
      </c>
      <c r="J16" s="3"/>
      <c r="K16" s="3" t="s">
        <v>92</v>
      </c>
      <c r="L16" s="3" t="s">
        <v>254</v>
      </c>
      <c r="M16" s="3"/>
      <c r="N16" s="3"/>
      <c r="O16" s="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1.95" customHeight="1">
      <c r="A17" s="3"/>
      <c r="B17" s="3" t="s">
        <v>256</v>
      </c>
      <c r="C17" s="3" t="s">
        <v>257</v>
      </c>
      <c r="D17" s="3" t="s">
        <v>133</v>
      </c>
      <c r="E17" s="3" t="s">
        <v>38</v>
      </c>
      <c r="F17" s="3"/>
      <c r="G17" s="3" t="s">
        <v>43</v>
      </c>
      <c r="H17" s="3"/>
      <c r="I17" s="3" t="str">
        <f>VLOOKUP(B17,Matriz_Riesgos!A:N,14,FALSE)</f>
        <v>Alta</v>
      </c>
      <c r="J17" s="3"/>
      <c r="K17" s="3" t="s">
        <v>92</v>
      </c>
      <c r="L17" s="3" t="s">
        <v>265</v>
      </c>
      <c r="M17" s="3"/>
      <c r="N17" s="3"/>
      <c r="O17" s="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1.95" customHeight="1">
      <c r="A18" s="3"/>
      <c r="B18" s="3" t="s">
        <v>267</v>
      </c>
      <c r="C18" s="3" t="s">
        <v>268</v>
      </c>
      <c r="D18" s="3" t="s">
        <v>133</v>
      </c>
      <c r="E18" s="3" t="s">
        <v>38</v>
      </c>
      <c r="F18" s="3"/>
      <c r="G18" s="3" t="s">
        <v>40</v>
      </c>
      <c r="H18" s="3"/>
      <c r="I18" s="3" t="str">
        <f>VLOOKUP(B18,Matriz_Riesgos!A:N,14,FALSE)</f>
        <v>Moderada</v>
      </c>
      <c r="J18" s="3"/>
      <c r="K18" s="3" t="s">
        <v>92</v>
      </c>
      <c r="L18" s="3" t="s">
        <v>151</v>
      </c>
      <c r="M18" s="3"/>
      <c r="N18" s="3"/>
      <c r="O18" s="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1.95" customHeight="1">
      <c r="A19" s="3"/>
      <c r="B19" s="3" t="s">
        <v>277</v>
      </c>
      <c r="C19" s="3" t="s">
        <v>278</v>
      </c>
      <c r="D19" s="3" t="s">
        <v>83</v>
      </c>
      <c r="E19" s="3" t="s">
        <v>16</v>
      </c>
      <c r="F19" s="3"/>
      <c r="G19" s="3" t="s">
        <v>40</v>
      </c>
      <c r="H19" s="3"/>
      <c r="I19" s="3" t="str">
        <f>VLOOKUP(B19,Matriz_Riesgos!A:N,14,FALSE)</f>
        <v>Crítica</v>
      </c>
      <c r="J19" s="3"/>
      <c r="K19" s="3" t="s">
        <v>92</v>
      </c>
      <c r="L19" s="3" t="s">
        <v>286</v>
      </c>
      <c r="M19" s="3"/>
      <c r="N19" s="3"/>
      <c r="O19" s="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1.95" customHeight="1">
      <c r="A20" s="3"/>
      <c r="B20" s="3" t="s">
        <v>288</v>
      </c>
      <c r="C20" s="3" t="s">
        <v>289</v>
      </c>
      <c r="D20" s="3" t="s">
        <v>133</v>
      </c>
      <c r="E20" s="3" t="s">
        <v>38</v>
      </c>
      <c r="F20" s="3"/>
      <c r="G20" s="3" t="s">
        <v>40</v>
      </c>
      <c r="H20" s="3"/>
      <c r="I20" s="3" t="str">
        <f>VLOOKUP(B20,Matriz_Riesgos!A:N,14,FALSE)</f>
        <v>Moderada</v>
      </c>
      <c r="J20" s="3"/>
      <c r="K20" s="3" t="s">
        <v>92</v>
      </c>
      <c r="L20" s="3" t="s">
        <v>297</v>
      </c>
      <c r="M20" s="3"/>
      <c r="N20" s="3"/>
      <c r="O20" s="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1.95" customHeight="1">
      <c r="A21" s="3"/>
      <c r="B21" s="3" t="s">
        <v>299</v>
      </c>
      <c r="C21" s="3" t="s">
        <v>300</v>
      </c>
      <c r="D21" s="3" t="s">
        <v>133</v>
      </c>
      <c r="E21" s="3" t="s">
        <v>38</v>
      </c>
      <c r="F21" s="3"/>
      <c r="G21" s="3" t="s">
        <v>40</v>
      </c>
      <c r="H21" s="3"/>
      <c r="I21" s="3" t="str">
        <f>VLOOKUP(B21,Matriz_Riesgos!A:N,14,FALSE)</f>
        <v>Moderada</v>
      </c>
      <c r="J21" s="3"/>
      <c r="K21" s="3" t="s">
        <v>92</v>
      </c>
      <c r="L21" s="3" t="s">
        <v>308</v>
      </c>
      <c r="M21" s="3"/>
      <c r="N21" s="3"/>
      <c r="O21" s="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1.95" customHeight="1">
      <c r="A22" s="3"/>
      <c r="B22" s="3" t="s">
        <v>310</v>
      </c>
      <c r="C22" s="3" t="s">
        <v>311</v>
      </c>
      <c r="D22" s="3" t="s">
        <v>83</v>
      </c>
      <c r="E22" s="3" t="s">
        <v>16</v>
      </c>
      <c r="F22" s="3"/>
      <c r="G22" s="3" t="s">
        <v>36</v>
      </c>
      <c r="H22" s="3"/>
      <c r="I22" s="3" t="str">
        <f>VLOOKUP(B22,Matriz_Riesgos!A:N,14,FALSE)</f>
        <v>Moderada</v>
      </c>
      <c r="J22" s="3"/>
      <c r="K22" s="3" t="s">
        <v>92</v>
      </c>
      <c r="L22" s="3" t="s">
        <v>319</v>
      </c>
      <c r="M22" s="3"/>
      <c r="N22" s="3"/>
      <c r="O22" s="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3" customHeight="1">
      <c r="A23" s="3"/>
      <c r="B23" s="3" t="s">
        <v>321</v>
      </c>
      <c r="C23" s="3" t="s">
        <v>322</v>
      </c>
      <c r="D23" s="3" t="s">
        <v>83</v>
      </c>
      <c r="E23" s="3" t="s">
        <v>38</v>
      </c>
      <c r="F23" s="3"/>
      <c r="G23" s="3" t="s">
        <v>40</v>
      </c>
      <c r="H23" s="3"/>
      <c r="I23" s="3" t="str">
        <f>VLOOKUP(B23,Matriz_Riesgos!A:N,14,FALSE)</f>
        <v>Moderada</v>
      </c>
      <c r="J23" s="3"/>
      <c r="K23" s="3" t="s">
        <v>92</v>
      </c>
      <c r="L23" s="3" t="s">
        <v>330</v>
      </c>
      <c r="M23" s="3"/>
      <c r="N23" s="3"/>
      <c r="O23" s="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1.95" customHeight="1">
      <c r="A24" s="3"/>
      <c r="B24" s="3" t="s">
        <v>332</v>
      </c>
      <c r="C24" s="3" t="s">
        <v>333</v>
      </c>
      <c r="D24" s="3" t="s">
        <v>335</v>
      </c>
      <c r="E24" s="3" t="s">
        <v>38</v>
      </c>
      <c r="F24" s="3"/>
      <c r="G24" s="3" t="s">
        <v>40</v>
      </c>
      <c r="H24" s="3"/>
      <c r="I24" s="3" t="str">
        <f>VLOOKUP(B24,Matriz_Riesgos!A:N,14,FALSE)</f>
        <v>Moderada</v>
      </c>
      <c r="J24" s="3"/>
      <c r="K24" s="3" t="s">
        <v>92</v>
      </c>
      <c r="L24" s="3" t="s">
        <v>342</v>
      </c>
      <c r="M24" s="3"/>
      <c r="N24" s="3"/>
      <c r="O24" s="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1.95" customHeight="1">
      <c r="A25" s="3"/>
      <c r="B25" s="3" t="s">
        <v>344</v>
      </c>
      <c r="C25" s="3" t="s">
        <v>345</v>
      </c>
      <c r="D25" s="3" t="s">
        <v>109</v>
      </c>
      <c r="E25" s="3" t="s">
        <v>16</v>
      </c>
      <c r="F25" s="3"/>
      <c r="G25" s="3" t="s">
        <v>40</v>
      </c>
      <c r="H25" s="3"/>
      <c r="I25" s="3" t="str">
        <f>VLOOKUP(B25,Matriz_Riesgos!A:N,14,FALSE)</f>
        <v>Crítica</v>
      </c>
      <c r="J25" s="3"/>
      <c r="K25" s="3" t="s">
        <v>92</v>
      </c>
      <c r="L25" s="3" t="s">
        <v>116</v>
      </c>
      <c r="M25" s="3"/>
      <c r="N25" s="3"/>
      <c r="O25" s="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1.95" customHeight="1">
      <c r="A26" s="3"/>
      <c r="B26" s="3" t="s">
        <v>354</v>
      </c>
      <c r="C26" s="3" t="s">
        <v>355</v>
      </c>
      <c r="D26" s="3" t="s">
        <v>357</v>
      </c>
      <c r="E26" s="3" t="s">
        <v>38</v>
      </c>
      <c r="F26" s="3"/>
      <c r="G26" s="3" t="s">
        <v>40</v>
      </c>
      <c r="H26" s="3"/>
      <c r="I26" s="3" t="str">
        <f>VLOOKUP(B26,Matriz_Riesgos!A:N,14,FALSE)</f>
        <v>Moderada</v>
      </c>
      <c r="J26" s="3"/>
      <c r="K26" s="3" t="s">
        <v>92</v>
      </c>
      <c r="L26" s="3" t="s">
        <v>364</v>
      </c>
      <c r="M26" s="3"/>
      <c r="N26" s="3"/>
      <c r="O26" s="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1.95" customHeight="1">
      <c r="A27" s="3"/>
      <c r="B27" s="3" t="s">
        <v>366</v>
      </c>
      <c r="C27" s="3" t="s">
        <v>367</v>
      </c>
      <c r="D27" s="3" t="s">
        <v>83</v>
      </c>
      <c r="E27" s="3" t="s">
        <v>38</v>
      </c>
      <c r="F27" s="3"/>
      <c r="G27" s="3" t="s">
        <v>36</v>
      </c>
      <c r="H27" s="3"/>
      <c r="I27" s="3" t="str">
        <f>VLOOKUP(B27,Matriz_Riesgos!A:N,14,FALSE)</f>
        <v>Moderada</v>
      </c>
      <c r="J27" s="3"/>
      <c r="K27" s="3" t="s">
        <v>92</v>
      </c>
      <c r="L27" s="3" t="s">
        <v>376</v>
      </c>
      <c r="M27" s="3"/>
      <c r="N27" s="3"/>
      <c r="O27" s="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3" customHeight="1">
      <c r="A28" s="3"/>
      <c r="B28" s="3" t="s">
        <v>378</v>
      </c>
      <c r="C28" s="3" t="s">
        <v>379</v>
      </c>
      <c r="D28" s="3" t="s">
        <v>133</v>
      </c>
      <c r="E28" s="3" t="s">
        <v>38</v>
      </c>
      <c r="F28" s="3"/>
      <c r="G28" s="3" t="s">
        <v>36</v>
      </c>
      <c r="H28" s="3"/>
      <c r="I28" s="3" t="str">
        <f>VLOOKUP(B28,Matriz_Riesgos!A:N,14,FALSE)</f>
        <v>Moderada</v>
      </c>
      <c r="J28" s="3"/>
      <c r="K28" s="3" t="s">
        <v>92</v>
      </c>
      <c r="L28" s="3" t="s">
        <v>387</v>
      </c>
      <c r="M28" s="3"/>
      <c r="N28" s="3"/>
      <c r="O28" s="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1.95" customHeight="1">
      <c r="A29" s="3"/>
      <c r="B29" s="3" t="s">
        <v>389</v>
      </c>
      <c r="C29" s="3" t="s">
        <v>390</v>
      </c>
      <c r="D29" s="3" t="s">
        <v>83</v>
      </c>
      <c r="E29" s="3" t="s">
        <v>16</v>
      </c>
      <c r="F29" s="3"/>
      <c r="G29" s="3" t="s">
        <v>43</v>
      </c>
      <c r="H29" s="3"/>
      <c r="I29" s="3" t="str">
        <f>VLOOKUP(B29,Matriz_Riesgos!A:N,14,FALSE)</f>
        <v>Crítica</v>
      </c>
      <c r="J29" s="3"/>
      <c r="K29" s="3" t="s">
        <v>92</v>
      </c>
      <c r="L29" s="3" t="s">
        <v>286</v>
      </c>
      <c r="M29" s="3"/>
      <c r="N29" s="3"/>
      <c r="O29" s="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Escalas</vt:lpstr>
      <vt:lpstr>Matriz_Riesgos</vt:lpstr>
      <vt:lpstr>Respuesta_Priorizada</vt:lpstr>
      <vt:lpstr>Seguimiento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SANTIAGO PULGAR LEON</cp:lastModifiedBy>
  <dcterms:modified xsi:type="dcterms:W3CDTF">2026-05-01T18:54:18Z</dcterms:modified>
</cp:coreProperties>
</file>