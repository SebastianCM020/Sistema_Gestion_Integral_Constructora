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octavo\octavo\Documentos tesis\"/>
    </mc:Choice>
  </mc:AlternateContent>
  <xr:revisionPtr revIDLastSave="0" documentId="8_{8BFBF5C0-D017-4483-BCFD-A1BC8B43BD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en" sheetId="1" r:id="rId1"/>
    <sheet name="Escalas" sheetId="2" r:id="rId2"/>
    <sheet name="Matriz_Riesgos" sheetId="3" r:id="rId3"/>
    <sheet name="Respuesta_Priorizada" sheetId="4" r:id="rId4"/>
    <sheet name="Seguimien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5" i="3" l="1"/>
  <c r="I25" i="3"/>
  <c r="L25" i="3" s="1"/>
  <c r="M25" i="3" s="1"/>
  <c r="K24" i="3"/>
  <c r="I24" i="3"/>
  <c r="L24" i="3" s="1"/>
  <c r="M24" i="3" s="1"/>
  <c r="K23" i="3"/>
  <c r="I23" i="3"/>
  <c r="L23" i="3" s="1"/>
  <c r="M23" i="3" s="1"/>
  <c r="K22" i="3"/>
  <c r="I22" i="3"/>
  <c r="L22" i="3" s="1"/>
  <c r="M22" i="3" s="1"/>
  <c r="K21" i="3"/>
  <c r="L21" i="3" s="1"/>
  <c r="M21" i="3" s="1"/>
  <c r="I21" i="3"/>
  <c r="K20" i="3"/>
  <c r="I20" i="3"/>
  <c r="L20" i="3" s="1"/>
  <c r="M20" i="3" s="1"/>
  <c r="K19" i="3"/>
  <c r="I19" i="3"/>
  <c r="L19" i="3" s="1"/>
  <c r="M19" i="3" s="1"/>
  <c r="K18" i="3"/>
  <c r="I18" i="3"/>
  <c r="L18" i="3" s="1"/>
  <c r="M18" i="3" s="1"/>
  <c r="K17" i="3"/>
  <c r="I17" i="3"/>
  <c r="L17" i="3" s="1"/>
  <c r="M17" i="3" s="1"/>
  <c r="K16" i="3"/>
  <c r="I16" i="3"/>
  <c r="L16" i="3" s="1"/>
  <c r="M16" i="3" s="1"/>
  <c r="K15" i="3"/>
  <c r="I15" i="3"/>
  <c r="L15" i="3" s="1"/>
  <c r="M15" i="3" s="1"/>
  <c r="K14" i="3"/>
  <c r="I14" i="3"/>
  <c r="L14" i="3" s="1"/>
  <c r="M14" i="3" s="1"/>
  <c r="K13" i="3"/>
  <c r="I13" i="3"/>
  <c r="L13" i="3" s="1"/>
  <c r="M13" i="3" s="1"/>
  <c r="K12" i="3"/>
  <c r="I12" i="3"/>
  <c r="L12" i="3" s="1"/>
  <c r="M12" i="3" s="1"/>
  <c r="K11" i="3"/>
  <c r="I11" i="3"/>
  <c r="L11" i="3" s="1"/>
  <c r="M11" i="3" s="1"/>
  <c r="K10" i="3"/>
  <c r="I10" i="3"/>
  <c r="L10" i="3" s="1"/>
  <c r="M10" i="3" s="1"/>
  <c r="K9" i="3"/>
  <c r="I9" i="3"/>
  <c r="L9" i="3" s="1"/>
  <c r="M9" i="3" s="1"/>
  <c r="K8" i="3"/>
  <c r="I8" i="3"/>
  <c r="L8" i="3" s="1"/>
  <c r="M8" i="3" s="1"/>
  <c r="K7" i="3"/>
  <c r="I7" i="3"/>
  <c r="L7" i="3" s="1"/>
  <c r="M7" i="3" s="1"/>
  <c r="K6" i="3"/>
  <c r="I6" i="3"/>
  <c r="L6" i="3" s="1"/>
  <c r="M6" i="3" s="1"/>
  <c r="K5" i="3"/>
  <c r="I5" i="3"/>
  <c r="L5" i="3" s="1"/>
  <c r="M5" i="3" s="1"/>
  <c r="K4" i="3"/>
  <c r="I4" i="3"/>
  <c r="L4" i="3" s="1"/>
  <c r="M4" i="3" s="1"/>
  <c r="K3" i="3"/>
  <c r="I3" i="3"/>
  <c r="L3" i="3" s="1"/>
  <c r="M3" i="3" s="1"/>
  <c r="K2" i="3"/>
  <c r="I2" i="3"/>
  <c r="L2" i="3" s="1"/>
  <c r="M2" i="3" s="1"/>
  <c r="B9" i="1"/>
  <c r="B8" i="1"/>
  <c r="B7" i="1"/>
  <c r="B6" i="1"/>
  <c r="B5" i="1"/>
  <c r="B15" i="1" l="1"/>
  <c r="B13" i="1"/>
  <c r="B16" i="1"/>
  <c r="B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I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Puntaje derivado del nivel de impacto según la hoja Escalas.</t>
        </r>
      </text>
    </comment>
    <comment ref="K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Puntaje derivado del nivel de probabilidad según la hoja Escalas.</t>
        </r>
      </text>
    </comment>
    <comment ref="L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Exposición = Puntaje impacto x Puntaje probabilidad.</t>
        </r>
      </text>
    </comment>
    <comment ref="M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Nivel de exposición calculado a partir del rango del puntaje de exposición.</t>
        </r>
      </text>
    </comment>
  </commentList>
</comments>
</file>

<file path=xl/sharedStrings.xml><?xml version="1.0" encoding="utf-8"?>
<sst xmlns="http://schemas.openxmlformats.org/spreadsheetml/2006/main" count="1038" uniqueCount="324">
  <si>
    <t>Matriz de riesgos del proyecto</t>
  </si>
  <si>
    <t>Proyecto: Desarrollo de un sistema web y móvil para la gestión integral en ICARO CONSTRUCTORES BMGM S.A.S.</t>
  </si>
  <si>
    <t>Indicador</t>
  </si>
  <si>
    <t>Valor</t>
  </si>
  <si>
    <t>Criterio</t>
  </si>
  <si>
    <t>Descripción</t>
  </si>
  <si>
    <t>Total de riesgos identificados</t>
  </si>
  <si>
    <t>Base de evaluación</t>
  </si>
  <si>
    <t>Impacto x probabilidad con priorización manual validada</t>
  </si>
  <si>
    <t>Riesgos prioridad I (crítica)</t>
  </si>
  <si>
    <t>Cobertura</t>
  </si>
  <si>
    <t>24 riesgos desde leves hasta críticos</t>
  </si>
  <si>
    <t>Riesgos prioridad II (alta)</t>
  </si>
  <si>
    <t>Hojas incluidas</t>
  </si>
  <si>
    <t>Resumen, escalas, matriz, priorización-respuesta y seguimiento</t>
  </si>
  <si>
    <t>Riesgos prioridad III (moderada)</t>
  </si>
  <si>
    <t>Uso recomendado</t>
  </si>
  <si>
    <t>Actualizar en cada fase o sprint relevante</t>
  </si>
  <si>
    <t>Riesgos prioridad IV (baja)</t>
  </si>
  <si>
    <t>Distribución por nivel de exposición</t>
  </si>
  <si>
    <t>Distribución por estrategia principal</t>
  </si>
  <si>
    <t>Crítica</t>
  </si>
  <si>
    <t>Mitigación</t>
  </si>
  <si>
    <t>Alta</t>
  </si>
  <si>
    <t>Evitación</t>
  </si>
  <si>
    <t>Moderada</t>
  </si>
  <si>
    <t>Aceptación</t>
  </si>
  <si>
    <t>Baja</t>
  </si>
  <si>
    <t>Transferencia parcial</t>
  </si>
  <si>
    <t>Nota</t>
  </si>
  <si>
    <t>Los conteos por estrategia pueden solaparse cuando una respuesta combina más de una estrategia.</t>
  </si>
  <si>
    <t>Leyenda de prioridad</t>
  </si>
  <si>
    <t>Prioridad</t>
  </si>
  <si>
    <t>Nivel</t>
  </si>
  <si>
    <t>Interpretación</t>
  </si>
  <si>
    <t>I</t>
  </si>
  <si>
    <t>Revisión inmediata y seguimiento permanente</t>
  </si>
  <si>
    <t>II</t>
  </si>
  <si>
    <t>Seguimiento cercano y respuesta planificada</t>
  </si>
  <si>
    <t>III</t>
  </si>
  <si>
    <t>Seguimiento ordinario y medidas preventivas</t>
  </si>
  <si>
    <t>IV</t>
  </si>
  <si>
    <t>Monitoreo básico y respuesta simple</t>
  </si>
  <si>
    <t>Escalas y catálogos de la matriz de riesgos</t>
  </si>
  <si>
    <t>Escala de impacto</t>
  </si>
  <si>
    <t>Escala de probabilidad</t>
  </si>
  <si>
    <t>Puntaje</t>
  </si>
  <si>
    <t>Leve</t>
  </si>
  <si>
    <t>Afecta ajustes puntuales o actividades no críticas.</t>
  </si>
  <si>
    <t>Puede presentarse de forma poco frecuente.</t>
  </si>
  <si>
    <t>Moderado</t>
  </si>
  <si>
    <t>Incide en coordinación, acceso a información o consistencia parcial.</t>
  </si>
  <si>
    <t>Media</t>
  </si>
  <si>
    <t>Puede ocurrir en determinadas fases o bajo ciertas condiciones.</t>
  </si>
  <si>
    <t>Alto</t>
  </si>
  <si>
    <t>Afecta entregables sustantivos o componentes importantes del sistema.</t>
  </si>
  <si>
    <t>Tiene condiciones favorables para ocurrir durante la ejecución.</t>
  </si>
  <si>
    <t>Crítico</t>
  </si>
  <si>
    <t>Puede comprometer objetivos, alcance, tiempo o validaciones clave.</t>
  </si>
  <si>
    <t>Exposición / nivel resultante</t>
  </si>
  <si>
    <t>Prioridad y estados</t>
  </si>
  <si>
    <t>Rango del puntaje</t>
  </si>
  <si>
    <t>Tratamiento</t>
  </si>
  <si>
    <t>Estado sugerido</t>
  </si>
  <si>
    <t>10 a 12</t>
  </si>
  <si>
    <t>Requiere atención inmediata.</t>
  </si>
  <si>
    <t>Activo</t>
  </si>
  <si>
    <t>7 a 9</t>
  </si>
  <si>
    <t>Requiere seguimiento cercano.</t>
  </si>
  <si>
    <t>4 a 6</t>
  </si>
  <si>
    <t>Se controla con medidas preventivas.</t>
  </si>
  <si>
    <t>1 a 3</t>
  </si>
  <si>
    <t>Monitoreo básico.</t>
  </si>
  <si>
    <t>Estrategias de respuesta</t>
  </si>
  <si>
    <t>Estrategia</t>
  </si>
  <si>
    <t>Uso principal</t>
  </si>
  <si>
    <t>Referencia</t>
  </si>
  <si>
    <t>Reducir probabilidad o impacto</t>
  </si>
  <si>
    <t>Riesgos técnicos, de requisitos, validación y cronograma</t>
  </si>
  <si>
    <t>Modificar decisiones para impedir materialización</t>
  </si>
  <si>
    <t>Expansión de alcance o rediseños mayores</t>
  </si>
  <si>
    <t>Asumir y controlar riesgos de menor afectación</t>
  </si>
  <si>
    <t>Ajustes menores y tareas no críticas</t>
  </si>
  <si>
    <t>Apoyo en un tercero o medio alterno</t>
  </si>
  <si>
    <t>Conectividad, respaldo o soporte institucional</t>
  </si>
  <si>
    <t>Código</t>
  </si>
  <si>
    <t>Riesgo identificado</t>
  </si>
  <si>
    <t>Categoría</t>
  </si>
  <si>
    <t>Fase principal</t>
  </si>
  <si>
    <t>Objetivo(s) afectado(s)</t>
  </si>
  <si>
    <t>Impacto resumido</t>
  </si>
  <si>
    <t>Detonante / señal de alerta</t>
  </si>
  <si>
    <t>Impacto</t>
  </si>
  <si>
    <t>Puntaje impacto</t>
  </si>
  <si>
    <t>Probabilidad</t>
  </si>
  <si>
    <t>Puntaje probabilidad</t>
  </si>
  <si>
    <t>Exposición</t>
  </si>
  <si>
    <t>Nivel exposición</t>
  </si>
  <si>
    <t>Estrategia principal</t>
  </si>
  <si>
    <t>Respuesta planificada</t>
  </si>
  <si>
    <t>Medida de contingencia</t>
  </si>
  <si>
    <t>Responsable sugerido</t>
  </si>
  <si>
    <t>Estado inicial</t>
  </si>
  <si>
    <t>Observaciones</t>
  </si>
  <si>
    <t>R1</t>
  </si>
  <si>
    <t>Ajustes menores en formularios, campos o etiquetas de interfaz durante el prototipado</t>
  </si>
  <si>
    <t>Requisitos / diseño</t>
  </si>
  <si>
    <t>Levantamiento y prototipado</t>
  </si>
  <si>
    <t>OE1, OE4</t>
  </si>
  <si>
    <t>Genera correcciones puntuales de interfaz sin alterar entregables centrales.</t>
  </si>
  <si>
    <t>Observaciones menores de usuarios sobre texto, campos o secuencia de pantalla.</t>
  </si>
  <si>
    <t>Aceptación + mitigación simple</t>
  </si>
  <si>
    <t>Corregir los ajustes en la siguiente iteración corta de prototipado.</t>
  </si>
  <si>
    <t>Reprogramar el ajuste en el siguiente bloque de revisión sin afectar el núcleo funcional.</t>
  </si>
  <si>
    <t>Equipo del proyecto</t>
  </si>
  <si>
    <t/>
  </si>
  <si>
    <t>R2</t>
  </si>
  <si>
    <t>Revisión adicional de prototipos por observaciones de usuarios</t>
  </si>
  <si>
    <t>Requisitos / validación</t>
  </si>
  <si>
    <t>Extiende el tiempo de revisión de pantallas y flujos sin modificar el núcleo del sistema.</t>
  </si>
  <si>
    <t>Solicitud de nueva ronda de revisión de interfaces o navegación.</t>
  </si>
  <si>
    <t>Incorporar observaciones menores dentro del ciclo normal de revisión.</t>
  </si>
  <si>
    <t>Concentrar cambios en una sola ronda final antes de pasar a desarrollo.</t>
  </si>
  <si>
    <t>R3</t>
  </si>
  <si>
    <t>Retrasos puntuales en actividades no críticas de documentación o sistematización</t>
  </si>
  <si>
    <t>Tiempo / gestión</t>
  </si>
  <si>
    <t>Documentación y cierre</t>
  </si>
  <si>
    <t>OE3, OE4</t>
  </si>
  <si>
    <t>Desplaza tareas de apoyo sin afectar de inmediato los entregables técnicos principales.</t>
  </si>
  <si>
    <t>Atraso en actualización de anexos, bitácoras o consolidación de evidencias.</t>
  </si>
  <si>
    <t>Reprogramar la actividad documental y mantener prioridad sobre tareas críticas del sistema.</t>
  </si>
  <si>
    <t>Concentrar la documentación pendiente al cierre de la fase correspondiente.</t>
  </si>
  <si>
    <t>R4</t>
  </si>
  <si>
    <t>Inconsistencias menores en formato de registros o nomenclaturas usadas por distintas áreas</t>
  </si>
  <si>
    <t>Datos / procesos</t>
  </si>
  <si>
    <t>Análisis de procesos y datos</t>
  </si>
  <si>
    <t>OE1, OE2</t>
  </si>
  <si>
    <t>Provoca ajustes de normalización y documentación de convenciones.</t>
  </si>
  <si>
    <t>Diferencias en nombres, abreviaturas o formato entre registros de áreas distintas.</t>
  </si>
  <si>
    <t>Unificar convenciones de nomenclatura en fases tempranas de modelado y análisis.</t>
  </si>
  <si>
    <t>Aplicar tabla de homologación temporal mientras se define el estándar definitivo.</t>
  </si>
  <si>
    <t>R5</t>
  </si>
  <si>
    <t>Demoras en coordinación para entrevistas o reuniones con actores clave</t>
  </si>
  <si>
    <t>Recursos / coordinación</t>
  </si>
  <si>
    <t>Levantamiento de información</t>
  </si>
  <si>
    <t>OE1</t>
  </si>
  <si>
    <t>Reduce la velocidad de levantamiento y puede desplazar actividades dependientes.</t>
  </si>
  <si>
    <t>Reprogramaciones frecuentes o baja disponibilidad para reuniones definidas.</t>
  </si>
  <si>
    <t>Mitigación + aceptación controlada</t>
  </si>
  <si>
    <t>Definir agenda con anticipación, confirmar sesiones y prever horarios alternativos.</t>
  </si>
  <si>
    <t>Reprogramar de forma acotada y priorizar a los actores imprescindibles para el avance.</t>
  </si>
  <si>
    <t>Equipo del proyecto / usuarios clave</t>
  </si>
  <si>
    <t>R6</t>
  </si>
  <si>
    <t>Conectividad inestable para acceso a repositorios, herramientas o servicios de apoyo</t>
  </si>
  <si>
    <t>Recursos / infraestructura</t>
  </si>
  <si>
    <t>Implementación incremental</t>
  </si>
  <si>
    <t>OE2, OE3, OE4</t>
  </si>
  <si>
    <t>Afecta sincronización, acceso a herramientas y continuidad de ciertas tareas técnicas.</t>
  </si>
  <si>
    <t>Interrupciones de internet o fallas recurrentes en acceso a servicios en línea.</t>
  </si>
  <si>
    <t>Mitigación + transferencia parcial</t>
  </si>
  <si>
    <t>Contar con conexión alterna, trabajo local y respaldo de archivos fuera de línea.</t>
  </si>
  <si>
    <t>Migrar temporalmente a una red secundaria o reordenar tareas para trabajo local.</t>
  </si>
  <si>
    <t>R7</t>
  </si>
  <si>
    <t>Acceso parcial o tardío a formatos, registros y documentación institucional</t>
  </si>
  <si>
    <t>Recursos / información</t>
  </si>
  <si>
    <t>Levantamiento y análisis</t>
  </si>
  <si>
    <t>Limita comprensión del proceso actual y puede afectar requisitos o modelado de datos.</t>
  </si>
  <si>
    <t>Falta de entrega o entrega incompleta de formularios, registros o documentos de referencia.</t>
  </si>
  <si>
    <t>Solicitar insumos con anticipación y priorizar documentos críticos para análisis y diseño.</t>
  </si>
  <si>
    <t>Trabajar con muestras disponibles y documentar la limitación en el análisis.</t>
  </si>
  <si>
    <t>Empresa / equipo del proyecto</t>
  </si>
  <si>
    <t>R8</t>
  </si>
  <si>
    <t>Limitada disponibilidad de usuarios administrativos para revisión de prototipos y pruebas</t>
  </si>
  <si>
    <t>Recursos humanos / validación</t>
  </si>
  <si>
    <t>Validación funcional y usabilidad</t>
  </si>
  <si>
    <t>Reduce la calidad de la validación y puede demorar decisiones sobre ajustes funcionales.</t>
  </si>
  <si>
    <t>Baja asistencia a sesiones de validación o dificultad para cerrar fechas de prueba.</t>
  </si>
  <si>
    <t>Planificar sesiones con anticipación y concentrar validaciones en hitos clave del proyecto.</t>
  </si>
  <si>
    <t>Realizar sesiones focalizadas con menor número de usuarios representativos.</t>
  </si>
  <si>
    <t>R9</t>
  </si>
  <si>
    <t>Diferencias entre prácticas reales de la empresa y procedimientos documentados</t>
  </si>
  <si>
    <t>Procesos / análisis</t>
  </si>
  <si>
    <t>Puede generar requisitos incompletos o modelos de proceso poco ajustados a la realidad operativa.</t>
  </si>
  <si>
    <t>Contradicciones entre observación, entrevista y documentos institucionales.</t>
  </si>
  <si>
    <t>Contrastar entrevistas, observación directa y documentación antes de consolidar procesos AS-IS y TO-BE.</t>
  </si>
  <si>
    <t>Validar el flujo conflictivo con un responsable funcional antes de continuar el diseño.</t>
  </si>
  <si>
    <t>R10</t>
  </si>
  <si>
    <t>Definición incompleta de requisitos funcionales y no funcionales</t>
  </si>
  <si>
    <t>Requisitos</t>
  </si>
  <si>
    <t>OE1, OE2, OE3</t>
  </si>
  <si>
    <t>Afecta análisis, diseño, desarrollo y pruebas al dejar ambigüedades en el sistema requerido.</t>
  </si>
  <si>
    <t>Historias de usuario ambiguas, criterios de aceptación incompletos o dudas recurrentes del equipo.</t>
  </si>
  <si>
    <t>Aplicar entrevistas, observación, revisión documental y validación temprana de historias de usuario.</t>
  </si>
  <si>
    <t>Congelar requisitos esenciales y trasladar requerimientos no clarificados a revisión posterior.</t>
  </si>
  <si>
    <t>R11</t>
  </si>
  <si>
    <t>Cambios en requerimientos durante el levantamiento o durante la implementación incremental</t>
  </si>
  <si>
    <t>Requisitos / alcance</t>
  </si>
  <si>
    <t>Transversal</t>
  </si>
  <si>
    <t>OE1, OE3, OE4</t>
  </si>
  <si>
    <t>Puede ampliar el alcance, reabrir decisiones y desplazar actividades o entregables.</t>
  </si>
  <si>
    <t>Nuevas solicitudes funcionales o redefinición de prioridades después de aprobaciones previas.</t>
  </si>
  <si>
    <t>Mitigación + evitación</t>
  </si>
  <si>
    <t>Aplicar control de cambios, priorización MoSCoW y separar requerimientos de esta fase y fases futuras.</t>
  </si>
  <si>
    <t>Registrar el cambio como trabajo futuro si compromete alcance, tiempo o validación de la fase actual.</t>
  </si>
  <si>
    <t>Equipo del proyecto / interesados</t>
  </si>
  <si>
    <t>R12</t>
  </si>
  <si>
    <t>Priorización insuficiente de funcionalidades dentro del backlog del proyecto</t>
  </si>
  <si>
    <t>Gestión / alcance</t>
  </si>
  <si>
    <t>Planificación e implementación</t>
  </si>
  <si>
    <t>OE3</t>
  </si>
  <si>
    <t>Puede afectar el orden de construcción e invertir esfuerzo en funcionalidades no críticas.</t>
  </si>
  <si>
    <t>Backlog sin jerarquización clara por valor, dependencia o riesgo.</t>
  </si>
  <si>
    <t>Revisar backlog por iteración y ordenar funcionalidades por dependencia, valor y criticidad.</t>
  </si>
  <si>
    <t>Repriorizar antes de cada sprint y concentrarse en el mínimo producto viable de la fase.</t>
  </si>
  <si>
    <t>R13</t>
  </si>
  <si>
    <t>Dificultades en la integración de los módulos técnico, administrativo y contable</t>
  </si>
  <si>
    <t>Técnico / arquitectura</t>
  </si>
  <si>
    <t>Implementación e integración</t>
  </si>
  <si>
    <t>OE2, OE3</t>
  </si>
  <si>
    <t>Puede generar fallos funcionales, inconsistencias y reprocesos entre componentes del sistema.</t>
  </si>
  <si>
    <t>Errores en consumo de API, incompatibilidades entre módulos o defectos de flujo intermodular.</t>
  </si>
  <si>
    <t>Definir contratos de integración con anticipación y ejecutar pruebas parciales por componente.</t>
  </si>
  <si>
    <t>Aislar temporalmente el módulo conflictivo y corregir interfaces antes de reintegrarlo.</t>
  </si>
  <si>
    <t>R14</t>
  </si>
  <si>
    <t>Inconsistencias en persistencia, integridad o trazabilidad de datos entre módulos</t>
  </si>
  <si>
    <t>Técnico / datos</t>
  </si>
  <si>
    <t>Diseño de datos e implementación</t>
  </si>
  <si>
    <t>Afecta la consistencia del sistema y puede comprometer reportes, consultas y control de cambios.</t>
  </si>
  <si>
    <t>Duplicados, relaciones incompletas, restricciones mal definidas o registros sin trazabilidad suficiente.</t>
  </si>
  <si>
    <t>Normalizar estructuras de datos, validar relaciones y ejecutar pruebas de integridad en cada módulo.</t>
  </si>
  <si>
    <t>Aplicar corrección de esquema y scripts de saneamiento sobre datos de prueba antes de liberar.</t>
  </si>
  <si>
    <t>R15</t>
  </si>
  <si>
    <t>Retrasos acumulados en cronograma por iteraciones adicionales, correcciones o validaciones repetidas</t>
  </si>
  <si>
    <t>OE1, OE2, OE3, OE4</t>
  </si>
  <si>
    <t>Desplaza entregables y puede reducir tiempo disponible para pruebas y documentación final.</t>
  </si>
  <si>
    <t>Cierre incompleto de actividades por sprint o replanificaciones frecuentes.</t>
  </si>
  <si>
    <t>Realizar seguimiento por sprint, ajustar tareas no críticas y proteger hitos de validación.</t>
  </si>
  <si>
    <t>Reprogramar actividades secundarias y priorizar entregables esenciales del alcance aprobado.</t>
  </si>
  <si>
    <t>R16</t>
  </si>
  <si>
    <t>Problemas en control de versiones, ramas o sincronización del desarrollo</t>
  </si>
  <si>
    <t>Técnico / configuración</t>
  </si>
  <si>
    <t>Puede causar pérdida de cambios, conflictos de integración o inestabilidad del código.</t>
  </si>
  <si>
    <t>Conflictos frecuentes de merge, ramas desalineadas o falta de actualización del repositorio.</t>
  </si>
  <si>
    <t>Definir reglas de trabajo con ramas, frecuencia de integración y respaldo del repositorio.</t>
  </si>
  <si>
    <t>Congelar temporalmente nuevas integraciones y resolver conflictos antes de continuar.</t>
  </si>
  <si>
    <t>R17</t>
  </si>
  <si>
    <t>Fallos en prácticas de integración y despliegue continuo (CI/CD)</t>
  </si>
  <si>
    <t>Técnico / automatización</t>
  </si>
  <si>
    <t>Implementación y pruebas</t>
  </si>
  <si>
    <t>Afecta automatización, validación técnica y estabilidad en entregas incrementales.</t>
  </si>
  <si>
    <t>Pipelines fallidos, scripts incompletos o ejecuciones inconsistentes de pruebas automáticas.</t>
  </si>
  <si>
    <t>Configurar automatizaciones de forma gradual y mantener pruebas previas a cada despliegue.</t>
  </si>
  <si>
    <t>Ejecutar despliegues controlados y validaciones manuales mientras se corrige el pipeline.</t>
  </si>
  <si>
    <t>R18</t>
  </si>
  <si>
    <t>Participación insuficiente de usuarios clave en pruebas de usabilidad y validación funcional</t>
  </si>
  <si>
    <t>Recursos humanos / calidad</t>
  </si>
  <si>
    <t>Validación</t>
  </si>
  <si>
    <t>OE4</t>
  </si>
  <si>
    <t>Reduce la solidez de la validación y limita la evidencia empírica de aceptación del sistema.</t>
  </si>
  <si>
    <t>Ausencia o participación mínima de usuarios convocados a pruebas y revisión heurística.</t>
  </si>
  <si>
    <t>Coordinar con usuarios desde fases tempranas y simplificar instrumentos de validación.</t>
  </si>
  <si>
    <t>Ejecutar validaciones focalizadas con usuarios representativos disponibles y documentar la limitación.</t>
  </si>
  <si>
    <t>R19</t>
  </si>
  <si>
    <t>Insuficiencia de evidencias para evaluar usabilidad, fiabilidad y desempeño del sistema</t>
  </si>
  <si>
    <t>Calidad / validación</t>
  </si>
  <si>
    <t>Pruebas y cierre</t>
  </si>
  <si>
    <t>Debilita la evaluación final del sistema frente a los criterios definidos en el anteproyecto.</t>
  </si>
  <si>
    <t>Falta de registros de prueba, métricas, capturas o resultados sistematizados.</t>
  </si>
  <si>
    <t>Registrar resultados de pruebas, capturas, listas de chequeo y evidencias de observación del uso.</t>
  </si>
  <si>
    <t>Repetir pruebas esenciales y consolidar evidencias mínimas para la evaluación final.</t>
  </si>
  <si>
    <t>R20</t>
  </si>
  <si>
    <t>Desajuste entre el alcance delimitado y nuevas expectativas funcionales de la empresa</t>
  </si>
  <si>
    <t>Alcance / interesados</t>
  </si>
  <si>
    <t>Puede ampliar indebidamente la fase actual y comprometer tiempo, validación y cierre del proyecto.</t>
  </si>
  <si>
    <t>Solicitudes de nuevas funcionalidades fuera del alcance aprobado o reinterpretación del proyecto.</t>
  </si>
  <si>
    <t>Evitación + mitigación</t>
  </si>
  <si>
    <t>Formalizar el alcance de la fase actual y usar control de cambios con registro de trabajo futuro.</t>
  </si>
  <si>
    <t>Excluir funcionalidades adicionales de la ejecución actual y trasladarlas a recomendaciones o fases posteriores.</t>
  </si>
  <si>
    <t>R21</t>
  </si>
  <si>
    <t>Replanteamiento significativo de arquitectura por decisiones técnicas tardías</t>
  </si>
  <si>
    <t>Diseño e implementación</t>
  </si>
  <si>
    <t>Puede obligar a rehacer componentes centrales y afectar integración, cronograma y pruebas.</t>
  </si>
  <si>
    <t>Descubrimiento tardío de incompatibilidades técnicas o redefinición de decisiones estructurales.</t>
  </si>
  <si>
    <t>Validar arquitectura antes de implementar componentes centrales y documentar decisiones técnicas oportunamente.</t>
  </si>
  <si>
    <t>Congelar nuevas funcionalidades y estabilizar la arquitectura mínima viable antes de continuar.</t>
  </si>
  <si>
    <t>R22</t>
  </si>
  <si>
    <t>Imposibilidad de completar validaciones clave dentro del tiempo previsto del proyecto</t>
  </si>
  <si>
    <t>Tiempo / validación</t>
  </si>
  <si>
    <t>Validación y cierre</t>
  </si>
  <si>
    <t>Compromete la demostración de usabilidad y fiabilidad del sistema dentro del periodo académico.</t>
  </si>
  <si>
    <t>Atrasos previos que reducen la ventana de pruebas o reprogramaciones continuas de validación.</t>
  </si>
  <si>
    <t>Planificar validaciones por iteración y reservar tiempo específico para pruebas prioritarias.</t>
  </si>
  <si>
    <t>Priorizar validaciones de funcionalidades centrales y ajustar el cierre a evidencias sustantivas disponibles.</t>
  </si>
  <si>
    <t>R23</t>
  </si>
  <si>
    <t>Dependencia elevada de información o decisiones institucionales que no se obtienen oportunamente</t>
  </si>
  <si>
    <t>Externo / recursos</t>
  </si>
  <si>
    <t>Puede detener análisis, diseño o validación por falta de definiciones o insumos críticos.</t>
  </si>
  <si>
    <t>Demoras en autorizaciones, aclaraciones funcionales o entrega de información institucional.</t>
  </si>
  <si>
    <t>Solicitar información con anticipación y trabajar progresivamente con lo ya disponible.</t>
  </si>
  <si>
    <t>Usar evidencia parcial documentada, registrar supuestos de trabajo y actualizar cuando llegue la información faltante.</t>
  </si>
  <si>
    <t>R24</t>
  </si>
  <si>
    <t>Afectación transversal de objetivos por acumulación de cambios en requisitos, retrasos y baja validación</t>
  </si>
  <si>
    <t>Alcance / tiempo / calidad</t>
  </si>
  <si>
    <t>Puede comprometer simultáneamente alcance, tiempo, calidad y cierre metodológico del proyecto.</t>
  </si>
  <si>
    <t>Coincidencia de cambios de alcance, retrasos reiterados y falta de validaciones oportunas.</t>
  </si>
  <si>
    <t>Revisar riesgos en cada sprint, limitar ampliaciones de alcance y concentrar recursos en entregables críticos.</t>
  </si>
  <si>
    <t>Reordenar el proyecto alrededor del producto mínimo viable y reducir frentes simultáneos de trabajo.</t>
  </si>
  <si>
    <t>Riesgo priorizado</t>
  </si>
  <si>
    <t>Acción preventiva / de respuesta</t>
  </si>
  <si>
    <t>Señal de activación</t>
  </si>
  <si>
    <t>Fecha de revisión</t>
  </si>
  <si>
    <t>Código del riesgo</t>
  </si>
  <si>
    <t>Riesgo</t>
  </si>
  <si>
    <t>Fase / sprint</t>
  </si>
  <si>
    <t>Prob. anterior</t>
  </si>
  <si>
    <t>Prob. nueva</t>
  </si>
  <si>
    <t>Impacto anterior</t>
  </si>
  <si>
    <t>Impacto nuevo</t>
  </si>
  <si>
    <t>Nivel anterior</t>
  </si>
  <si>
    <t>Nivel nuevo</t>
  </si>
  <si>
    <t>Acción ejecutada</t>
  </si>
  <si>
    <t>Resultado observado</t>
  </si>
  <si>
    <t>Estado actualizado</t>
  </si>
  <si>
    <t>Próxima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</si>
</sst>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1" fontId="0" fillId="0" borderId="1" xfId="0" applyNumberForma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8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/>
      </font>
      <fill>
        <patternFill>
          <bgColor rgb="FFF4CCCC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457200</xdr:colOff>
      <xdr:row>17</xdr:row>
      <xdr:rowOff>0</xdr:rowOff>
    </xdr:to>
    <xdr:sp macro="" textlink="">
      <xdr:nvSpPr>
        <xdr:cNvPr id="1029" name="Text Box 5" hidden="1">
          <a:extLst>
            <a:ext uri="{FF2B5EF4-FFF2-40B4-BE49-F238E27FC236}">
              <a16:creationId xmlns:a16="http://schemas.microsoft.com/office/drawing/2014/main" id="{3EE042E8-A6F6-24B7-DFC5-E5CDFC321A8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MatrizRiesgos" displayName="TablaMatrizRiesgos" ref="A1:T25">
  <autoFilter ref="A1:T25" xr:uid="{00000000-0009-0000-0100-000001000000}"/>
  <tableColumns count="20">
    <tableColumn id="1" xr3:uid="{00000000-0010-0000-0000-000001000000}" name="Código"/>
    <tableColumn id="2" xr3:uid="{00000000-0010-0000-0000-000002000000}" name="Riesgo identificado"/>
    <tableColumn id="3" xr3:uid="{00000000-0010-0000-0000-000003000000}" name="Categoría"/>
    <tableColumn id="4" xr3:uid="{00000000-0010-0000-0000-000004000000}" name="Fase principal"/>
    <tableColumn id="5" xr3:uid="{00000000-0010-0000-0000-000005000000}" name="Objetivo(s) afectado(s)"/>
    <tableColumn id="6" xr3:uid="{00000000-0010-0000-0000-000006000000}" name="Impacto resumido"/>
    <tableColumn id="7" xr3:uid="{00000000-0010-0000-0000-000007000000}" name="Detonante / señal de alerta"/>
    <tableColumn id="8" xr3:uid="{00000000-0010-0000-0000-000008000000}" name="Impacto"/>
    <tableColumn id="9" xr3:uid="{00000000-0010-0000-0000-000009000000}" name="Puntaje impacto"/>
    <tableColumn id="10" xr3:uid="{00000000-0010-0000-0000-00000A000000}" name="Probabilidad"/>
    <tableColumn id="11" xr3:uid="{00000000-0010-0000-0000-00000B000000}" name="Puntaje probabilidad"/>
    <tableColumn id="12" xr3:uid="{00000000-0010-0000-0000-00000C000000}" name="Exposición"/>
    <tableColumn id="13" xr3:uid="{00000000-0010-0000-0000-00000D000000}" name="Nivel exposición"/>
    <tableColumn id="14" xr3:uid="{00000000-0010-0000-0000-00000E000000}" name="Prioridad"/>
    <tableColumn id="15" xr3:uid="{00000000-0010-0000-0000-00000F000000}" name="Estrategia principal"/>
    <tableColumn id="16" xr3:uid="{00000000-0010-0000-0000-000010000000}" name="Respuesta planificada"/>
    <tableColumn id="17" xr3:uid="{00000000-0010-0000-0000-000011000000}" name="Medida de contingencia"/>
    <tableColumn id="18" xr3:uid="{00000000-0010-0000-0000-000012000000}" name="Responsable sugerido"/>
    <tableColumn id="19" xr3:uid="{00000000-0010-0000-0000-000013000000}" name="Estado inicial"/>
    <tableColumn id="20" xr3:uid="{00000000-0010-0000-0000-000014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RespuestaPriorizada" displayName="TablaRespuestaPriorizada" ref="A1:H17">
  <autoFilter ref="A1:H17" xr:uid="{00000000-0009-0000-0100-000002000000}"/>
  <tableColumns count="8">
    <tableColumn id="1" xr3:uid="{00000000-0010-0000-0100-000001000000}" name="Código"/>
    <tableColumn id="2" xr3:uid="{00000000-0010-0000-0100-000002000000}" name="Prioridad"/>
    <tableColumn id="3" xr3:uid="{00000000-0010-0000-0100-000003000000}" name="Riesgo priorizado"/>
    <tableColumn id="4" xr3:uid="{00000000-0010-0000-0100-000004000000}" name="Estrategia principal"/>
    <tableColumn id="5" xr3:uid="{00000000-0010-0000-0100-000005000000}" name="Acción preventiva / de respuesta"/>
    <tableColumn id="6" xr3:uid="{00000000-0010-0000-0100-000006000000}" name="Medida de contingencia"/>
    <tableColumn id="7" xr3:uid="{00000000-0010-0000-0100-000007000000}" name="Responsable sugerido"/>
    <tableColumn id="8" xr3:uid="{00000000-0010-0000-0100-000008000000}" name="Señal de activació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SeguimientoRiesgos" displayName="TablaSeguimientoRiesgos" ref="A1:O25">
  <autoFilter ref="A1:O25" xr:uid="{00000000-0009-0000-0100-000003000000}"/>
  <tableColumns count="15">
    <tableColumn id="1" xr3:uid="{00000000-0010-0000-0200-000001000000}" name="Fecha de revisión"/>
    <tableColumn id="2" xr3:uid="{00000000-0010-0000-0200-000002000000}" name="Código del riesgo"/>
    <tableColumn id="3" xr3:uid="{00000000-0010-0000-0200-000003000000}" name="Riesgo"/>
    <tableColumn id="4" xr3:uid="{00000000-0010-0000-0200-000004000000}" name="Fase / sprint"/>
    <tableColumn id="5" xr3:uid="{00000000-0010-0000-0200-000005000000}" name="Prob. anterior"/>
    <tableColumn id="6" xr3:uid="{00000000-0010-0000-0200-000006000000}" name="Prob. nueva"/>
    <tableColumn id="7" xr3:uid="{00000000-0010-0000-0200-000007000000}" name="Impacto anterior"/>
    <tableColumn id="8" xr3:uid="{00000000-0010-0000-0200-000008000000}" name="Impacto nuevo"/>
    <tableColumn id="9" xr3:uid="{00000000-0010-0000-0200-000009000000}" name="Nivel anterior"/>
    <tableColumn id="10" xr3:uid="{00000000-0010-0000-0200-00000A000000}" name="Nivel nuevo"/>
    <tableColumn id="11" xr3:uid="{00000000-0010-0000-0200-00000B000000}" name="Acción ejecutada"/>
    <tableColumn id="12" xr3:uid="{00000000-0010-0000-0200-00000C000000}" name="Resultado observado"/>
    <tableColumn id="13" xr3:uid="{00000000-0010-0000-0200-00000D000000}" name="Estado actualizado"/>
    <tableColumn id="14" xr3:uid="{00000000-0010-0000-0200-00000E000000}" name="Próxima revisión"/>
    <tableColumn id="15" xr3:uid="{00000000-0010-0000-0200-00000F000000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workbookViewId="0">
      <selection sqref="A1:F1"/>
    </sheetView>
  </sheetViews>
  <sheetFormatPr baseColWidth="10" defaultColWidth="9.140625" defaultRowHeight="15" x14ac:dyDescent="0.25"/>
  <cols>
    <col min="1" max="1" width="38" customWidth="1"/>
    <col min="2" max="2" width="12" customWidth="1"/>
    <col min="3" max="3" width="22" customWidth="1"/>
    <col min="4" max="4" width="28" customWidth="1"/>
    <col min="5" max="5" width="58" customWidth="1"/>
    <col min="6" max="6" width="18" customWidth="1"/>
  </cols>
  <sheetData>
    <row r="1" spans="1:6" x14ac:dyDescent="0.25">
      <c r="A1" s="10" t="s">
        <v>0</v>
      </c>
      <c r="B1" s="8"/>
      <c r="C1" s="8"/>
      <c r="D1" s="8"/>
      <c r="E1" s="8"/>
      <c r="F1" s="8"/>
    </row>
    <row r="2" spans="1:6" x14ac:dyDescent="0.25">
      <c r="A2" s="7" t="s">
        <v>1</v>
      </c>
      <c r="B2" s="8"/>
      <c r="C2" s="8"/>
      <c r="D2" s="8"/>
      <c r="E2" s="8"/>
      <c r="F2" s="8"/>
    </row>
    <row r="4" spans="1:6" x14ac:dyDescent="0.25">
      <c r="A4" s="1" t="s">
        <v>2</v>
      </c>
      <c r="B4" s="1" t="s">
        <v>3</v>
      </c>
      <c r="D4" s="1" t="s">
        <v>4</v>
      </c>
      <c r="E4" s="1" t="s">
        <v>5</v>
      </c>
    </row>
    <row r="5" spans="1:6" x14ac:dyDescent="0.25">
      <c r="A5" s="2" t="s">
        <v>6</v>
      </c>
      <c r="B5" s="3">
        <f>COUNTA(Matriz_Riesgos!A:A)-1</f>
        <v>24</v>
      </c>
      <c r="D5" s="4" t="s">
        <v>7</v>
      </c>
      <c r="E5" s="2" t="s">
        <v>8</v>
      </c>
    </row>
    <row r="6" spans="1:6" x14ac:dyDescent="0.25">
      <c r="A6" s="2" t="s">
        <v>9</v>
      </c>
      <c r="B6" s="3">
        <f>COUNTIF(Matriz_Riesgos!N:N,"I")</f>
        <v>4</v>
      </c>
      <c r="D6" s="4" t="s">
        <v>10</v>
      </c>
      <c r="E6" s="2" t="s">
        <v>11</v>
      </c>
    </row>
    <row r="7" spans="1:6" ht="30" x14ac:dyDescent="0.25">
      <c r="A7" s="2" t="s">
        <v>12</v>
      </c>
      <c r="B7" s="3">
        <f>COUNTIF(Matriz_Riesgos!N:N,"II")</f>
        <v>12</v>
      </c>
      <c r="D7" s="4" t="s">
        <v>13</v>
      </c>
      <c r="E7" s="2" t="s">
        <v>14</v>
      </c>
    </row>
    <row r="8" spans="1:6" x14ac:dyDescent="0.25">
      <c r="A8" s="2" t="s">
        <v>15</v>
      </c>
      <c r="B8" s="3">
        <f>COUNTIF(Matriz_Riesgos!N:N,"III")</f>
        <v>4</v>
      </c>
      <c r="D8" s="4" t="s">
        <v>16</v>
      </c>
      <c r="E8" s="2" t="s">
        <v>17</v>
      </c>
    </row>
    <row r="9" spans="1:6" x14ac:dyDescent="0.25">
      <c r="A9" s="2" t="s">
        <v>18</v>
      </c>
      <c r="B9" s="3">
        <f>COUNTIF(Matriz_Riesgos!N:N,"IV")</f>
        <v>4</v>
      </c>
    </row>
    <row r="12" spans="1:6" x14ac:dyDescent="0.25">
      <c r="A12" s="9" t="s">
        <v>19</v>
      </c>
      <c r="B12" s="8"/>
      <c r="D12" s="9" t="s">
        <v>20</v>
      </c>
      <c r="E12" s="8"/>
    </row>
    <row r="13" spans="1:6" x14ac:dyDescent="0.25">
      <c r="A13" s="2" t="s">
        <v>21</v>
      </c>
      <c r="B13" s="3">
        <f>COUNTIF(Matriz_Riesgos!M:M,"Crítica")</f>
        <v>1</v>
      </c>
      <c r="D13" s="2" t="s">
        <v>22</v>
      </c>
      <c r="E13" s="3">
        <v>23</v>
      </c>
    </row>
    <row r="14" spans="1:6" x14ac:dyDescent="0.25">
      <c r="A14" s="2" t="s">
        <v>23</v>
      </c>
      <c r="B14" s="3">
        <f>COUNTIF(Matriz_Riesgos!M:M,"Alta")</f>
        <v>9</v>
      </c>
      <c r="D14" s="2" t="s">
        <v>24</v>
      </c>
      <c r="E14" s="3">
        <v>4</v>
      </c>
    </row>
    <row r="15" spans="1:6" x14ac:dyDescent="0.25">
      <c r="A15" s="2" t="s">
        <v>25</v>
      </c>
      <c r="B15" s="3">
        <f>COUNTIF(Matriz_Riesgos!M:M,"Moderada")</f>
        <v>10</v>
      </c>
      <c r="D15" s="2" t="s">
        <v>26</v>
      </c>
      <c r="E15" s="3">
        <v>4</v>
      </c>
    </row>
    <row r="16" spans="1:6" x14ac:dyDescent="0.25">
      <c r="A16" s="2" t="s">
        <v>27</v>
      </c>
      <c r="B16" s="3">
        <f>COUNTIF(Matriz_Riesgos!M:M,"Baja")</f>
        <v>4</v>
      </c>
      <c r="D16" s="2" t="s">
        <v>28</v>
      </c>
      <c r="E16" s="3">
        <v>3</v>
      </c>
    </row>
    <row r="18" spans="1:5" ht="30" x14ac:dyDescent="0.25">
      <c r="D18" s="4" t="s">
        <v>29</v>
      </c>
      <c r="E18" s="2" t="s">
        <v>30</v>
      </c>
    </row>
    <row r="19" spans="1:5" x14ac:dyDescent="0.25">
      <c r="A19" s="9" t="s">
        <v>31</v>
      </c>
      <c r="B19" s="8"/>
      <c r="C19" s="8"/>
    </row>
    <row r="20" spans="1:5" x14ac:dyDescent="0.25">
      <c r="A20" s="5" t="s">
        <v>32</v>
      </c>
      <c r="B20" s="5" t="s">
        <v>33</v>
      </c>
      <c r="C20" s="5" t="s">
        <v>34</v>
      </c>
    </row>
    <row r="21" spans="1:5" ht="45" x14ac:dyDescent="0.25">
      <c r="A21" s="2" t="s">
        <v>35</v>
      </c>
      <c r="B21" s="2" t="s">
        <v>21</v>
      </c>
      <c r="C21" s="2" t="s">
        <v>36</v>
      </c>
    </row>
    <row r="22" spans="1:5" ht="30" x14ac:dyDescent="0.25">
      <c r="A22" s="2" t="s">
        <v>37</v>
      </c>
      <c r="B22" s="2" t="s">
        <v>23</v>
      </c>
      <c r="C22" s="2" t="s">
        <v>38</v>
      </c>
    </row>
    <row r="23" spans="1:5" ht="30" x14ac:dyDescent="0.25">
      <c r="A23" s="2" t="s">
        <v>39</v>
      </c>
      <c r="B23" s="2" t="s">
        <v>25</v>
      </c>
      <c r="C23" s="2" t="s">
        <v>40</v>
      </c>
    </row>
    <row r="24" spans="1:5" ht="30" x14ac:dyDescent="0.25">
      <c r="A24" s="2" t="s">
        <v>41</v>
      </c>
      <c r="B24" s="2" t="s">
        <v>27</v>
      </c>
      <c r="C24" s="2" t="s">
        <v>42</v>
      </c>
    </row>
  </sheetData>
  <mergeCells count="5">
    <mergeCell ref="A2:F2"/>
    <mergeCell ref="A19:C19"/>
    <mergeCell ref="A1:F1"/>
    <mergeCell ref="D12:E12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showGridLines="0" workbookViewId="0"/>
  </sheetViews>
  <sheetFormatPr baseColWidth="10" defaultColWidth="9.140625" defaultRowHeight="15" x14ac:dyDescent="0.25"/>
  <cols>
    <col min="1" max="1" width="22" customWidth="1"/>
    <col min="2" max="2" width="13" customWidth="1"/>
    <col min="3" max="3" width="55" customWidth="1"/>
    <col min="4" max="4" width="5" customWidth="1"/>
    <col min="5" max="5" width="18" customWidth="1"/>
    <col min="6" max="6" width="10" customWidth="1"/>
    <col min="7" max="7" width="42" customWidth="1"/>
    <col min="8" max="8" width="18" customWidth="1"/>
  </cols>
  <sheetData>
    <row r="1" spans="1:8" x14ac:dyDescent="0.25">
      <c r="A1" s="11" t="s">
        <v>43</v>
      </c>
      <c r="B1" s="8"/>
      <c r="C1" s="8"/>
      <c r="D1" s="8"/>
      <c r="E1" s="8"/>
    </row>
    <row r="3" spans="1:8" x14ac:dyDescent="0.25">
      <c r="A3" s="9" t="s">
        <v>44</v>
      </c>
      <c r="B3" s="8"/>
      <c r="C3" s="8"/>
      <c r="E3" s="9" t="s">
        <v>45</v>
      </c>
      <c r="F3" s="8"/>
      <c r="G3" s="8"/>
    </row>
    <row r="4" spans="1:8" x14ac:dyDescent="0.25">
      <c r="A4" s="5" t="s">
        <v>33</v>
      </c>
      <c r="B4" s="5" t="s">
        <v>46</v>
      </c>
      <c r="C4" s="5" t="s">
        <v>5</v>
      </c>
      <c r="E4" s="5" t="s">
        <v>33</v>
      </c>
      <c r="F4" s="5" t="s">
        <v>46</v>
      </c>
      <c r="G4" s="5" t="s">
        <v>5</v>
      </c>
    </row>
    <row r="5" spans="1:8" x14ac:dyDescent="0.25">
      <c r="A5" s="2" t="s">
        <v>47</v>
      </c>
      <c r="B5" s="2">
        <v>1</v>
      </c>
      <c r="C5" s="2" t="s">
        <v>48</v>
      </c>
      <c r="E5" s="2" t="s">
        <v>27</v>
      </c>
      <c r="F5" s="2">
        <v>1</v>
      </c>
      <c r="G5" s="2" t="s">
        <v>49</v>
      </c>
    </row>
    <row r="6" spans="1:8" ht="30" x14ac:dyDescent="0.25">
      <c r="A6" s="2" t="s">
        <v>50</v>
      </c>
      <c r="B6" s="2">
        <v>2</v>
      </c>
      <c r="C6" s="2" t="s">
        <v>51</v>
      </c>
      <c r="E6" s="2" t="s">
        <v>52</v>
      </c>
      <c r="F6" s="2">
        <v>2</v>
      </c>
      <c r="G6" s="2" t="s">
        <v>53</v>
      </c>
    </row>
    <row r="7" spans="1:8" ht="30" x14ac:dyDescent="0.25">
      <c r="A7" s="2" t="s">
        <v>54</v>
      </c>
      <c r="B7" s="2">
        <v>3</v>
      </c>
      <c r="C7" s="2" t="s">
        <v>55</v>
      </c>
      <c r="E7" s="2" t="s">
        <v>23</v>
      </c>
      <c r="F7" s="2">
        <v>3</v>
      </c>
      <c r="G7" s="2" t="s">
        <v>56</v>
      </c>
    </row>
    <row r="8" spans="1:8" ht="30" x14ac:dyDescent="0.25">
      <c r="A8" s="2" t="s">
        <v>57</v>
      </c>
      <c r="B8" s="2">
        <v>4</v>
      </c>
      <c r="C8" s="2" t="s">
        <v>58</v>
      </c>
    </row>
    <row r="11" spans="1:8" x14ac:dyDescent="0.25">
      <c r="A11" s="9" t="s">
        <v>59</v>
      </c>
      <c r="B11" s="8"/>
      <c r="C11" s="8"/>
      <c r="E11" s="9" t="s">
        <v>60</v>
      </c>
      <c r="F11" s="8"/>
      <c r="G11" s="8"/>
      <c r="H11" s="8"/>
    </row>
    <row r="12" spans="1:8" x14ac:dyDescent="0.25">
      <c r="A12" s="5" t="s">
        <v>61</v>
      </c>
      <c r="B12" s="5" t="s">
        <v>33</v>
      </c>
      <c r="C12" s="5" t="s">
        <v>34</v>
      </c>
      <c r="E12" s="5" t="s">
        <v>32</v>
      </c>
      <c r="F12" s="5" t="s">
        <v>33</v>
      </c>
      <c r="G12" s="5" t="s">
        <v>62</v>
      </c>
      <c r="H12" s="5" t="s">
        <v>63</v>
      </c>
    </row>
    <row r="13" spans="1:8" ht="30" x14ac:dyDescent="0.25">
      <c r="A13" s="2" t="s">
        <v>64</v>
      </c>
      <c r="B13" s="2" t="s">
        <v>21</v>
      </c>
      <c r="C13" s="2" t="s">
        <v>65</v>
      </c>
      <c r="E13" s="2" t="s">
        <v>35</v>
      </c>
      <c r="F13" s="2" t="s">
        <v>21</v>
      </c>
      <c r="G13" s="2" t="s">
        <v>36</v>
      </c>
      <c r="H13" s="2" t="s">
        <v>66</v>
      </c>
    </row>
    <row r="14" spans="1:8" x14ac:dyDescent="0.25">
      <c r="A14" s="2" t="s">
        <v>67</v>
      </c>
      <c r="B14" s="2" t="s">
        <v>23</v>
      </c>
      <c r="C14" s="2" t="s">
        <v>68</v>
      </c>
      <c r="E14" s="2" t="s">
        <v>37</v>
      </c>
      <c r="F14" s="2" t="s">
        <v>23</v>
      </c>
      <c r="G14" s="2" t="s">
        <v>38</v>
      </c>
      <c r="H14" s="2" t="s">
        <v>66</v>
      </c>
    </row>
    <row r="15" spans="1:8" x14ac:dyDescent="0.25">
      <c r="A15" s="2" t="s">
        <v>69</v>
      </c>
      <c r="B15" s="2" t="s">
        <v>25</v>
      </c>
      <c r="C15" s="2" t="s">
        <v>70</v>
      </c>
      <c r="E15" s="2" t="s">
        <v>39</v>
      </c>
      <c r="F15" s="2" t="s">
        <v>25</v>
      </c>
      <c r="G15" s="2" t="s">
        <v>40</v>
      </c>
      <c r="H15" s="2" t="s">
        <v>66</v>
      </c>
    </row>
    <row r="16" spans="1:8" x14ac:dyDescent="0.25">
      <c r="A16" s="2" t="s">
        <v>71</v>
      </c>
      <c r="B16" s="2" t="s">
        <v>27</v>
      </c>
      <c r="C16" s="2" t="s">
        <v>72</v>
      </c>
      <c r="E16" s="2" t="s">
        <v>41</v>
      </c>
      <c r="F16" s="2" t="s">
        <v>27</v>
      </c>
      <c r="G16" s="2" t="s">
        <v>42</v>
      </c>
      <c r="H16" s="2" t="s">
        <v>66</v>
      </c>
    </row>
    <row r="19" spans="1:3" x14ac:dyDescent="0.25">
      <c r="A19" s="9" t="s">
        <v>73</v>
      </c>
      <c r="B19" s="8"/>
      <c r="C19" s="8"/>
    </row>
    <row r="20" spans="1:3" x14ac:dyDescent="0.25">
      <c r="A20" s="5" t="s">
        <v>74</v>
      </c>
      <c r="B20" s="5" t="s">
        <v>75</v>
      </c>
      <c r="C20" s="5" t="s">
        <v>76</v>
      </c>
    </row>
    <row r="21" spans="1:3" ht="45" x14ac:dyDescent="0.25">
      <c r="A21" s="2" t="s">
        <v>22</v>
      </c>
      <c r="B21" s="2" t="s">
        <v>77</v>
      </c>
      <c r="C21" s="2" t="s">
        <v>78</v>
      </c>
    </row>
    <row r="22" spans="1:3" ht="75" x14ac:dyDescent="0.25">
      <c r="A22" s="2" t="s">
        <v>24</v>
      </c>
      <c r="B22" s="2" t="s">
        <v>79</v>
      </c>
      <c r="C22" s="2" t="s">
        <v>80</v>
      </c>
    </row>
    <row r="23" spans="1:3" ht="75" x14ac:dyDescent="0.25">
      <c r="A23" s="2" t="s">
        <v>26</v>
      </c>
      <c r="B23" s="2" t="s">
        <v>81</v>
      </c>
      <c r="C23" s="2" t="s">
        <v>82</v>
      </c>
    </row>
    <row r="24" spans="1:3" ht="60" x14ac:dyDescent="0.25">
      <c r="A24" s="2" t="s">
        <v>28</v>
      </c>
      <c r="B24" s="2" t="s">
        <v>83</v>
      </c>
      <c r="C24" s="2" t="s">
        <v>84</v>
      </c>
    </row>
  </sheetData>
  <mergeCells count="6">
    <mergeCell ref="A19:C19"/>
    <mergeCell ref="A11:C11"/>
    <mergeCell ref="A1:E1"/>
    <mergeCell ref="A3:C3"/>
    <mergeCell ref="E3:G3"/>
    <mergeCell ref="E11:H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"/>
  <sheetViews>
    <sheetView showGridLines="0" workbookViewId="0"/>
  </sheetViews>
  <sheetFormatPr baseColWidth="10" defaultColWidth="9.140625" defaultRowHeight="15" x14ac:dyDescent="0.25"/>
  <cols>
    <col min="1" max="1" width="10" customWidth="1"/>
    <col min="2" max="2" width="60" customWidth="1"/>
    <col min="3" max="4" width="24" customWidth="1"/>
    <col min="5" max="5" width="18" customWidth="1"/>
    <col min="6" max="7" width="38" customWidth="1"/>
    <col min="8" max="8" width="12" customWidth="1"/>
    <col min="9" max="9" width="15" customWidth="1"/>
    <col min="10" max="10" width="14" customWidth="1"/>
    <col min="11" max="11" width="18" customWidth="1"/>
    <col min="12" max="12" width="12" customWidth="1"/>
    <col min="13" max="13" width="16" customWidth="1"/>
    <col min="14" max="14" width="10" customWidth="1"/>
    <col min="15" max="15" width="24" customWidth="1"/>
    <col min="16" max="16" width="46" customWidth="1"/>
    <col min="17" max="17" width="42" customWidth="1"/>
    <col min="18" max="18" width="24" customWidth="1"/>
    <col min="19" max="19" width="12" customWidth="1"/>
    <col min="20" max="20" width="20" customWidth="1"/>
  </cols>
  <sheetData>
    <row r="1" spans="1:20" ht="30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32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</row>
    <row r="2" spans="1:20" ht="45" x14ac:dyDescent="0.25">
      <c r="A2" s="6" t="s">
        <v>104</v>
      </c>
      <c r="B2" s="2" t="s">
        <v>105</v>
      </c>
      <c r="C2" s="2" t="s">
        <v>106</v>
      </c>
      <c r="D2" s="2" t="s">
        <v>107</v>
      </c>
      <c r="E2" s="2" t="s">
        <v>108</v>
      </c>
      <c r="F2" s="2" t="s">
        <v>109</v>
      </c>
      <c r="G2" s="2" t="s">
        <v>110</v>
      </c>
      <c r="H2" s="6" t="s">
        <v>47</v>
      </c>
      <c r="I2" s="3">
        <f t="shared" ref="I2:I25" si="0">IF(H2="Leve",1,IF(H2="Moderado",2,IF(H2="Alto",3,IF(H2="Crítico",4,""))))</f>
        <v>1</v>
      </c>
      <c r="J2" s="3" t="s">
        <v>23</v>
      </c>
      <c r="K2" s="3">
        <f t="shared" ref="K2:K25" si="1">IF(J2="Baja",1,IF(J2="Media",2,IF(J2="Alta",3,"")))</f>
        <v>3</v>
      </c>
      <c r="L2" s="3">
        <f t="shared" ref="L2:L25" si="2">I2*K2</f>
        <v>3</v>
      </c>
      <c r="M2" s="6" t="str">
        <f t="shared" ref="M2:M25" si="3">IF(L2&gt;=10,"Crítica",IF(L2&gt;=7,"Alta",IF(L2&gt;=4,"Moderada","Baja")))</f>
        <v>Baja</v>
      </c>
      <c r="N2" s="6" t="s">
        <v>41</v>
      </c>
      <c r="O2" s="2" t="s">
        <v>111</v>
      </c>
      <c r="P2" s="2" t="s">
        <v>112</v>
      </c>
      <c r="Q2" s="2" t="s">
        <v>113</v>
      </c>
      <c r="R2" s="2" t="s">
        <v>114</v>
      </c>
      <c r="S2" s="6" t="s">
        <v>66</v>
      </c>
      <c r="T2" s="2" t="s">
        <v>115</v>
      </c>
    </row>
    <row r="3" spans="1:20" ht="45" x14ac:dyDescent="0.25">
      <c r="A3" s="6" t="s">
        <v>116</v>
      </c>
      <c r="B3" s="2" t="s">
        <v>117</v>
      </c>
      <c r="C3" s="2" t="s">
        <v>118</v>
      </c>
      <c r="D3" s="2" t="s">
        <v>107</v>
      </c>
      <c r="E3" s="2" t="s">
        <v>108</v>
      </c>
      <c r="F3" s="2" t="s">
        <v>119</v>
      </c>
      <c r="G3" s="2" t="s">
        <v>120</v>
      </c>
      <c r="H3" s="6" t="s">
        <v>47</v>
      </c>
      <c r="I3" s="3">
        <f t="shared" si="0"/>
        <v>1</v>
      </c>
      <c r="J3" s="3" t="s">
        <v>52</v>
      </c>
      <c r="K3" s="3">
        <f t="shared" si="1"/>
        <v>2</v>
      </c>
      <c r="L3" s="3">
        <f t="shared" si="2"/>
        <v>2</v>
      </c>
      <c r="M3" s="6" t="str">
        <f t="shared" si="3"/>
        <v>Baja</v>
      </c>
      <c r="N3" s="6" t="s">
        <v>41</v>
      </c>
      <c r="O3" s="2" t="s">
        <v>26</v>
      </c>
      <c r="P3" s="2" t="s">
        <v>121</v>
      </c>
      <c r="Q3" s="2" t="s">
        <v>122</v>
      </c>
      <c r="R3" s="2" t="s">
        <v>114</v>
      </c>
      <c r="S3" s="6" t="s">
        <v>66</v>
      </c>
      <c r="T3" s="2" t="s">
        <v>115</v>
      </c>
    </row>
    <row r="4" spans="1:20" ht="45" x14ac:dyDescent="0.25">
      <c r="A4" s="6" t="s">
        <v>123</v>
      </c>
      <c r="B4" s="2" t="s">
        <v>124</v>
      </c>
      <c r="C4" s="2" t="s">
        <v>125</v>
      </c>
      <c r="D4" s="2" t="s">
        <v>126</v>
      </c>
      <c r="E4" s="2" t="s">
        <v>127</v>
      </c>
      <c r="F4" s="2" t="s">
        <v>128</v>
      </c>
      <c r="G4" s="2" t="s">
        <v>129</v>
      </c>
      <c r="H4" s="6" t="s">
        <v>47</v>
      </c>
      <c r="I4" s="3">
        <f t="shared" si="0"/>
        <v>1</v>
      </c>
      <c r="J4" s="3" t="s">
        <v>52</v>
      </c>
      <c r="K4" s="3">
        <f t="shared" si="1"/>
        <v>2</v>
      </c>
      <c r="L4" s="3">
        <f t="shared" si="2"/>
        <v>2</v>
      </c>
      <c r="M4" s="6" t="str">
        <f t="shared" si="3"/>
        <v>Baja</v>
      </c>
      <c r="N4" s="6" t="s">
        <v>41</v>
      </c>
      <c r="O4" s="2" t="s">
        <v>111</v>
      </c>
      <c r="P4" s="2" t="s">
        <v>130</v>
      </c>
      <c r="Q4" s="2" t="s">
        <v>131</v>
      </c>
      <c r="R4" s="2" t="s">
        <v>114</v>
      </c>
      <c r="S4" s="6" t="s">
        <v>66</v>
      </c>
      <c r="T4" s="2" t="s">
        <v>115</v>
      </c>
    </row>
    <row r="5" spans="1:20" ht="45" x14ac:dyDescent="0.25">
      <c r="A5" s="6" t="s">
        <v>132</v>
      </c>
      <c r="B5" s="2" t="s">
        <v>133</v>
      </c>
      <c r="C5" s="2" t="s">
        <v>134</v>
      </c>
      <c r="D5" s="2" t="s">
        <v>135</v>
      </c>
      <c r="E5" s="2" t="s">
        <v>136</v>
      </c>
      <c r="F5" s="2" t="s">
        <v>137</v>
      </c>
      <c r="G5" s="2" t="s">
        <v>138</v>
      </c>
      <c r="H5" s="6" t="s">
        <v>47</v>
      </c>
      <c r="I5" s="3">
        <f t="shared" si="0"/>
        <v>1</v>
      </c>
      <c r="J5" s="3" t="s">
        <v>52</v>
      </c>
      <c r="K5" s="3">
        <f t="shared" si="1"/>
        <v>2</v>
      </c>
      <c r="L5" s="3">
        <f t="shared" si="2"/>
        <v>2</v>
      </c>
      <c r="M5" s="6" t="str">
        <f t="shared" si="3"/>
        <v>Baja</v>
      </c>
      <c r="N5" s="6" t="s">
        <v>41</v>
      </c>
      <c r="O5" s="2" t="s">
        <v>22</v>
      </c>
      <c r="P5" s="2" t="s">
        <v>139</v>
      </c>
      <c r="Q5" s="2" t="s">
        <v>140</v>
      </c>
      <c r="R5" s="2" t="s">
        <v>114</v>
      </c>
      <c r="S5" s="6" t="s">
        <v>66</v>
      </c>
      <c r="T5" s="2" t="s">
        <v>115</v>
      </c>
    </row>
    <row r="6" spans="1:20" ht="45" x14ac:dyDescent="0.25">
      <c r="A6" s="6" t="s">
        <v>141</v>
      </c>
      <c r="B6" s="2" t="s">
        <v>142</v>
      </c>
      <c r="C6" s="2" t="s">
        <v>143</v>
      </c>
      <c r="D6" s="2" t="s">
        <v>144</v>
      </c>
      <c r="E6" s="2" t="s">
        <v>145</v>
      </c>
      <c r="F6" s="2" t="s">
        <v>146</v>
      </c>
      <c r="G6" s="2" t="s">
        <v>147</v>
      </c>
      <c r="H6" s="6" t="s">
        <v>50</v>
      </c>
      <c r="I6" s="3">
        <f t="shared" si="0"/>
        <v>2</v>
      </c>
      <c r="J6" s="3" t="s">
        <v>52</v>
      </c>
      <c r="K6" s="3">
        <f t="shared" si="1"/>
        <v>2</v>
      </c>
      <c r="L6" s="3">
        <f t="shared" si="2"/>
        <v>4</v>
      </c>
      <c r="M6" s="6" t="str">
        <f t="shared" si="3"/>
        <v>Moderada</v>
      </c>
      <c r="N6" s="6" t="s">
        <v>39</v>
      </c>
      <c r="O6" s="2" t="s">
        <v>148</v>
      </c>
      <c r="P6" s="2" t="s">
        <v>149</v>
      </c>
      <c r="Q6" s="2" t="s">
        <v>150</v>
      </c>
      <c r="R6" s="2" t="s">
        <v>151</v>
      </c>
      <c r="S6" s="6" t="s">
        <v>66</v>
      </c>
      <c r="T6" s="2" t="s">
        <v>115</v>
      </c>
    </row>
    <row r="7" spans="1:20" ht="45" x14ac:dyDescent="0.25">
      <c r="A7" s="6" t="s">
        <v>152</v>
      </c>
      <c r="B7" s="2" t="s">
        <v>153</v>
      </c>
      <c r="C7" s="2" t="s">
        <v>154</v>
      </c>
      <c r="D7" s="2" t="s">
        <v>155</v>
      </c>
      <c r="E7" s="2" t="s">
        <v>156</v>
      </c>
      <c r="F7" s="2" t="s">
        <v>157</v>
      </c>
      <c r="G7" s="2" t="s">
        <v>158</v>
      </c>
      <c r="H7" s="6" t="s">
        <v>50</v>
      </c>
      <c r="I7" s="3">
        <f t="shared" si="0"/>
        <v>2</v>
      </c>
      <c r="J7" s="3" t="s">
        <v>52</v>
      </c>
      <c r="K7" s="3">
        <f t="shared" si="1"/>
        <v>2</v>
      </c>
      <c r="L7" s="3">
        <f t="shared" si="2"/>
        <v>4</v>
      </c>
      <c r="M7" s="6" t="str">
        <f t="shared" si="3"/>
        <v>Moderada</v>
      </c>
      <c r="N7" s="6" t="s">
        <v>39</v>
      </c>
      <c r="O7" s="2" t="s">
        <v>159</v>
      </c>
      <c r="P7" s="2" t="s">
        <v>160</v>
      </c>
      <c r="Q7" s="2" t="s">
        <v>161</v>
      </c>
      <c r="R7" s="2" t="s">
        <v>114</v>
      </c>
      <c r="S7" s="6" t="s">
        <v>66</v>
      </c>
      <c r="T7" s="2" t="s">
        <v>115</v>
      </c>
    </row>
    <row r="8" spans="1:20" ht="45" x14ac:dyDescent="0.25">
      <c r="A8" s="6" t="s">
        <v>162</v>
      </c>
      <c r="B8" s="2" t="s">
        <v>163</v>
      </c>
      <c r="C8" s="2" t="s">
        <v>164</v>
      </c>
      <c r="D8" s="2" t="s">
        <v>165</v>
      </c>
      <c r="E8" s="2" t="s">
        <v>136</v>
      </c>
      <c r="F8" s="2" t="s">
        <v>166</v>
      </c>
      <c r="G8" s="2" t="s">
        <v>167</v>
      </c>
      <c r="H8" s="6" t="s">
        <v>50</v>
      </c>
      <c r="I8" s="3">
        <f t="shared" si="0"/>
        <v>2</v>
      </c>
      <c r="J8" s="3" t="s">
        <v>52</v>
      </c>
      <c r="K8" s="3">
        <f t="shared" si="1"/>
        <v>2</v>
      </c>
      <c r="L8" s="3">
        <f t="shared" si="2"/>
        <v>4</v>
      </c>
      <c r="M8" s="6" t="str">
        <f t="shared" si="3"/>
        <v>Moderada</v>
      </c>
      <c r="N8" s="6" t="s">
        <v>39</v>
      </c>
      <c r="O8" s="2" t="s">
        <v>159</v>
      </c>
      <c r="P8" s="2" t="s">
        <v>168</v>
      </c>
      <c r="Q8" s="2" t="s">
        <v>169</v>
      </c>
      <c r="R8" s="2" t="s">
        <v>170</v>
      </c>
      <c r="S8" s="6" t="s">
        <v>66</v>
      </c>
      <c r="T8" s="2" t="s">
        <v>115</v>
      </c>
    </row>
    <row r="9" spans="1:20" ht="45" x14ac:dyDescent="0.25">
      <c r="A9" s="6" t="s">
        <v>171</v>
      </c>
      <c r="B9" s="2" t="s">
        <v>172</v>
      </c>
      <c r="C9" s="2" t="s">
        <v>173</v>
      </c>
      <c r="D9" s="2" t="s">
        <v>174</v>
      </c>
      <c r="E9" s="2" t="s">
        <v>108</v>
      </c>
      <c r="F9" s="2" t="s">
        <v>175</v>
      </c>
      <c r="G9" s="2" t="s">
        <v>176</v>
      </c>
      <c r="H9" s="6" t="s">
        <v>54</v>
      </c>
      <c r="I9" s="3">
        <f t="shared" si="0"/>
        <v>3</v>
      </c>
      <c r="J9" s="3" t="s">
        <v>23</v>
      </c>
      <c r="K9" s="3">
        <f t="shared" si="1"/>
        <v>3</v>
      </c>
      <c r="L9" s="3">
        <f t="shared" si="2"/>
        <v>9</v>
      </c>
      <c r="M9" s="6" t="str">
        <f t="shared" si="3"/>
        <v>Alta</v>
      </c>
      <c r="N9" s="6" t="s">
        <v>37</v>
      </c>
      <c r="O9" s="2" t="s">
        <v>22</v>
      </c>
      <c r="P9" s="2" t="s">
        <v>177</v>
      </c>
      <c r="Q9" s="2" t="s">
        <v>178</v>
      </c>
      <c r="R9" s="2" t="s">
        <v>151</v>
      </c>
      <c r="S9" s="6" t="s">
        <v>66</v>
      </c>
      <c r="T9" s="2" t="s">
        <v>115</v>
      </c>
    </row>
    <row r="10" spans="1:20" ht="45" x14ac:dyDescent="0.25">
      <c r="A10" s="6" t="s">
        <v>179</v>
      </c>
      <c r="B10" s="2" t="s">
        <v>180</v>
      </c>
      <c r="C10" s="2" t="s">
        <v>181</v>
      </c>
      <c r="D10" s="2" t="s">
        <v>165</v>
      </c>
      <c r="E10" s="2" t="s">
        <v>136</v>
      </c>
      <c r="F10" s="2" t="s">
        <v>182</v>
      </c>
      <c r="G10" s="2" t="s">
        <v>183</v>
      </c>
      <c r="H10" s="6" t="s">
        <v>50</v>
      </c>
      <c r="I10" s="3">
        <f t="shared" si="0"/>
        <v>2</v>
      </c>
      <c r="J10" s="3" t="s">
        <v>52</v>
      </c>
      <c r="K10" s="3">
        <f t="shared" si="1"/>
        <v>2</v>
      </c>
      <c r="L10" s="3">
        <f t="shared" si="2"/>
        <v>4</v>
      </c>
      <c r="M10" s="6" t="str">
        <f t="shared" si="3"/>
        <v>Moderada</v>
      </c>
      <c r="N10" s="6" t="s">
        <v>39</v>
      </c>
      <c r="O10" s="2" t="s">
        <v>22</v>
      </c>
      <c r="P10" s="2" t="s">
        <v>184</v>
      </c>
      <c r="Q10" s="2" t="s">
        <v>185</v>
      </c>
      <c r="R10" s="2" t="s">
        <v>114</v>
      </c>
      <c r="S10" s="6" t="s">
        <v>66</v>
      </c>
      <c r="T10" s="2" t="s">
        <v>115</v>
      </c>
    </row>
    <row r="11" spans="1:20" ht="45" x14ac:dyDescent="0.25">
      <c r="A11" s="6" t="s">
        <v>186</v>
      </c>
      <c r="B11" s="2" t="s">
        <v>187</v>
      </c>
      <c r="C11" s="2" t="s">
        <v>188</v>
      </c>
      <c r="D11" s="2" t="s">
        <v>165</v>
      </c>
      <c r="E11" s="2" t="s">
        <v>189</v>
      </c>
      <c r="F11" s="2" t="s">
        <v>190</v>
      </c>
      <c r="G11" s="2" t="s">
        <v>191</v>
      </c>
      <c r="H11" s="6" t="s">
        <v>54</v>
      </c>
      <c r="I11" s="3">
        <f t="shared" si="0"/>
        <v>3</v>
      </c>
      <c r="J11" s="3" t="s">
        <v>23</v>
      </c>
      <c r="K11" s="3">
        <f t="shared" si="1"/>
        <v>3</v>
      </c>
      <c r="L11" s="3">
        <f t="shared" si="2"/>
        <v>9</v>
      </c>
      <c r="M11" s="6" t="str">
        <f t="shared" si="3"/>
        <v>Alta</v>
      </c>
      <c r="N11" s="6" t="s">
        <v>37</v>
      </c>
      <c r="O11" s="2" t="s">
        <v>22</v>
      </c>
      <c r="P11" s="2" t="s">
        <v>192</v>
      </c>
      <c r="Q11" s="2" t="s">
        <v>193</v>
      </c>
      <c r="R11" s="2" t="s">
        <v>151</v>
      </c>
      <c r="S11" s="6" t="s">
        <v>66</v>
      </c>
      <c r="T11" s="2" t="s">
        <v>115</v>
      </c>
    </row>
    <row r="12" spans="1:20" ht="45" x14ac:dyDescent="0.25">
      <c r="A12" s="6" t="s">
        <v>194</v>
      </c>
      <c r="B12" s="2" t="s">
        <v>195</v>
      </c>
      <c r="C12" s="2" t="s">
        <v>196</v>
      </c>
      <c r="D12" s="2" t="s">
        <v>197</v>
      </c>
      <c r="E12" s="2" t="s">
        <v>198</v>
      </c>
      <c r="F12" s="2" t="s">
        <v>199</v>
      </c>
      <c r="G12" s="2" t="s">
        <v>200</v>
      </c>
      <c r="H12" s="6" t="s">
        <v>54</v>
      </c>
      <c r="I12" s="3">
        <f t="shared" si="0"/>
        <v>3</v>
      </c>
      <c r="J12" s="3" t="s">
        <v>23</v>
      </c>
      <c r="K12" s="3">
        <f t="shared" si="1"/>
        <v>3</v>
      </c>
      <c r="L12" s="3">
        <f t="shared" si="2"/>
        <v>9</v>
      </c>
      <c r="M12" s="6" t="str">
        <f t="shared" si="3"/>
        <v>Alta</v>
      </c>
      <c r="N12" s="6" t="s">
        <v>37</v>
      </c>
      <c r="O12" s="2" t="s">
        <v>201</v>
      </c>
      <c r="P12" s="2" t="s">
        <v>202</v>
      </c>
      <c r="Q12" s="2" t="s">
        <v>203</v>
      </c>
      <c r="R12" s="2" t="s">
        <v>204</v>
      </c>
      <c r="S12" s="6" t="s">
        <v>66</v>
      </c>
      <c r="T12" s="2" t="s">
        <v>115</v>
      </c>
    </row>
    <row r="13" spans="1:20" ht="45" x14ac:dyDescent="0.25">
      <c r="A13" s="6" t="s">
        <v>205</v>
      </c>
      <c r="B13" s="2" t="s">
        <v>206</v>
      </c>
      <c r="C13" s="2" t="s">
        <v>207</v>
      </c>
      <c r="D13" s="2" t="s">
        <v>208</v>
      </c>
      <c r="E13" s="2" t="s">
        <v>209</v>
      </c>
      <c r="F13" s="2" t="s">
        <v>210</v>
      </c>
      <c r="G13" s="2" t="s">
        <v>211</v>
      </c>
      <c r="H13" s="6" t="s">
        <v>54</v>
      </c>
      <c r="I13" s="3">
        <f t="shared" si="0"/>
        <v>3</v>
      </c>
      <c r="J13" s="3" t="s">
        <v>52</v>
      </c>
      <c r="K13" s="3">
        <f t="shared" si="1"/>
        <v>2</v>
      </c>
      <c r="L13" s="3">
        <f t="shared" si="2"/>
        <v>6</v>
      </c>
      <c r="M13" s="6" t="str">
        <f t="shared" si="3"/>
        <v>Moderada</v>
      </c>
      <c r="N13" s="6" t="s">
        <v>37</v>
      </c>
      <c r="O13" s="2" t="s">
        <v>22</v>
      </c>
      <c r="P13" s="2" t="s">
        <v>212</v>
      </c>
      <c r="Q13" s="2" t="s">
        <v>213</v>
      </c>
      <c r="R13" s="2" t="s">
        <v>114</v>
      </c>
      <c r="S13" s="6" t="s">
        <v>66</v>
      </c>
      <c r="T13" s="2" t="s">
        <v>115</v>
      </c>
    </row>
    <row r="14" spans="1:20" ht="45" x14ac:dyDescent="0.25">
      <c r="A14" s="6" t="s">
        <v>214</v>
      </c>
      <c r="B14" s="2" t="s">
        <v>215</v>
      </c>
      <c r="C14" s="2" t="s">
        <v>216</v>
      </c>
      <c r="D14" s="2" t="s">
        <v>217</v>
      </c>
      <c r="E14" s="2" t="s">
        <v>218</v>
      </c>
      <c r="F14" s="2" t="s">
        <v>219</v>
      </c>
      <c r="G14" s="2" t="s">
        <v>220</v>
      </c>
      <c r="H14" s="6" t="s">
        <v>54</v>
      </c>
      <c r="I14" s="3">
        <f t="shared" si="0"/>
        <v>3</v>
      </c>
      <c r="J14" s="3" t="s">
        <v>52</v>
      </c>
      <c r="K14" s="3">
        <f t="shared" si="1"/>
        <v>2</v>
      </c>
      <c r="L14" s="3">
        <f t="shared" si="2"/>
        <v>6</v>
      </c>
      <c r="M14" s="6" t="str">
        <f t="shared" si="3"/>
        <v>Moderada</v>
      </c>
      <c r="N14" s="6" t="s">
        <v>37</v>
      </c>
      <c r="O14" s="2" t="s">
        <v>22</v>
      </c>
      <c r="P14" s="2" t="s">
        <v>221</v>
      </c>
      <c r="Q14" s="2" t="s">
        <v>222</v>
      </c>
      <c r="R14" s="2" t="s">
        <v>114</v>
      </c>
      <c r="S14" s="6" t="s">
        <v>66</v>
      </c>
      <c r="T14" s="2" t="s">
        <v>115</v>
      </c>
    </row>
    <row r="15" spans="1:20" ht="45" x14ac:dyDescent="0.25">
      <c r="A15" s="6" t="s">
        <v>223</v>
      </c>
      <c r="B15" s="2" t="s">
        <v>224</v>
      </c>
      <c r="C15" s="2" t="s">
        <v>225</v>
      </c>
      <c r="D15" s="2" t="s">
        <v>226</v>
      </c>
      <c r="E15" s="2" t="s">
        <v>156</v>
      </c>
      <c r="F15" s="2" t="s">
        <v>227</v>
      </c>
      <c r="G15" s="2" t="s">
        <v>228</v>
      </c>
      <c r="H15" s="6" t="s">
        <v>54</v>
      </c>
      <c r="I15" s="3">
        <f t="shared" si="0"/>
        <v>3</v>
      </c>
      <c r="J15" s="3" t="s">
        <v>52</v>
      </c>
      <c r="K15" s="3">
        <f t="shared" si="1"/>
        <v>2</v>
      </c>
      <c r="L15" s="3">
        <f t="shared" si="2"/>
        <v>6</v>
      </c>
      <c r="M15" s="6" t="str">
        <f t="shared" si="3"/>
        <v>Moderada</v>
      </c>
      <c r="N15" s="6" t="s">
        <v>37</v>
      </c>
      <c r="O15" s="2" t="s">
        <v>22</v>
      </c>
      <c r="P15" s="2" t="s">
        <v>229</v>
      </c>
      <c r="Q15" s="2" t="s">
        <v>230</v>
      </c>
      <c r="R15" s="2" t="s">
        <v>114</v>
      </c>
      <c r="S15" s="6" t="s">
        <v>66</v>
      </c>
      <c r="T15" s="2" t="s">
        <v>115</v>
      </c>
    </row>
    <row r="16" spans="1:20" ht="45" x14ac:dyDescent="0.25">
      <c r="A16" s="6" t="s">
        <v>231</v>
      </c>
      <c r="B16" s="2" t="s">
        <v>232</v>
      </c>
      <c r="C16" s="2" t="s">
        <v>125</v>
      </c>
      <c r="D16" s="2" t="s">
        <v>197</v>
      </c>
      <c r="E16" s="2" t="s">
        <v>233</v>
      </c>
      <c r="F16" s="2" t="s">
        <v>234</v>
      </c>
      <c r="G16" s="2" t="s">
        <v>235</v>
      </c>
      <c r="H16" s="6" t="s">
        <v>54</v>
      </c>
      <c r="I16" s="3">
        <f t="shared" si="0"/>
        <v>3</v>
      </c>
      <c r="J16" s="3" t="s">
        <v>23</v>
      </c>
      <c r="K16" s="3">
        <f t="shared" si="1"/>
        <v>3</v>
      </c>
      <c r="L16" s="3">
        <f t="shared" si="2"/>
        <v>9</v>
      </c>
      <c r="M16" s="6" t="str">
        <f t="shared" si="3"/>
        <v>Alta</v>
      </c>
      <c r="N16" s="6" t="s">
        <v>37</v>
      </c>
      <c r="O16" s="2" t="s">
        <v>22</v>
      </c>
      <c r="P16" s="2" t="s">
        <v>236</v>
      </c>
      <c r="Q16" s="2" t="s">
        <v>237</v>
      </c>
      <c r="R16" s="2" t="s">
        <v>114</v>
      </c>
      <c r="S16" s="6" t="s">
        <v>66</v>
      </c>
      <c r="T16" s="2" t="s">
        <v>115</v>
      </c>
    </row>
    <row r="17" spans="1:20" ht="45" x14ac:dyDescent="0.25">
      <c r="A17" s="6" t="s">
        <v>238</v>
      </c>
      <c r="B17" s="2" t="s">
        <v>239</v>
      </c>
      <c r="C17" s="2" t="s">
        <v>240</v>
      </c>
      <c r="D17" s="2" t="s">
        <v>155</v>
      </c>
      <c r="E17" s="2" t="s">
        <v>209</v>
      </c>
      <c r="F17" s="2" t="s">
        <v>241</v>
      </c>
      <c r="G17" s="2" t="s">
        <v>242</v>
      </c>
      <c r="H17" s="6" t="s">
        <v>54</v>
      </c>
      <c r="I17" s="3">
        <f t="shared" si="0"/>
        <v>3</v>
      </c>
      <c r="J17" s="3" t="s">
        <v>52</v>
      </c>
      <c r="K17" s="3">
        <f t="shared" si="1"/>
        <v>2</v>
      </c>
      <c r="L17" s="3">
        <f t="shared" si="2"/>
        <v>6</v>
      </c>
      <c r="M17" s="6" t="str">
        <f t="shared" si="3"/>
        <v>Moderada</v>
      </c>
      <c r="N17" s="6" t="s">
        <v>37</v>
      </c>
      <c r="O17" s="2" t="s">
        <v>22</v>
      </c>
      <c r="P17" s="2" t="s">
        <v>243</v>
      </c>
      <c r="Q17" s="2" t="s">
        <v>244</v>
      </c>
      <c r="R17" s="2" t="s">
        <v>114</v>
      </c>
      <c r="S17" s="6" t="s">
        <v>66</v>
      </c>
      <c r="T17" s="2" t="s">
        <v>115</v>
      </c>
    </row>
    <row r="18" spans="1:20" ht="45" x14ac:dyDescent="0.25">
      <c r="A18" s="6" t="s">
        <v>245</v>
      </c>
      <c r="B18" s="2" t="s">
        <v>246</v>
      </c>
      <c r="C18" s="2" t="s">
        <v>247</v>
      </c>
      <c r="D18" s="2" t="s">
        <v>248</v>
      </c>
      <c r="E18" s="2" t="s">
        <v>127</v>
      </c>
      <c r="F18" s="2" t="s">
        <v>249</v>
      </c>
      <c r="G18" s="2" t="s">
        <v>250</v>
      </c>
      <c r="H18" s="6" t="s">
        <v>54</v>
      </c>
      <c r="I18" s="3">
        <f t="shared" si="0"/>
        <v>3</v>
      </c>
      <c r="J18" s="3" t="s">
        <v>52</v>
      </c>
      <c r="K18" s="3">
        <f t="shared" si="1"/>
        <v>2</v>
      </c>
      <c r="L18" s="3">
        <f t="shared" si="2"/>
        <v>6</v>
      </c>
      <c r="M18" s="6" t="str">
        <f t="shared" si="3"/>
        <v>Moderada</v>
      </c>
      <c r="N18" s="6" t="s">
        <v>37</v>
      </c>
      <c r="O18" s="2" t="s">
        <v>22</v>
      </c>
      <c r="P18" s="2" t="s">
        <v>251</v>
      </c>
      <c r="Q18" s="2" t="s">
        <v>252</v>
      </c>
      <c r="R18" s="2" t="s">
        <v>114</v>
      </c>
      <c r="S18" s="6" t="s">
        <v>66</v>
      </c>
      <c r="T18" s="2" t="s">
        <v>115</v>
      </c>
    </row>
    <row r="19" spans="1:20" ht="45" x14ac:dyDescent="0.25">
      <c r="A19" s="6" t="s">
        <v>253</v>
      </c>
      <c r="B19" s="2" t="s">
        <v>254</v>
      </c>
      <c r="C19" s="2" t="s">
        <v>255</v>
      </c>
      <c r="D19" s="2" t="s">
        <v>256</v>
      </c>
      <c r="E19" s="2" t="s">
        <v>257</v>
      </c>
      <c r="F19" s="2" t="s">
        <v>258</v>
      </c>
      <c r="G19" s="2" t="s">
        <v>259</v>
      </c>
      <c r="H19" s="6" t="s">
        <v>54</v>
      </c>
      <c r="I19" s="3">
        <f t="shared" si="0"/>
        <v>3</v>
      </c>
      <c r="J19" s="3" t="s">
        <v>23</v>
      </c>
      <c r="K19" s="3">
        <f t="shared" si="1"/>
        <v>3</v>
      </c>
      <c r="L19" s="3">
        <f t="shared" si="2"/>
        <v>9</v>
      </c>
      <c r="M19" s="6" t="str">
        <f t="shared" si="3"/>
        <v>Alta</v>
      </c>
      <c r="N19" s="6" t="s">
        <v>37</v>
      </c>
      <c r="O19" s="2" t="s">
        <v>22</v>
      </c>
      <c r="P19" s="2" t="s">
        <v>260</v>
      </c>
      <c r="Q19" s="2" t="s">
        <v>261</v>
      </c>
      <c r="R19" s="2" t="s">
        <v>151</v>
      </c>
      <c r="S19" s="6" t="s">
        <v>66</v>
      </c>
      <c r="T19" s="2" t="s">
        <v>115</v>
      </c>
    </row>
    <row r="20" spans="1:20" ht="45" x14ac:dyDescent="0.25">
      <c r="A20" s="6" t="s">
        <v>262</v>
      </c>
      <c r="B20" s="2" t="s">
        <v>263</v>
      </c>
      <c r="C20" s="2" t="s">
        <v>264</v>
      </c>
      <c r="D20" s="2" t="s">
        <v>265</v>
      </c>
      <c r="E20" s="2" t="s">
        <v>257</v>
      </c>
      <c r="F20" s="2" t="s">
        <v>266</v>
      </c>
      <c r="G20" s="2" t="s">
        <v>267</v>
      </c>
      <c r="H20" s="6" t="s">
        <v>54</v>
      </c>
      <c r="I20" s="3">
        <f t="shared" si="0"/>
        <v>3</v>
      </c>
      <c r="J20" s="3" t="s">
        <v>52</v>
      </c>
      <c r="K20" s="3">
        <f t="shared" si="1"/>
        <v>2</v>
      </c>
      <c r="L20" s="3">
        <f t="shared" si="2"/>
        <v>6</v>
      </c>
      <c r="M20" s="6" t="str">
        <f t="shared" si="3"/>
        <v>Moderada</v>
      </c>
      <c r="N20" s="6" t="s">
        <v>37</v>
      </c>
      <c r="O20" s="2" t="s">
        <v>22</v>
      </c>
      <c r="P20" s="2" t="s">
        <v>268</v>
      </c>
      <c r="Q20" s="2" t="s">
        <v>269</v>
      </c>
      <c r="R20" s="2" t="s">
        <v>114</v>
      </c>
      <c r="S20" s="6" t="s">
        <v>66</v>
      </c>
      <c r="T20" s="2" t="s">
        <v>115</v>
      </c>
    </row>
    <row r="21" spans="1:20" ht="45" x14ac:dyDescent="0.25">
      <c r="A21" s="6" t="s">
        <v>270</v>
      </c>
      <c r="B21" s="2" t="s">
        <v>271</v>
      </c>
      <c r="C21" s="2" t="s">
        <v>272</v>
      </c>
      <c r="D21" s="2" t="s">
        <v>197</v>
      </c>
      <c r="E21" s="2" t="s">
        <v>198</v>
      </c>
      <c r="F21" s="2" t="s">
        <v>273</v>
      </c>
      <c r="G21" s="2" t="s">
        <v>274</v>
      </c>
      <c r="H21" s="6" t="s">
        <v>57</v>
      </c>
      <c r="I21" s="3">
        <f t="shared" si="0"/>
        <v>4</v>
      </c>
      <c r="J21" s="3" t="s">
        <v>23</v>
      </c>
      <c r="K21" s="3">
        <f t="shared" si="1"/>
        <v>3</v>
      </c>
      <c r="L21" s="3">
        <f t="shared" si="2"/>
        <v>12</v>
      </c>
      <c r="M21" s="6" t="str">
        <f t="shared" si="3"/>
        <v>Crítica</v>
      </c>
      <c r="N21" s="6" t="s">
        <v>35</v>
      </c>
      <c r="O21" s="2" t="s">
        <v>275</v>
      </c>
      <c r="P21" s="2" t="s">
        <v>276</v>
      </c>
      <c r="Q21" s="2" t="s">
        <v>277</v>
      </c>
      <c r="R21" s="2" t="s">
        <v>204</v>
      </c>
      <c r="S21" s="6" t="s">
        <v>66</v>
      </c>
      <c r="T21" s="2" t="s">
        <v>115</v>
      </c>
    </row>
    <row r="22" spans="1:20" ht="45" x14ac:dyDescent="0.25">
      <c r="A22" s="6" t="s">
        <v>278</v>
      </c>
      <c r="B22" s="2" t="s">
        <v>279</v>
      </c>
      <c r="C22" s="2" t="s">
        <v>216</v>
      </c>
      <c r="D22" s="2" t="s">
        <v>280</v>
      </c>
      <c r="E22" s="2" t="s">
        <v>218</v>
      </c>
      <c r="F22" s="2" t="s">
        <v>281</v>
      </c>
      <c r="G22" s="2" t="s">
        <v>282</v>
      </c>
      <c r="H22" s="6" t="s">
        <v>57</v>
      </c>
      <c r="I22" s="3">
        <f t="shared" si="0"/>
        <v>4</v>
      </c>
      <c r="J22" s="3" t="s">
        <v>52</v>
      </c>
      <c r="K22" s="3">
        <f t="shared" si="1"/>
        <v>2</v>
      </c>
      <c r="L22" s="3">
        <f t="shared" si="2"/>
        <v>8</v>
      </c>
      <c r="M22" s="6" t="str">
        <f t="shared" si="3"/>
        <v>Alta</v>
      </c>
      <c r="N22" s="6" t="s">
        <v>37</v>
      </c>
      <c r="O22" s="2" t="s">
        <v>275</v>
      </c>
      <c r="P22" s="2" t="s">
        <v>283</v>
      </c>
      <c r="Q22" s="2" t="s">
        <v>284</v>
      </c>
      <c r="R22" s="2" t="s">
        <v>114</v>
      </c>
      <c r="S22" s="6" t="s">
        <v>66</v>
      </c>
      <c r="T22" s="2" t="s">
        <v>115</v>
      </c>
    </row>
    <row r="23" spans="1:20" ht="45" x14ac:dyDescent="0.25">
      <c r="A23" s="6" t="s">
        <v>285</v>
      </c>
      <c r="B23" s="2" t="s">
        <v>286</v>
      </c>
      <c r="C23" s="2" t="s">
        <v>287</v>
      </c>
      <c r="D23" s="2" t="s">
        <v>288</v>
      </c>
      <c r="E23" s="2" t="s">
        <v>257</v>
      </c>
      <c r="F23" s="2" t="s">
        <v>289</v>
      </c>
      <c r="G23" s="2" t="s">
        <v>290</v>
      </c>
      <c r="H23" s="6" t="s">
        <v>57</v>
      </c>
      <c r="I23" s="3">
        <f t="shared" si="0"/>
        <v>4</v>
      </c>
      <c r="J23" s="3" t="s">
        <v>52</v>
      </c>
      <c r="K23" s="3">
        <f t="shared" si="1"/>
        <v>2</v>
      </c>
      <c r="L23" s="3">
        <f t="shared" si="2"/>
        <v>8</v>
      </c>
      <c r="M23" s="6" t="str">
        <f t="shared" si="3"/>
        <v>Alta</v>
      </c>
      <c r="N23" s="6" t="s">
        <v>35</v>
      </c>
      <c r="O23" s="2" t="s">
        <v>22</v>
      </c>
      <c r="P23" s="2" t="s">
        <v>291</v>
      </c>
      <c r="Q23" s="2" t="s">
        <v>292</v>
      </c>
      <c r="R23" s="2" t="s">
        <v>114</v>
      </c>
      <c r="S23" s="6" t="s">
        <v>66</v>
      </c>
      <c r="T23" s="2" t="s">
        <v>115</v>
      </c>
    </row>
    <row r="24" spans="1:20" ht="45" x14ac:dyDescent="0.25">
      <c r="A24" s="6" t="s">
        <v>293</v>
      </c>
      <c r="B24" s="2" t="s">
        <v>294</v>
      </c>
      <c r="C24" s="2" t="s">
        <v>295</v>
      </c>
      <c r="D24" s="2" t="s">
        <v>197</v>
      </c>
      <c r="E24" s="2" t="s">
        <v>189</v>
      </c>
      <c r="F24" s="2" t="s">
        <v>296</v>
      </c>
      <c r="G24" s="2" t="s">
        <v>297</v>
      </c>
      <c r="H24" s="6" t="s">
        <v>57</v>
      </c>
      <c r="I24" s="3">
        <f t="shared" si="0"/>
        <v>4</v>
      </c>
      <c r="J24" s="3" t="s">
        <v>52</v>
      </c>
      <c r="K24" s="3">
        <f t="shared" si="1"/>
        <v>2</v>
      </c>
      <c r="L24" s="3">
        <f t="shared" si="2"/>
        <v>8</v>
      </c>
      <c r="M24" s="6" t="str">
        <f t="shared" si="3"/>
        <v>Alta</v>
      </c>
      <c r="N24" s="6" t="s">
        <v>35</v>
      </c>
      <c r="O24" s="2" t="s">
        <v>159</v>
      </c>
      <c r="P24" s="2" t="s">
        <v>298</v>
      </c>
      <c r="Q24" s="2" t="s">
        <v>299</v>
      </c>
      <c r="R24" s="2" t="s">
        <v>170</v>
      </c>
      <c r="S24" s="6" t="s">
        <v>66</v>
      </c>
      <c r="T24" s="2" t="s">
        <v>115</v>
      </c>
    </row>
    <row r="25" spans="1:20" ht="45" x14ac:dyDescent="0.25">
      <c r="A25" s="6" t="s">
        <v>300</v>
      </c>
      <c r="B25" s="2" t="s">
        <v>301</v>
      </c>
      <c r="C25" s="2" t="s">
        <v>302</v>
      </c>
      <c r="D25" s="2" t="s">
        <v>197</v>
      </c>
      <c r="E25" s="2" t="s">
        <v>233</v>
      </c>
      <c r="F25" s="2" t="s">
        <v>303</v>
      </c>
      <c r="G25" s="2" t="s">
        <v>304</v>
      </c>
      <c r="H25" s="6" t="s">
        <v>57</v>
      </c>
      <c r="I25" s="3">
        <f t="shared" si="0"/>
        <v>4</v>
      </c>
      <c r="J25" s="3" t="s">
        <v>52</v>
      </c>
      <c r="K25" s="3">
        <f t="shared" si="1"/>
        <v>2</v>
      </c>
      <c r="L25" s="3">
        <f t="shared" si="2"/>
        <v>8</v>
      </c>
      <c r="M25" s="6" t="str">
        <f t="shared" si="3"/>
        <v>Alta</v>
      </c>
      <c r="N25" s="6" t="s">
        <v>35</v>
      </c>
      <c r="O25" s="2" t="s">
        <v>201</v>
      </c>
      <c r="P25" s="2" t="s">
        <v>305</v>
      </c>
      <c r="Q25" s="2" t="s">
        <v>306</v>
      </c>
      <c r="R25" s="2" t="s">
        <v>114</v>
      </c>
      <c r="S25" s="6" t="s">
        <v>66</v>
      </c>
      <c r="T25" s="2" t="s">
        <v>115</v>
      </c>
    </row>
  </sheetData>
  <conditionalFormatting sqref="M2:M25">
    <cfRule type="expression" dxfId="7" priority="5">
      <formula>M2="Crítica"</formula>
    </cfRule>
    <cfRule type="expression" dxfId="6" priority="6">
      <formula>M2="Alta"</formula>
    </cfRule>
    <cfRule type="expression" dxfId="5" priority="7">
      <formula>M2="Moderada"</formula>
    </cfRule>
    <cfRule type="expression" dxfId="4" priority="8">
      <formula>M2="Baja"</formula>
    </cfRule>
  </conditionalFormatting>
  <conditionalFormatting sqref="N2:N25">
    <cfRule type="expression" dxfId="3" priority="1">
      <formula>N2="I"</formula>
    </cfRule>
    <cfRule type="expression" dxfId="2" priority="2">
      <formula>N2="II"</formula>
    </cfRule>
    <cfRule type="expression" dxfId="1" priority="3">
      <formula>N2="III"</formula>
    </cfRule>
    <cfRule type="expression" dxfId="0" priority="4">
      <formula>N2="IV"</formula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7"/>
  <sheetViews>
    <sheetView showGridLines="0" workbookViewId="0"/>
  </sheetViews>
  <sheetFormatPr baseColWidth="10" defaultColWidth="9.140625" defaultRowHeight="15" x14ac:dyDescent="0.25"/>
  <cols>
    <col min="1" max="2" width="10" customWidth="1"/>
    <col min="3" max="3" width="58" customWidth="1"/>
    <col min="4" max="4" width="24" customWidth="1"/>
    <col min="5" max="5" width="48" customWidth="1"/>
    <col min="6" max="6" width="46" customWidth="1"/>
    <col min="7" max="7" width="24" customWidth="1"/>
    <col min="8" max="8" width="34" customWidth="1"/>
  </cols>
  <sheetData>
    <row r="1" spans="1:8" x14ac:dyDescent="0.25">
      <c r="A1" s="1" t="s">
        <v>85</v>
      </c>
      <c r="B1" s="1" t="s">
        <v>32</v>
      </c>
      <c r="C1" s="1" t="s">
        <v>307</v>
      </c>
      <c r="D1" s="1" t="s">
        <v>98</v>
      </c>
      <c r="E1" s="1" t="s">
        <v>308</v>
      </c>
      <c r="F1" s="1" t="s">
        <v>100</v>
      </c>
      <c r="G1" s="1" t="s">
        <v>101</v>
      </c>
      <c r="H1" s="1" t="s">
        <v>309</v>
      </c>
    </row>
    <row r="2" spans="1:8" ht="45" x14ac:dyDescent="0.25">
      <c r="A2" s="2" t="s">
        <v>171</v>
      </c>
      <c r="B2" s="6" t="s">
        <v>37</v>
      </c>
      <c r="C2" s="2" t="s">
        <v>172</v>
      </c>
      <c r="D2" s="2" t="s">
        <v>22</v>
      </c>
      <c r="E2" s="2" t="s">
        <v>177</v>
      </c>
      <c r="F2" s="2" t="s">
        <v>178</v>
      </c>
      <c r="G2" s="2" t="s">
        <v>151</v>
      </c>
      <c r="H2" s="2" t="s">
        <v>176</v>
      </c>
    </row>
    <row r="3" spans="1:8" ht="45" x14ac:dyDescent="0.25">
      <c r="A3" s="2" t="s">
        <v>186</v>
      </c>
      <c r="B3" s="6" t="s">
        <v>37</v>
      </c>
      <c r="C3" s="2" t="s">
        <v>187</v>
      </c>
      <c r="D3" s="2" t="s">
        <v>22</v>
      </c>
      <c r="E3" s="2" t="s">
        <v>192</v>
      </c>
      <c r="F3" s="2" t="s">
        <v>193</v>
      </c>
      <c r="G3" s="2" t="s">
        <v>151</v>
      </c>
      <c r="H3" s="2" t="s">
        <v>191</v>
      </c>
    </row>
    <row r="4" spans="1:8" ht="45" x14ac:dyDescent="0.25">
      <c r="A4" s="2" t="s">
        <v>194</v>
      </c>
      <c r="B4" s="6" t="s">
        <v>37</v>
      </c>
      <c r="C4" s="2" t="s">
        <v>195</v>
      </c>
      <c r="D4" s="2" t="s">
        <v>201</v>
      </c>
      <c r="E4" s="2" t="s">
        <v>202</v>
      </c>
      <c r="F4" s="2" t="s">
        <v>203</v>
      </c>
      <c r="G4" s="2" t="s">
        <v>204</v>
      </c>
      <c r="H4" s="2" t="s">
        <v>200</v>
      </c>
    </row>
    <row r="5" spans="1:8" ht="30" x14ac:dyDescent="0.25">
      <c r="A5" s="2" t="s">
        <v>205</v>
      </c>
      <c r="B5" s="6" t="s">
        <v>37</v>
      </c>
      <c r="C5" s="2" t="s">
        <v>206</v>
      </c>
      <c r="D5" s="2" t="s">
        <v>22</v>
      </c>
      <c r="E5" s="2" t="s">
        <v>212</v>
      </c>
      <c r="F5" s="2" t="s">
        <v>213</v>
      </c>
      <c r="G5" s="2" t="s">
        <v>114</v>
      </c>
      <c r="H5" s="2" t="s">
        <v>211</v>
      </c>
    </row>
    <row r="6" spans="1:8" ht="45" x14ac:dyDescent="0.25">
      <c r="A6" s="2" t="s">
        <v>214</v>
      </c>
      <c r="B6" s="6" t="s">
        <v>37</v>
      </c>
      <c r="C6" s="2" t="s">
        <v>215</v>
      </c>
      <c r="D6" s="2" t="s">
        <v>22</v>
      </c>
      <c r="E6" s="2" t="s">
        <v>221</v>
      </c>
      <c r="F6" s="2" t="s">
        <v>222</v>
      </c>
      <c r="G6" s="2" t="s">
        <v>114</v>
      </c>
      <c r="H6" s="2" t="s">
        <v>220</v>
      </c>
    </row>
    <row r="7" spans="1:8" ht="45" x14ac:dyDescent="0.25">
      <c r="A7" s="2" t="s">
        <v>223</v>
      </c>
      <c r="B7" s="6" t="s">
        <v>37</v>
      </c>
      <c r="C7" s="2" t="s">
        <v>224</v>
      </c>
      <c r="D7" s="2" t="s">
        <v>22</v>
      </c>
      <c r="E7" s="2" t="s">
        <v>229</v>
      </c>
      <c r="F7" s="2" t="s">
        <v>230</v>
      </c>
      <c r="G7" s="2" t="s">
        <v>114</v>
      </c>
      <c r="H7" s="2" t="s">
        <v>228</v>
      </c>
    </row>
    <row r="8" spans="1:8" ht="45" x14ac:dyDescent="0.25">
      <c r="A8" s="2" t="s">
        <v>231</v>
      </c>
      <c r="B8" s="6" t="s">
        <v>37</v>
      </c>
      <c r="C8" s="2" t="s">
        <v>232</v>
      </c>
      <c r="D8" s="2" t="s">
        <v>22</v>
      </c>
      <c r="E8" s="2" t="s">
        <v>236</v>
      </c>
      <c r="F8" s="2" t="s">
        <v>237</v>
      </c>
      <c r="G8" s="2" t="s">
        <v>114</v>
      </c>
      <c r="H8" s="2" t="s">
        <v>235</v>
      </c>
    </row>
    <row r="9" spans="1:8" ht="45" x14ac:dyDescent="0.25">
      <c r="A9" s="2" t="s">
        <v>238</v>
      </c>
      <c r="B9" s="6" t="s">
        <v>37</v>
      </c>
      <c r="C9" s="2" t="s">
        <v>239</v>
      </c>
      <c r="D9" s="2" t="s">
        <v>22</v>
      </c>
      <c r="E9" s="2" t="s">
        <v>243</v>
      </c>
      <c r="F9" s="2" t="s">
        <v>244</v>
      </c>
      <c r="G9" s="2" t="s">
        <v>114</v>
      </c>
      <c r="H9" s="2" t="s">
        <v>242</v>
      </c>
    </row>
    <row r="10" spans="1:8" ht="60" x14ac:dyDescent="0.25">
      <c r="A10" s="2" t="s">
        <v>245</v>
      </c>
      <c r="B10" s="6" t="s">
        <v>37</v>
      </c>
      <c r="C10" s="2" t="s">
        <v>246</v>
      </c>
      <c r="D10" s="2" t="s">
        <v>22</v>
      </c>
      <c r="E10" s="2" t="s">
        <v>251</v>
      </c>
      <c r="F10" s="2" t="s">
        <v>252</v>
      </c>
      <c r="G10" s="2" t="s">
        <v>114</v>
      </c>
      <c r="H10" s="2" t="s">
        <v>250</v>
      </c>
    </row>
    <row r="11" spans="1:8" ht="45" x14ac:dyDescent="0.25">
      <c r="A11" s="2" t="s">
        <v>253</v>
      </c>
      <c r="B11" s="6" t="s">
        <v>37</v>
      </c>
      <c r="C11" s="2" t="s">
        <v>254</v>
      </c>
      <c r="D11" s="2" t="s">
        <v>22</v>
      </c>
      <c r="E11" s="2" t="s">
        <v>260</v>
      </c>
      <c r="F11" s="2" t="s">
        <v>261</v>
      </c>
      <c r="G11" s="2" t="s">
        <v>151</v>
      </c>
      <c r="H11" s="2" t="s">
        <v>259</v>
      </c>
    </row>
    <row r="12" spans="1:8" ht="45" x14ac:dyDescent="0.25">
      <c r="A12" s="2" t="s">
        <v>262</v>
      </c>
      <c r="B12" s="6" t="s">
        <v>37</v>
      </c>
      <c r="C12" s="2" t="s">
        <v>263</v>
      </c>
      <c r="D12" s="2" t="s">
        <v>22</v>
      </c>
      <c r="E12" s="2" t="s">
        <v>268</v>
      </c>
      <c r="F12" s="2" t="s">
        <v>269</v>
      </c>
      <c r="G12" s="2" t="s">
        <v>114</v>
      </c>
      <c r="H12" s="2" t="s">
        <v>267</v>
      </c>
    </row>
    <row r="13" spans="1:8" ht="60" x14ac:dyDescent="0.25">
      <c r="A13" s="2" t="s">
        <v>270</v>
      </c>
      <c r="B13" s="6" t="s">
        <v>35</v>
      </c>
      <c r="C13" s="2" t="s">
        <v>271</v>
      </c>
      <c r="D13" s="2" t="s">
        <v>275</v>
      </c>
      <c r="E13" s="2" t="s">
        <v>276</v>
      </c>
      <c r="F13" s="2" t="s">
        <v>277</v>
      </c>
      <c r="G13" s="2" t="s">
        <v>204</v>
      </c>
      <c r="H13" s="2" t="s">
        <v>274</v>
      </c>
    </row>
    <row r="14" spans="1:8" ht="60" x14ac:dyDescent="0.25">
      <c r="A14" s="2" t="s">
        <v>278</v>
      </c>
      <c r="B14" s="6" t="s">
        <v>37</v>
      </c>
      <c r="C14" s="2" t="s">
        <v>279</v>
      </c>
      <c r="D14" s="2" t="s">
        <v>275</v>
      </c>
      <c r="E14" s="2" t="s">
        <v>283</v>
      </c>
      <c r="F14" s="2" t="s">
        <v>284</v>
      </c>
      <c r="G14" s="2" t="s">
        <v>114</v>
      </c>
      <c r="H14" s="2" t="s">
        <v>282</v>
      </c>
    </row>
    <row r="15" spans="1:8" ht="60" x14ac:dyDescent="0.25">
      <c r="A15" s="2" t="s">
        <v>285</v>
      </c>
      <c r="B15" s="6" t="s">
        <v>35</v>
      </c>
      <c r="C15" s="2" t="s">
        <v>286</v>
      </c>
      <c r="D15" s="2" t="s">
        <v>22</v>
      </c>
      <c r="E15" s="2" t="s">
        <v>291</v>
      </c>
      <c r="F15" s="2" t="s">
        <v>292</v>
      </c>
      <c r="G15" s="2" t="s">
        <v>114</v>
      </c>
      <c r="H15" s="2" t="s">
        <v>290</v>
      </c>
    </row>
    <row r="16" spans="1:8" ht="45" x14ac:dyDescent="0.25">
      <c r="A16" s="2" t="s">
        <v>293</v>
      </c>
      <c r="B16" s="6" t="s">
        <v>35</v>
      </c>
      <c r="C16" s="2" t="s">
        <v>294</v>
      </c>
      <c r="D16" s="2" t="s">
        <v>159</v>
      </c>
      <c r="E16" s="2" t="s">
        <v>298</v>
      </c>
      <c r="F16" s="2" t="s">
        <v>299</v>
      </c>
      <c r="G16" s="2" t="s">
        <v>170</v>
      </c>
      <c r="H16" s="2" t="s">
        <v>297</v>
      </c>
    </row>
    <row r="17" spans="1:8" ht="45" x14ac:dyDescent="0.25">
      <c r="A17" s="2" t="s">
        <v>300</v>
      </c>
      <c r="B17" s="6" t="s">
        <v>35</v>
      </c>
      <c r="C17" s="2" t="s">
        <v>301</v>
      </c>
      <c r="D17" s="2" t="s">
        <v>201</v>
      </c>
      <c r="E17" s="2" t="s">
        <v>305</v>
      </c>
      <c r="F17" s="2" t="s">
        <v>306</v>
      </c>
      <c r="G17" s="2" t="s">
        <v>114</v>
      </c>
      <c r="H17" s="2" t="s">
        <v>304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showGridLines="0" workbookViewId="0"/>
  </sheetViews>
  <sheetFormatPr baseColWidth="10" defaultColWidth="9.140625" defaultRowHeight="15" x14ac:dyDescent="0.25"/>
  <cols>
    <col min="1" max="1" width="16" customWidth="1"/>
    <col min="2" max="2" width="12" customWidth="1"/>
    <col min="3" max="3" width="50" customWidth="1"/>
    <col min="4" max="4" width="20" customWidth="1"/>
    <col min="5" max="6" width="12" customWidth="1"/>
    <col min="7" max="10" width="14" customWidth="1"/>
    <col min="11" max="12" width="34" customWidth="1"/>
    <col min="13" max="14" width="16" customWidth="1"/>
    <col min="15" max="15" width="24" customWidth="1"/>
  </cols>
  <sheetData>
    <row r="1" spans="1:15" ht="30" x14ac:dyDescent="0.25">
      <c r="A1" s="1" t="s">
        <v>310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  <c r="J1" s="1" t="s">
        <v>319</v>
      </c>
      <c r="K1" s="1" t="s">
        <v>320</v>
      </c>
      <c r="L1" s="1" t="s">
        <v>321</v>
      </c>
      <c r="M1" s="1" t="s">
        <v>322</v>
      </c>
      <c r="N1" s="1" t="s">
        <v>323</v>
      </c>
      <c r="O1" s="1" t="s">
        <v>103</v>
      </c>
    </row>
    <row r="2" spans="1:15" ht="30" x14ac:dyDescent="0.25">
      <c r="A2" s="2" t="s">
        <v>115</v>
      </c>
      <c r="B2" s="2" t="s">
        <v>104</v>
      </c>
      <c r="C2" s="2" t="s">
        <v>105</v>
      </c>
      <c r="D2" s="2" t="s">
        <v>107</v>
      </c>
      <c r="E2" s="6" t="s">
        <v>23</v>
      </c>
      <c r="F2" s="6" t="s">
        <v>115</v>
      </c>
      <c r="G2" s="6" t="s">
        <v>47</v>
      </c>
      <c r="H2" s="6" t="s">
        <v>115</v>
      </c>
      <c r="I2" s="6" t="s">
        <v>41</v>
      </c>
      <c r="J2" s="6" t="s">
        <v>115</v>
      </c>
      <c r="K2" s="2" t="s">
        <v>115</v>
      </c>
      <c r="L2" s="2" t="s">
        <v>115</v>
      </c>
      <c r="M2" s="6" t="s">
        <v>66</v>
      </c>
      <c r="N2" s="2" t="s">
        <v>115</v>
      </c>
      <c r="O2" s="2" t="s">
        <v>115</v>
      </c>
    </row>
    <row r="3" spans="1:15" ht="30" x14ac:dyDescent="0.25">
      <c r="A3" s="2" t="s">
        <v>115</v>
      </c>
      <c r="B3" s="2" t="s">
        <v>116</v>
      </c>
      <c r="C3" s="2" t="s">
        <v>117</v>
      </c>
      <c r="D3" s="2" t="s">
        <v>107</v>
      </c>
      <c r="E3" s="6" t="s">
        <v>52</v>
      </c>
      <c r="F3" s="6" t="s">
        <v>115</v>
      </c>
      <c r="G3" s="6" t="s">
        <v>47</v>
      </c>
      <c r="H3" s="6" t="s">
        <v>115</v>
      </c>
      <c r="I3" s="6" t="s">
        <v>41</v>
      </c>
      <c r="J3" s="6" t="s">
        <v>115</v>
      </c>
      <c r="K3" s="2" t="s">
        <v>115</v>
      </c>
      <c r="L3" s="2" t="s">
        <v>115</v>
      </c>
      <c r="M3" s="6" t="s">
        <v>66</v>
      </c>
      <c r="N3" s="2" t="s">
        <v>115</v>
      </c>
      <c r="O3" s="2" t="s">
        <v>115</v>
      </c>
    </row>
    <row r="4" spans="1:15" ht="30" x14ac:dyDescent="0.25">
      <c r="A4" s="2" t="s">
        <v>115</v>
      </c>
      <c r="B4" s="2" t="s">
        <v>123</v>
      </c>
      <c r="C4" s="2" t="s">
        <v>124</v>
      </c>
      <c r="D4" s="2" t="s">
        <v>126</v>
      </c>
      <c r="E4" s="6" t="s">
        <v>52</v>
      </c>
      <c r="F4" s="6" t="s">
        <v>115</v>
      </c>
      <c r="G4" s="6" t="s">
        <v>47</v>
      </c>
      <c r="H4" s="6" t="s">
        <v>115</v>
      </c>
      <c r="I4" s="6" t="s">
        <v>41</v>
      </c>
      <c r="J4" s="6" t="s">
        <v>115</v>
      </c>
      <c r="K4" s="2" t="s">
        <v>115</v>
      </c>
      <c r="L4" s="2" t="s">
        <v>115</v>
      </c>
      <c r="M4" s="6" t="s">
        <v>66</v>
      </c>
      <c r="N4" s="2" t="s">
        <v>115</v>
      </c>
      <c r="O4" s="2" t="s">
        <v>115</v>
      </c>
    </row>
    <row r="5" spans="1:15" ht="30" x14ac:dyDescent="0.25">
      <c r="A5" s="2" t="s">
        <v>115</v>
      </c>
      <c r="B5" s="2" t="s">
        <v>132</v>
      </c>
      <c r="C5" s="2" t="s">
        <v>133</v>
      </c>
      <c r="D5" s="2" t="s">
        <v>135</v>
      </c>
      <c r="E5" s="6" t="s">
        <v>52</v>
      </c>
      <c r="F5" s="6" t="s">
        <v>115</v>
      </c>
      <c r="G5" s="6" t="s">
        <v>47</v>
      </c>
      <c r="H5" s="6" t="s">
        <v>115</v>
      </c>
      <c r="I5" s="6" t="s">
        <v>41</v>
      </c>
      <c r="J5" s="6" t="s">
        <v>115</v>
      </c>
      <c r="K5" s="2" t="s">
        <v>115</v>
      </c>
      <c r="L5" s="2" t="s">
        <v>115</v>
      </c>
      <c r="M5" s="6" t="s">
        <v>66</v>
      </c>
      <c r="N5" s="2" t="s">
        <v>115</v>
      </c>
      <c r="O5" s="2" t="s">
        <v>115</v>
      </c>
    </row>
    <row r="6" spans="1:15" ht="30" x14ac:dyDescent="0.25">
      <c r="A6" s="2" t="s">
        <v>115</v>
      </c>
      <c r="B6" s="2" t="s">
        <v>141</v>
      </c>
      <c r="C6" s="2" t="s">
        <v>142</v>
      </c>
      <c r="D6" s="2" t="s">
        <v>144</v>
      </c>
      <c r="E6" s="6" t="s">
        <v>52</v>
      </c>
      <c r="F6" s="6" t="s">
        <v>115</v>
      </c>
      <c r="G6" s="6" t="s">
        <v>50</v>
      </c>
      <c r="H6" s="6" t="s">
        <v>115</v>
      </c>
      <c r="I6" s="6" t="s">
        <v>39</v>
      </c>
      <c r="J6" s="6" t="s">
        <v>115</v>
      </c>
      <c r="K6" s="2" t="s">
        <v>115</v>
      </c>
      <c r="L6" s="2" t="s">
        <v>115</v>
      </c>
      <c r="M6" s="6" t="s">
        <v>66</v>
      </c>
      <c r="N6" s="2" t="s">
        <v>115</v>
      </c>
      <c r="O6" s="2" t="s">
        <v>115</v>
      </c>
    </row>
    <row r="7" spans="1:15" ht="30" x14ac:dyDescent="0.25">
      <c r="A7" s="2" t="s">
        <v>115</v>
      </c>
      <c r="B7" s="2" t="s">
        <v>152</v>
      </c>
      <c r="C7" s="2" t="s">
        <v>153</v>
      </c>
      <c r="D7" s="2" t="s">
        <v>155</v>
      </c>
      <c r="E7" s="6" t="s">
        <v>52</v>
      </c>
      <c r="F7" s="6" t="s">
        <v>115</v>
      </c>
      <c r="G7" s="6" t="s">
        <v>50</v>
      </c>
      <c r="H7" s="6" t="s">
        <v>115</v>
      </c>
      <c r="I7" s="6" t="s">
        <v>39</v>
      </c>
      <c r="J7" s="6" t="s">
        <v>115</v>
      </c>
      <c r="K7" s="2" t="s">
        <v>115</v>
      </c>
      <c r="L7" s="2" t="s">
        <v>115</v>
      </c>
      <c r="M7" s="6" t="s">
        <v>66</v>
      </c>
      <c r="N7" s="2" t="s">
        <v>115</v>
      </c>
      <c r="O7" s="2" t="s">
        <v>115</v>
      </c>
    </row>
    <row r="8" spans="1:15" ht="30" x14ac:dyDescent="0.25">
      <c r="A8" s="2" t="s">
        <v>115</v>
      </c>
      <c r="B8" s="2" t="s">
        <v>162</v>
      </c>
      <c r="C8" s="2" t="s">
        <v>163</v>
      </c>
      <c r="D8" s="2" t="s">
        <v>165</v>
      </c>
      <c r="E8" s="6" t="s">
        <v>52</v>
      </c>
      <c r="F8" s="6" t="s">
        <v>115</v>
      </c>
      <c r="G8" s="6" t="s">
        <v>50</v>
      </c>
      <c r="H8" s="6" t="s">
        <v>115</v>
      </c>
      <c r="I8" s="6" t="s">
        <v>39</v>
      </c>
      <c r="J8" s="6" t="s">
        <v>115</v>
      </c>
      <c r="K8" s="2" t="s">
        <v>115</v>
      </c>
      <c r="L8" s="2" t="s">
        <v>115</v>
      </c>
      <c r="M8" s="6" t="s">
        <v>66</v>
      </c>
      <c r="N8" s="2" t="s">
        <v>115</v>
      </c>
      <c r="O8" s="2" t="s">
        <v>115</v>
      </c>
    </row>
    <row r="9" spans="1:15" ht="30" x14ac:dyDescent="0.25">
      <c r="A9" s="2" t="s">
        <v>115</v>
      </c>
      <c r="B9" s="2" t="s">
        <v>171</v>
      </c>
      <c r="C9" s="2" t="s">
        <v>172</v>
      </c>
      <c r="D9" s="2" t="s">
        <v>174</v>
      </c>
      <c r="E9" s="6" t="s">
        <v>23</v>
      </c>
      <c r="F9" s="6" t="s">
        <v>115</v>
      </c>
      <c r="G9" s="6" t="s">
        <v>54</v>
      </c>
      <c r="H9" s="6" t="s">
        <v>115</v>
      </c>
      <c r="I9" s="6" t="s">
        <v>37</v>
      </c>
      <c r="J9" s="6" t="s">
        <v>115</v>
      </c>
      <c r="K9" s="2" t="s">
        <v>115</v>
      </c>
      <c r="L9" s="2" t="s">
        <v>115</v>
      </c>
      <c r="M9" s="6" t="s">
        <v>66</v>
      </c>
      <c r="N9" s="2" t="s">
        <v>115</v>
      </c>
      <c r="O9" s="2" t="s">
        <v>115</v>
      </c>
    </row>
    <row r="10" spans="1:15" ht="30" x14ac:dyDescent="0.25">
      <c r="A10" s="2" t="s">
        <v>115</v>
      </c>
      <c r="B10" s="2" t="s">
        <v>179</v>
      </c>
      <c r="C10" s="2" t="s">
        <v>180</v>
      </c>
      <c r="D10" s="2" t="s">
        <v>165</v>
      </c>
      <c r="E10" s="6" t="s">
        <v>52</v>
      </c>
      <c r="F10" s="6" t="s">
        <v>115</v>
      </c>
      <c r="G10" s="6" t="s">
        <v>50</v>
      </c>
      <c r="H10" s="6" t="s">
        <v>115</v>
      </c>
      <c r="I10" s="6" t="s">
        <v>39</v>
      </c>
      <c r="J10" s="6" t="s">
        <v>115</v>
      </c>
      <c r="K10" s="2" t="s">
        <v>115</v>
      </c>
      <c r="L10" s="2" t="s">
        <v>115</v>
      </c>
      <c r="M10" s="6" t="s">
        <v>66</v>
      </c>
      <c r="N10" s="2" t="s">
        <v>115</v>
      </c>
      <c r="O10" s="2" t="s">
        <v>115</v>
      </c>
    </row>
    <row r="11" spans="1:15" ht="30" x14ac:dyDescent="0.25">
      <c r="A11" s="2" t="s">
        <v>115</v>
      </c>
      <c r="B11" s="2" t="s">
        <v>186</v>
      </c>
      <c r="C11" s="2" t="s">
        <v>187</v>
      </c>
      <c r="D11" s="2" t="s">
        <v>165</v>
      </c>
      <c r="E11" s="6" t="s">
        <v>23</v>
      </c>
      <c r="F11" s="6" t="s">
        <v>115</v>
      </c>
      <c r="G11" s="6" t="s">
        <v>54</v>
      </c>
      <c r="H11" s="6" t="s">
        <v>115</v>
      </c>
      <c r="I11" s="6" t="s">
        <v>37</v>
      </c>
      <c r="J11" s="6" t="s">
        <v>115</v>
      </c>
      <c r="K11" s="2" t="s">
        <v>115</v>
      </c>
      <c r="L11" s="2" t="s">
        <v>115</v>
      </c>
      <c r="M11" s="6" t="s">
        <v>66</v>
      </c>
      <c r="N11" s="2" t="s">
        <v>115</v>
      </c>
      <c r="O11" s="2" t="s">
        <v>115</v>
      </c>
    </row>
    <row r="12" spans="1:15" ht="30" x14ac:dyDescent="0.25">
      <c r="A12" s="2" t="s">
        <v>115</v>
      </c>
      <c r="B12" s="2" t="s">
        <v>194</v>
      </c>
      <c r="C12" s="2" t="s">
        <v>195</v>
      </c>
      <c r="D12" s="2" t="s">
        <v>197</v>
      </c>
      <c r="E12" s="6" t="s">
        <v>23</v>
      </c>
      <c r="F12" s="6" t="s">
        <v>115</v>
      </c>
      <c r="G12" s="6" t="s">
        <v>54</v>
      </c>
      <c r="H12" s="6" t="s">
        <v>115</v>
      </c>
      <c r="I12" s="6" t="s">
        <v>37</v>
      </c>
      <c r="J12" s="6" t="s">
        <v>115</v>
      </c>
      <c r="K12" s="2" t="s">
        <v>115</v>
      </c>
      <c r="L12" s="2" t="s">
        <v>115</v>
      </c>
      <c r="M12" s="6" t="s">
        <v>66</v>
      </c>
      <c r="N12" s="2" t="s">
        <v>115</v>
      </c>
      <c r="O12" s="2" t="s">
        <v>115</v>
      </c>
    </row>
    <row r="13" spans="1:15" ht="30" x14ac:dyDescent="0.25">
      <c r="A13" s="2" t="s">
        <v>115</v>
      </c>
      <c r="B13" s="2" t="s">
        <v>205</v>
      </c>
      <c r="C13" s="2" t="s">
        <v>206</v>
      </c>
      <c r="D13" s="2" t="s">
        <v>208</v>
      </c>
      <c r="E13" s="6" t="s">
        <v>52</v>
      </c>
      <c r="F13" s="6" t="s">
        <v>115</v>
      </c>
      <c r="G13" s="6" t="s">
        <v>54</v>
      </c>
      <c r="H13" s="6" t="s">
        <v>115</v>
      </c>
      <c r="I13" s="6" t="s">
        <v>37</v>
      </c>
      <c r="J13" s="6" t="s">
        <v>115</v>
      </c>
      <c r="K13" s="2" t="s">
        <v>115</v>
      </c>
      <c r="L13" s="2" t="s">
        <v>115</v>
      </c>
      <c r="M13" s="6" t="s">
        <v>66</v>
      </c>
      <c r="N13" s="2" t="s">
        <v>115</v>
      </c>
      <c r="O13" s="2" t="s">
        <v>115</v>
      </c>
    </row>
    <row r="14" spans="1:15" ht="30" x14ac:dyDescent="0.25">
      <c r="A14" s="2" t="s">
        <v>115</v>
      </c>
      <c r="B14" s="2" t="s">
        <v>214</v>
      </c>
      <c r="C14" s="2" t="s">
        <v>215</v>
      </c>
      <c r="D14" s="2" t="s">
        <v>217</v>
      </c>
      <c r="E14" s="6" t="s">
        <v>52</v>
      </c>
      <c r="F14" s="6" t="s">
        <v>115</v>
      </c>
      <c r="G14" s="6" t="s">
        <v>54</v>
      </c>
      <c r="H14" s="6" t="s">
        <v>115</v>
      </c>
      <c r="I14" s="6" t="s">
        <v>37</v>
      </c>
      <c r="J14" s="6" t="s">
        <v>115</v>
      </c>
      <c r="K14" s="2" t="s">
        <v>115</v>
      </c>
      <c r="L14" s="2" t="s">
        <v>115</v>
      </c>
      <c r="M14" s="6" t="s">
        <v>66</v>
      </c>
      <c r="N14" s="2" t="s">
        <v>115</v>
      </c>
      <c r="O14" s="2" t="s">
        <v>115</v>
      </c>
    </row>
    <row r="15" spans="1:15" ht="30" x14ac:dyDescent="0.25">
      <c r="A15" s="2" t="s">
        <v>115</v>
      </c>
      <c r="B15" s="2" t="s">
        <v>223</v>
      </c>
      <c r="C15" s="2" t="s">
        <v>224</v>
      </c>
      <c r="D15" s="2" t="s">
        <v>226</v>
      </c>
      <c r="E15" s="6" t="s">
        <v>52</v>
      </c>
      <c r="F15" s="6" t="s">
        <v>115</v>
      </c>
      <c r="G15" s="6" t="s">
        <v>54</v>
      </c>
      <c r="H15" s="6" t="s">
        <v>115</v>
      </c>
      <c r="I15" s="6" t="s">
        <v>37</v>
      </c>
      <c r="J15" s="6" t="s">
        <v>115</v>
      </c>
      <c r="K15" s="2" t="s">
        <v>115</v>
      </c>
      <c r="L15" s="2" t="s">
        <v>115</v>
      </c>
      <c r="M15" s="6" t="s">
        <v>66</v>
      </c>
      <c r="N15" s="2" t="s">
        <v>115</v>
      </c>
      <c r="O15" s="2" t="s">
        <v>115</v>
      </c>
    </row>
    <row r="16" spans="1:15" ht="30" x14ac:dyDescent="0.25">
      <c r="A16" s="2" t="s">
        <v>115</v>
      </c>
      <c r="B16" s="2" t="s">
        <v>231</v>
      </c>
      <c r="C16" s="2" t="s">
        <v>232</v>
      </c>
      <c r="D16" s="2" t="s">
        <v>197</v>
      </c>
      <c r="E16" s="6" t="s">
        <v>23</v>
      </c>
      <c r="F16" s="6" t="s">
        <v>115</v>
      </c>
      <c r="G16" s="6" t="s">
        <v>54</v>
      </c>
      <c r="H16" s="6" t="s">
        <v>115</v>
      </c>
      <c r="I16" s="6" t="s">
        <v>37</v>
      </c>
      <c r="J16" s="6" t="s">
        <v>115</v>
      </c>
      <c r="K16" s="2" t="s">
        <v>115</v>
      </c>
      <c r="L16" s="2" t="s">
        <v>115</v>
      </c>
      <c r="M16" s="6" t="s">
        <v>66</v>
      </c>
      <c r="N16" s="2" t="s">
        <v>115</v>
      </c>
      <c r="O16" s="2" t="s">
        <v>115</v>
      </c>
    </row>
    <row r="17" spans="1:15" ht="30" x14ac:dyDescent="0.25">
      <c r="A17" s="2" t="s">
        <v>115</v>
      </c>
      <c r="B17" s="2" t="s">
        <v>238</v>
      </c>
      <c r="C17" s="2" t="s">
        <v>239</v>
      </c>
      <c r="D17" s="2" t="s">
        <v>155</v>
      </c>
      <c r="E17" s="6" t="s">
        <v>52</v>
      </c>
      <c r="F17" s="6" t="s">
        <v>115</v>
      </c>
      <c r="G17" s="6" t="s">
        <v>54</v>
      </c>
      <c r="H17" s="6" t="s">
        <v>115</v>
      </c>
      <c r="I17" s="6" t="s">
        <v>37</v>
      </c>
      <c r="J17" s="6" t="s">
        <v>115</v>
      </c>
      <c r="K17" s="2" t="s">
        <v>115</v>
      </c>
      <c r="L17" s="2" t="s">
        <v>115</v>
      </c>
      <c r="M17" s="6" t="s">
        <v>66</v>
      </c>
      <c r="N17" s="2" t="s">
        <v>115</v>
      </c>
      <c r="O17" s="2" t="s">
        <v>115</v>
      </c>
    </row>
    <row r="18" spans="1:15" ht="30" x14ac:dyDescent="0.25">
      <c r="A18" s="2" t="s">
        <v>115</v>
      </c>
      <c r="B18" s="2" t="s">
        <v>245</v>
      </c>
      <c r="C18" s="2" t="s">
        <v>246</v>
      </c>
      <c r="D18" s="2" t="s">
        <v>248</v>
      </c>
      <c r="E18" s="6" t="s">
        <v>52</v>
      </c>
      <c r="F18" s="6" t="s">
        <v>115</v>
      </c>
      <c r="G18" s="6" t="s">
        <v>54</v>
      </c>
      <c r="H18" s="6" t="s">
        <v>115</v>
      </c>
      <c r="I18" s="6" t="s">
        <v>37</v>
      </c>
      <c r="J18" s="6" t="s">
        <v>115</v>
      </c>
      <c r="K18" s="2" t="s">
        <v>115</v>
      </c>
      <c r="L18" s="2" t="s">
        <v>115</v>
      </c>
      <c r="M18" s="6" t="s">
        <v>66</v>
      </c>
      <c r="N18" s="2" t="s">
        <v>115</v>
      </c>
      <c r="O18" s="2" t="s">
        <v>115</v>
      </c>
    </row>
    <row r="19" spans="1:15" ht="30" x14ac:dyDescent="0.25">
      <c r="A19" s="2" t="s">
        <v>115</v>
      </c>
      <c r="B19" s="2" t="s">
        <v>253</v>
      </c>
      <c r="C19" s="2" t="s">
        <v>254</v>
      </c>
      <c r="D19" s="2" t="s">
        <v>256</v>
      </c>
      <c r="E19" s="6" t="s">
        <v>23</v>
      </c>
      <c r="F19" s="6" t="s">
        <v>115</v>
      </c>
      <c r="G19" s="6" t="s">
        <v>54</v>
      </c>
      <c r="H19" s="6" t="s">
        <v>115</v>
      </c>
      <c r="I19" s="6" t="s">
        <v>37</v>
      </c>
      <c r="J19" s="6" t="s">
        <v>115</v>
      </c>
      <c r="K19" s="2" t="s">
        <v>115</v>
      </c>
      <c r="L19" s="2" t="s">
        <v>115</v>
      </c>
      <c r="M19" s="6" t="s">
        <v>66</v>
      </c>
      <c r="N19" s="2" t="s">
        <v>115</v>
      </c>
      <c r="O19" s="2" t="s">
        <v>115</v>
      </c>
    </row>
    <row r="20" spans="1:15" ht="30" x14ac:dyDescent="0.25">
      <c r="A20" s="2" t="s">
        <v>115</v>
      </c>
      <c r="B20" s="2" t="s">
        <v>262</v>
      </c>
      <c r="C20" s="2" t="s">
        <v>263</v>
      </c>
      <c r="D20" s="2" t="s">
        <v>265</v>
      </c>
      <c r="E20" s="6" t="s">
        <v>52</v>
      </c>
      <c r="F20" s="6" t="s">
        <v>115</v>
      </c>
      <c r="G20" s="6" t="s">
        <v>54</v>
      </c>
      <c r="H20" s="6" t="s">
        <v>115</v>
      </c>
      <c r="I20" s="6" t="s">
        <v>37</v>
      </c>
      <c r="J20" s="6" t="s">
        <v>115</v>
      </c>
      <c r="K20" s="2" t="s">
        <v>115</v>
      </c>
      <c r="L20" s="2" t="s">
        <v>115</v>
      </c>
      <c r="M20" s="6" t="s">
        <v>66</v>
      </c>
      <c r="N20" s="2" t="s">
        <v>115</v>
      </c>
      <c r="O20" s="2" t="s">
        <v>115</v>
      </c>
    </row>
    <row r="21" spans="1:15" ht="30" x14ac:dyDescent="0.25">
      <c r="A21" s="2" t="s">
        <v>115</v>
      </c>
      <c r="B21" s="2" t="s">
        <v>270</v>
      </c>
      <c r="C21" s="2" t="s">
        <v>271</v>
      </c>
      <c r="D21" s="2" t="s">
        <v>197</v>
      </c>
      <c r="E21" s="6" t="s">
        <v>23</v>
      </c>
      <c r="F21" s="6" t="s">
        <v>115</v>
      </c>
      <c r="G21" s="6" t="s">
        <v>57</v>
      </c>
      <c r="H21" s="6" t="s">
        <v>115</v>
      </c>
      <c r="I21" s="6" t="s">
        <v>35</v>
      </c>
      <c r="J21" s="6" t="s">
        <v>115</v>
      </c>
      <c r="K21" s="2" t="s">
        <v>115</v>
      </c>
      <c r="L21" s="2" t="s">
        <v>115</v>
      </c>
      <c r="M21" s="6" t="s">
        <v>66</v>
      </c>
      <c r="N21" s="2" t="s">
        <v>115</v>
      </c>
      <c r="O21" s="2" t="s">
        <v>115</v>
      </c>
    </row>
    <row r="22" spans="1:15" ht="30" x14ac:dyDescent="0.25">
      <c r="A22" s="2" t="s">
        <v>115</v>
      </c>
      <c r="B22" s="2" t="s">
        <v>278</v>
      </c>
      <c r="C22" s="2" t="s">
        <v>279</v>
      </c>
      <c r="D22" s="2" t="s">
        <v>280</v>
      </c>
      <c r="E22" s="6" t="s">
        <v>52</v>
      </c>
      <c r="F22" s="6" t="s">
        <v>115</v>
      </c>
      <c r="G22" s="6" t="s">
        <v>57</v>
      </c>
      <c r="H22" s="6" t="s">
        <v>115</v>
      </c>
      <c r="I22" s="6" t="s">
        <v>37</v>
      </c>
      <c r="J22" s="6" t="s">
        <v>115</v>
      </c>
      <c r="K22" s="2" t="s">
        <v>115</v>
      </c>
      <c r="L22" s="2" t="s">
        <v>115</v>
      </c>
      <c r="M22" s="6" t="s">
        <v>66</v>
      </c>
      <c r="N22" s="2" t="s">
        <v>115</v>
      </c>
      <c r="O22" s="2" t="s">
        <v>115</v>
      </c>
    </row>
    <row r="23" spans="1:15" ht="30" x14ac:dyDescent="0.25">
      <c r="A23" s="2" t="s">
        <v>115</v>
      </c>
      <c r="B23" s="2" t="s">
        <v>285</v>
      </c>
      <c r="C23" s="2" t="s">
        <v>286</v>
      </c>
      <c r="D23" s="2" t="s">
        <v>288</v>
      </c>
      <c r="E23" s="6" t="s">
        <v>52</v>
      </c>
      <c r="F23" s="6" t="s">
        <v>115</v>
      </c>
      <c r="G23" s="6" t="s">
        <v>57</v>
      </c>
      <c r="H23" s="6" t="s">
        <v>115</v>
      </c>
      <c r="I23" s="6" t="s">
        <v>35</v>
      </c>
      <c r="J23" s="6" t="s">
        <v>115</v>
      </c>
      <c r="K23" s="2" t="s">
        <v>115</v>
      </c>
      <c r="L23" s="2" t="s">
        <v>115</v>
      </c>
      <c r="M23" s="6" t="s">
        <v>66</v>
      </c>
      <c r="N23" s="2" t="s">
        <v>115</v>
      </c>
      <c r="O23" s="2" t="s">
        <v>115</v>
      </c>
    </row>
    <row r="24" spans="1:15" ht="30" x14ac:dyDescent="0.25">
      <c r="A24" s="2" t="s">
        <v>115</v>
      </c>
      <c r="B24" s="2" t="s">
        <v>293</v>
      </c>
      <c r="C24" s="2" t="s">
        <v>294</v>
      </c>
      <c r="D24" s="2" t="s">
        <v>197</v>
      </c>
      <c r="E24" s="6" t="s">
        <v>52</v>
      </c>
      <c r="F24" s="6" t="s">
        <v>115</v>
      </c>
      <c r="G24" s="6" t="s">
        <v>57</v>
      </c>
      <c r="H24" s="6" t="s">
        <v>115</v>
      </c>
      <c r="I24" s="6" t="s">
        <v>35</v>
      </c>
      <c r="J24" s="6" t="s">
        <v>115</v>
      </c>
      <c r="K24" s="2" t="s">
        <v>115</v>
      </c>
      <c r="L24" s="2" t="s">
        <v>115</v>
      </c>
      <c r="M24" s="6" t="s">
        <v>66</v>
      </c>
      <c r="N24" s="2" t="s">
        <v>115</v>
      </c>
      <c r="O24" s="2" t="s">
        <v>115</v>
      </c>
    </row>
    <row r="25" spans="1:15" ht="30" x14ac:dyDescent="0.25">
      <c r="A25" s="2" t="s">
        <v>115</v>
      </c>
      <c r="B25" s="2" t="s">
        <v>300</v>
      </c>
      <c r="C25" s="2" t="s">
        <v>301</v>
      </c>
      <c r="D25" s="2" t="s">
        <v>197</v>
      </c>
      <c r="E25" s="6" t="s">
        <v>52</v>
      </c>
      <c r="F25" s="6" t="s">
        <v>115</v>
      </c>
      <c r="G25" s="6" t="s">
        <v>57</v>
      </c>
      <c r="H25" s="6" t="s">
        <v>115</v>
      </c>
      <c r="I25" s="6" t="s">
        <v>35</v>
      </c>
      <c r="J25" s="6" t="s">
        <v>115</v>
      </c>
      <c r="K25" s="2" t="s">
        <v>115</v>
      </c>
      <c r="L25" s="2" t="s">
        <v>115</v>
      </c>
      <c r="M25" s="6" t="s">
        <v>66</v>
      </c>
      <c r="N25" s="2" t="s">
        <v>115</v>
      </c>
      <c r="O25" s="2" t="s">
        <v>115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Escalas</vt:lpstr>
      <vt:lpstr>Matriz_Riesgos</vt:lpstr>
      <vt:lpstr>Respuesta_Priorizada</vt:lpstr>
      <vt:lpstr>Seguimiento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IVAN SANTIAGO PULGAR LEON</cp:lastModifiedBy>
  <dcterms:created xsi:type="dcterms:W3CDTF">2026-03-23T12:44:46Z</dcterms:created>
  <dcterms:modified xsi:type="dcterms:W3CDTF">2026-03-23T12:44:46Z</dcterms:modified>
</cp:coreProperties>
</file>