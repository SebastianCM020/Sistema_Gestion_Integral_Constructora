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esktop\Sistema_Gestion_Integral_Constructora\Documentos Version 3.0\"/>
    </mc:Choice>
  </mc:AlternateContent>
  <xr:revisionPtr revIDLastSave="0" documentId="13_ncr:1_{A4F7D838-4783-473D-A49F-3DB9C16B59DF}" xr6:coauthVersionLast="47" xr6:coauthVersionMax="47" xr10:uidLastSave="{00000000-0000-0000-0000-000000000000}"/>
  <bookViews>
    <workbookView xWindow="-120" yWindow="-120" windowWidth="29040" windowHeight="15720" activeTab="5" xr2:uid="{00000000-000D-0000-FFFF-FFFF00000000}"/>
  </bookViews>
  <sheets>
    <sheet name="Resumen" sheetId="1" r:id="rId1"/>
    <sheet name="Historias de Usuario" sheetId="2" r:id="rId2"/>
    <sheet name="Matriz CU-HU" sheetId="3" r:id="rId3"/>
    <sheet name="Historias Técnicas" sheetId="4" r:id="rId4"/>
    <sheet name="Product Backlog" sheetId="5" r:id="rId5"/>
    <sheet name="Product Backlog "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 l="1"/>
  <c r="B11" i="1"/>
  <c r="B9" i="1"/>
  <c r="B6" i="1"/>
</calcChain>
</file>

<file path=xl/sharedStrings.xml><?xml version="1.0" encoding="utf-8"?>
<sst xmlns="http://schemas.openxmlformats.org/spreadsheetml/2006/main" count="1092" uniqueCount="625">
  <si>
    <t>Product Backlog ICARO - Versión actualizada</t>
  </si>
  <si>
    <t>Proyecto</t>
  </si>
  <si>
    <t>Sistema web y móvil para la gestión integral en ICARO CONSTRUCTORES BMGM S.A.S.</t>
  </si>
  <si>
    <t>Base de actualización</t>
  </si>
  <si>
    <t>Casos de uso CU-00 a CU-12, HU-01 a HU-26, arquitectura v2, RF 1.1 a RF 1.9 y reglas de auditoría/offline.</t>
  </si>
  <si>
    <t>Indicador</t>
  </si>
  <si>
    <t>Valor</t>
  </si>
  <si>
    <t>Fuente</t>
  </si>
  <si>
    <t>Observación</t>
  </si>
  <si>
    <t>Total de historias de usuario</t>
  </si>
  <si>
    <t>Historias de Usuario</t>
  </si>
  <si>
    <t>Incluye 18 actualizadas + 8 añadidas.</t>
  </si>
  <si>
    <t>Historias actualizadas</t>
  </si>
  <si>
    <t>Revisión HU-01 a HU-18</t>
  </si>
  <si>
    <t>Se corrigieron prioridades, dependencias, RF/CU y criterios.</t>
  </si>
  <si>
    <t>Historias nuevas añadidas</t>
  </si>
  <si>
    <t>HU-19 a HU-26</t>
  </si>
  <si>
    <t>Autenticación, proyectos, asignaciones, offline, dashboards, auditoría, usuarios y materiales.</t>
  </si>
  <si>
    <t>Esfuerzo total estimado (h)</t>
  </si>
  <si>
    <t>Suma de estimaciones por historia.</t>
  </si>
  <si>
    <t>Casos de uso cubiertos</t>
  </si>
  <si>
    <t>Matriz CU-HU</t>
  </si>
  <si>
    <t>CU-00 a CU-12.</t>
  </si>
  <si>
    <t>Historias Alta/Esencial</t>
  </si>
  <si>
    <t>Todas las HU quedan priorizadas como esenciales.</t>
  </si>
  <si>
    <t>Ítems del Product Backlog</t>
  </si>
  <si>
    <t>Product Backlog</t>
  </si>
  <si>
    <t>Una fila por historia priorizada.</t>
  </si>
  <si>
    <t>Principales cambios aplicados</t>
  </si>
  <si>
    <t>1</t>
  </si>
  <si>
    <t>Se reemplazó el backlog antiguo de 12 HU por un backlog actualizado de 26 HU.</t>
  </si>
  <si>
    <t>2</t>
  </si>
  <si>
    <t>Se agregaron HU-19 a HU-26 para cubrir CU-00, CU-09, CU-10, CU-11 y CU-12, además de proyectos/materiales.</t>
  </si>
  <si>
    <t>3</t>
  </si>
  <si>
    <t>Se corrigieron HU-10 y HU-14 a prioridad Alta/Esencial.</t>
  </si>
  <si>
    <t>4</t>
  </si>
  <si>
    <t>Se alinearon RF y CU: HU-10 pasa a RF 1.4; HU-14 pasa a RF 1.6; HU-17/HU-18 pasan a RF 1.8.</t>
  </si>
  <si>
    <t>5</t>
  </si>
  <si>
    <t>Se incorporaron StorageService, QueueService, NotificationService, AuditService, Local Cache, IndexedDB y Sync Manager como dependencias funcionales/técnicas.</t>
  </si>
  <si>
    <t>ID</t>
  </si>
  <si>
    <t>Título</t>
  </si>
  <si>
    <t>Descripción</t>
  </si>
  <si>
    <t>Criterios de aceptación resumidos</t>
  </si>
  <si>
    <t>Tareas esenciales</t>
  </si>
  <si>
    <t>Pruebas esenciales</t>
  </si>
  <si>
    <t>Dependencias</t>
  </si>
  <si>
    <t>Esfuerzo (h)</t>
  </si>
  <si>
    <t>Prioridad</t>
  </si>
  <si>
    <t>RF relacionado</t>
  </si>
  <si>
    <t>CU relacionado</t>
  </si>
  <si>
    <t>Módulo</t>
  </si>
  <si>
    <t>HU-01</t>
  </si>
  <si>
    <t>Registrar avance físico en obra</t>
  </si>
  <si>
    <t>Como Residente, quiero registrar desde la aplicación móvil la cantidad ejecutada de un rubro activo dentro de mi proyecto asignado, para reportar el avance físico diario de la obra con información oportuna, trazable y disponible para los procesos posteriores de evidencia, consumo, cierre y reportes.</t>
  </si>
  <si>
    <t>Sesión válida; proyecto asignado; vigencia activa; rubro activo; cantidad numérica mayor a cero; envío a API si hay conectividad; almacenamiento local si no hay conexión; bloqueo por proyecto/vigencia/rubro inválido; avance disponible para evidencia, sincronización, presupuesto y cierre.</t>
  </si>
  <si>
    <t>Implementar formulario móvil; validar proyecto/rubro/cantidad; validar acceso y vigencia; verificar rubro activo del proyecto; guardar avance con usuario/proyecto/rubro/fecha/estado; enviar a API online; guardar pendiente offline.</t>
  </si>
  <si>
    <t>Probar registro válido; datos incompletos; cantidad inválida; rubro incorrecto/inactivo; usuario sin acceso; envío online; guardado offline; relación usuario-proyecto-rubro-fecha-cantidad.</t>
  </si>
  <si>
    <t>HU-17, HU-18, HU-19, HU-22</t>
  </si>
  <si>
    <t>Alta/Esencial</t>
  </si>
  <si>
    <t>RF 1.1</t>
  </si>
  <si>
    <t>CU-01</t>
  </si>
  <si>
    <t>Obra móvil</t>
  </si>
  <si>
    <t>HU-02</t>
  </si>
  <si>
    <t>Validar avance contra presupuesto aprobado</t>
  </si>
  <si>
    <t>Como Residente, quiero que el sistema valide automáticamente la cantidad de avance físico registrada frente al presupuesto aprobado del rubro, para evitar ejecuciones no autorizadas, controlar excedentes y asegurar que solo se registren avances permitidos o respaldados por una orden de cambio aprobada.</t>
  </si>
  <si>
    <t>Validación contra presupuesto disponible; bloqueo si excede sin orden aprobada; alerta de exceso; aceptación si existe orden aprobada y vigente; rechazo si la orden no corresponde; trazabilidad de validación; estado pendiente si no se puede validar sin conexión.</t>
  </si>
  <si>
    <t>Implementar validación presupuestaria; calcular saldo; bloquear excedentes sin autorización; validar orden de cambio aprobada/vigente; registrar trazabilidad; manejar validación offline como pendiente.</t>
  </si>
  <si>
    <t>Probar avance dentro de presupuesto; bloqueo por exceso sin orden; alerta; orden aprobada válida; orden rechazada/vencida/otro rubro; trazabilidad; sin creación de avance bloqueado; estado pendiente offline.</t>
  </si>
  <si>
    <t>Obra móvil / Control presupuestario</t>
  </si>
  <si>
    <t>HU-03</t>
  </si>
  <si>
    <t>Capturar y asociar evidencia fotográfica del avance</t>
  </si>
  <si>
    <t>Como Residente, quiero capturar o cargar evidencia fotográfica desde la aplicación móvil y asociarla automáticamente al avance físico registrado, para respaldar técnicamente la ejecución del rubro reportado y mantener trazabilidad visual del avance de obra.</t>
  </si>
  <si>
    <t>Captura por cámara o galería; avance asociado obligatorio; asociación a avance/rubro/proyecto/usuario; compresión; formato JPG/PNG; validación de tamaño; envío a StorageService online; almacenamiento pendiente offline; estado sincronizado posterior.</t>
  </si>
  <si>
    <t>Implementar captura/carga; validar avance asociado; asociar evidencia; validar JPG/PNG y tamaño; comprimir imagen; integrar StorageService; guardar localmente offline; actualizar estado a sincronizado.</t>
  </si>
  <si>
    <t>Probar captura/carga con avance; bloqueo sin avance; asociación correcta; formatos permitidos/no permitidos; compresión; tamaño máximo; envío a StorageService; pendiente offline; sincronización posterior.</t>
  </si>
  <si>
    <t>HU-01, HU-04, HU-22</t>
  </si>
  <si>
    <t>RF 1.2</t>
  </si>
  <si>
    <t>CU-02</t>
  </si>
  <si>
    <t>Obra móvil / Evidencia</t>
  </si>
  <si>
    <t>HU-04</t>
  </si>
  <si>
    <t>Exigir evidencia fotográfica válida antes de guardar el avance</t>
  </si>
  <si>
    <t>Como Residente, quiero que el sistema exija al menos una evidencia fotográfica válida antes de completar el registro del avance físico, para asegurar que cada rubro reportado cuente con respaldo técnico-fotográfico mínimo y trazable.</t>
  </si>
  <si>
    <t>Evidencia obligatoria; guardado inhabilitado sin foto válida; mensaje definido; formatos JPG/PNG; tamaño máximo post-compresión; asociación al avance; registro offline solo con evidencia local vinculada; no crear evidencias huérfanas.</t>
  </si>
  <si>
    <t>Validar evidencia obligatoria; inhabilitar guardado sin foto; mostrar mensaje; validar formato/tamaño; verificar asociación; permitir offline solo con evidencia local vinculada; evitar avances definitivos/evidencias huérfanas.</t>
  </si>
  <si>
    <t>Probar guardado sin evidencia; mensaje obligatorio; formato inválido; tamaño excedido; guardado con foto válida; asociación; offline con vínculo local; sincronización; eliminación de evidencia antes del guardado.</t>
  </si>
  <si>
    <t>HU-01, HU-03, HU-17, HU-18, HU-19, HU-22</t>
  </si>
  <si>
    <t>HU-05</t>
  </si>
  <si>
    <t>Crear requerimiento de compra</t>
  </si>
  <si>
    <t>Como Auxiliar de Contabilidad o Residente, quiero crear requerimientos de compra asociados a un proyecto, seleccionando materiales del catálogo vigente, cantidades enteras positivas y una justificación obligatoria, para solicitar oportunamente los insumos necesarios y dejar la solicitud disponible para revisión del Presidente/Gerente.</t>
  </si>
  <si>
    <t>Rol autorizado; proyecto habilitado; materiales activos de catálogo; cantidades enteras positivas; justificación obligatoria; estado En Revisión; detalle por material/proyecto/solicitante/fecha; notificación a Gerencia; trazabilidad.</t>
  </si>
  <si>
    <t>Implementar formulario; validar sesión/rol/proyecto/vigencia; integrar catálogo; validar materiales y cantidades; exigir justificación; guardar En Revisión; notificar a Gerencia; auditar creación.</t>
  </si>
  <si>
    <t>Probar creación autorizada; selección de materiales activos; rechazo de materiales inválidos; cantidades inválidas; campos obligatorios; estado En Revisión; bandeja de Gerencia; notificación; denegación por acceso; trazabilidad.</t>
  </si>
  <si>
    <t>HU-06, HU-07, HU-08, HU-17, HU-18, HU-19, HU-21, HU-24, HU-25, HU-26</t>
  </si>
  <si>
    <t>RF 1.3</t>
  </si>
  <si>
    <t>CU-03</t>
  </si>
  <si>
    <t>Compras</t>
  </si>
  <si>
    <t>HU-06</t>
  </si>
  <si>
    <t>Aprobar requerimiento de compra</t>
  </si>
  <si>
    <t>Como Presidente/Gerente, quiero revisar y aprobar los requerimientos de compra recibidos en estado En Revisión, para autorizar adquisiciones necesarias, mantener control sobre el gasto del proyecto y habilitar posteriormente la recepción de materiales en inventario.</t>
  </si>
  <si>
    <t>Bandeja según permisos; detalle completo; aprobación solo de En Revisión; cambio a Aprobado; registro de aprobador/fecha; notificación al creador; disponibilidad para recepción; bloqueo de estados finales; auditoría.</t>
  </si>
  <si>
    <t>Implementar bandeja; validar rol/permisos; mostrar detalle; permitir aprobar solo En Revisión; actualizar estado; registrar aprobador/fecha; notificar creador; habilitar recepción; auditar cambio.</t>
  </si>
  <si>
    <t>Probar bandeja autorizada; detalle; cambio a Aprobado; registro de aprobador/fecha; notificación; disponibilidad para recepción; bloqueo de estados no válidos; denegación por rol; error de persistencia; auditoría.</t>
  </si>
  <si>
    <t>HU-05, HU-07, HU-08, HU-17, HU-18, HU-19, HU-21, HU-23, HU-24, HU-25, HU-26</t>
  </si>
  <si>
    <t>Compras / Aprobación</t>
  </si>
  <si>
    <t>HU-07</t>
  </si>
  <si>
    <t>Rechazar requerimiento de compra con justificación</t>
  </si>
  <si>
    <t>Como Presidente/Gerente, quiero rechazar requerimientos de compra en estado En Revisión dejando una justificación obligatoria, para comunicar claramente la causa del rechazo, evitar ambigüedades en el proceso y mantener trazabilidad de la decisión tomada.</t>
  </si>
  <si>
    <t>Rechazo solo de En Revisión; comentario obligatorio; bloqueo sin justificación; cambio a Rechazado; registro de responsable/fecha/comentario; notificación al creador; conservación del detalle; bloqueo de estados finales; auditoría.</t>
  </si>
  <si>
    <t>Implementar opción Rechazar; validar rol/permisos; mostrar detalle; exigir comentario; bloquear sin justificación; cambiar a Rechazado; registrar responsable/fecha/comentario; notificar; auditar.</t>
  </si>
  <si>
    <t>Probar rechazo autorizado; detalle; solo En Revisión; comentario obligatorio; bloqueo sin comentario; estado Rechazado; registro responsable/fecha/comentario; notificación; bloqueo de estados finales; denegación por rol; auditoría.</t>
  </si>
  <si>
    <t>HU-05, HU-06, HU-08, HU-17, HU-18, HU-19, HU-21, HU-23, HU-24, HU-25, HU-26</t>
  </si>
  <si>
    <t>HU-08</t>
  </si>
  <si>
    <t>Registrar recepción de materiales</t>
  </si>
  <si>
    <t>Como Bodeguero, quiero registrar la recepción física de materiales asociados a un requerimiento aprobado, para mantener actualizado el ingreso real de insumos, incrementar el stock disponible del proyecto y conservar trazabilidad entre compra, recepción e inventario.</t>
  </si>
  <si>
    <t>Rol Bodeguero; requerimientos aprobados; cantidad numérica mayor a cero; incremento de stock; relación requerimiento/material/proyecto/fecha/usuario; bloqueo de no aprobados; alerta Excedente de recepción; recepciones parciales; movimiento de ingreso; transaccionalidad; auditoría.</t>
  </si>
  <si>
    <t>Implementar recepción; validar rol/proyecto/vigencia; listar requerimientos aprobados; validar cantidad; comparar contra cantidad aprobada; bloquear no aprobados/excedentes; permitir parcial; actualizar stock; crear movimiento ingreso; auditar.</t>
  </si>
  <si>
    <t>Probar acceso Bodeguero; requerimientos aprobados; recepción válida; incremento stock; relación completa; bloqueo no aprobado; cantidad inválida; alerta excedente; recepción parcial/completa; rollback; movimiento ingreso; auditoría.</t>
  </si>
  <si>
    <t>HU-05, HU-06, HU-07, HU-09, HU-10, HU-17, HU-18, HU-19, HU-21, HU-24, HU-25, HU-26</t>
  </si>
  <si>
    <t>RF 1.4</t>
  </si>
  <si>
    <t>CU-04</t>
  </si>
  <si>
    <t>Inventario / Recepción</t>
  </si>
  <si>
    <t>HU-09</t>
  </si>
  <si>
    <t>Registrar consumo de materiales y descontar stock</t>
  </si>
  <si>
    <t>Como Residente, quiero registrar desde obra el consumo de materiales asociados a mi proyecto, para descontar automáticamente el inventario disponible, reflejar la ejecución real de la obra y mantener consistencia entre bodega, consumo e información contable.</t>
  </si>
  <si>
    <t>Residente con proyecto/vigencia; materiales del inventario del proyecto; cantidad válida; stock suficiente; descuento automático; movimiento de salida; bloqueo por stock insuficiente/proyecto ajeno; envío online; pendiente offline; estados de sincronización; auditoría.</t>
  </si>
  <si>
    <t>Implementar consumo móvil; validar sesión/proyecto/vigencia; listar materiales del proyecto; validar cantidad y stock; descontar stock; registrar salida; enviar online; guardar pendiente offline; manejar errores de sincronización; auditar.</t>
  </si>
  <si>
    <t>Probar consumo autorizado; materiales del proyecto; cantidad válida/inválida; stock insuficiente; descuento; movimiento salida; proyecto ajeno; usuario sin vigencia; online/offline; sincronización; conflicto stock; auditoría.</t>
  </si>
  <si>
    <t>HU-01, HU-08, HU-10, HU-11, HU-12, HU-17, HU-18, HU-19, HU-21, HU-22, HU-24, HU-25, HU-26</t>
  </si>
  <si>
    <t>Obra móvil / Inventario</t>
  </si>
  <si>
    <t>HU-10</t>
  </si>
  <si>
    <t>Consultar inventario del proyecto</t>
  </si>
  <si>
    <t>Como Bodeguero o Residente, quiero consultar el inventario actualizado del proyecto al que tengo acceso, para conocer las existencias disponibles, revisar entradas y salidas recientes, y tomar decisiones antes de recibir, consumir o validar materiales.</t>
  </si>
  <si>
    <t>Acceso vigente; existencias del proyecto autorizado; saldos actualizados por ingresos/salidas; material/unidad/stock/último movimiento/estado; detalle de movimientos; sin mezcla entre proyectos; saldos confirmados vs pendientes; última versión sincronizada; trazabilidad.</t>
  </si>
  <si>
    <t>Implementar vista de inventario; validar permisos; calcular stock por recepciones/consumos; mostrar material/unidad/estado; detalle entradas/salidas; diferenciar movimientos pendientes; manejar errores de conexión; auditar si aplica.</t>
  </si>
  <si>
    <t>Probar consulta autorizada; denegación por acceso; datos mostrados; incremento por recepción; descuento por consumo; segregación por proyecto; detalle movimientos; proyecto sin movimientos; pendientes offline; error conexión; trazabilidad.</t>
  </si>
  <si>
    <t>HU-08, HU-09, HU-11, HU-12, HU-17, HU-18, HU-19, HU-21, HU-22, HU-23, HU-24, HU-25, HU-26</t>
  </si>
  <si>
    <t>Inventario / Consulta</t>
  </si>
  <si>
    <t>HU-11</t>
  </si>
  <si>
    <t>Consolidar información mensual para cierre contable</t>
  </si>
  <si>
    <t>Como Contador, quiero consolidar la información mensual de avances de obra, compras, recepciones, consumos e inventario de un proyecto, para preparar una revisión contable verificable, completa y consistente antes de ejecutar el cierre mensual.</t>
  </si>
  <si>
    <t>Contador autorizado; proyecto activo; periodo válido; no futuro; integración de avances/compras/recepciones/consumos/inventario; resumen operativo-contable; estados de requerimientos; pendientes críticos; operaciones no sincronizadas; observaciones; preparación para cierre; trazabilidad.</t>
  </si>
  <si>
    <t>Implementar consolidación mensual; validar rol/proyecto/periodo; bloquear futuros; integrar datos; calcular resumen; detectar pendientes/inconsistencias/operaciones no sincronizadas; marcar listo solo sin pendientes; auditar.</t>
  </si>
  <si>
    <t>Probar inicio válido; periodo futuro; proyecto inválido; integración de datos; resumen; estados de requerimientos; pendientes; operaciones offline; inconsistencias; listo para HU-12; error integración; trazabilidad.</t>
  </si>
  <si>
    <t>HU-01, HU-02, HU-05, HU-06, HU-07, HU-08, HU-09, HU-10, HU-12, HU-13, HU-14, HU-17, HU-18, HU-19, HU-21, HU-22, HU-23, HU-24, HU-25, HU-26</t>
  </si>
  <si>
    <t>RF 1.5</t>
  </si>
  <si>
    <t>CU-05</t>
  </si>
  <si>
    <t>Contabilidad / Consolidación</t>
  </si>
  <si>
    <t>HU-12</t>
  </si>
  <si>
    <t>Ejecutar cierre contable mensual con integridad</t>
  </si>
  <si>
    <t>Como Contador, quiero ejecutar el cierre contable mensual de un proyecto previamente consolidado, bloqueando la edición de los registros del periodo y generando un hash de integridad, para asegurar que la información cerrada sea estable, trazable, verificable y habilite la generación posterior de planillas de obra.</t>
  </si>
  <si>
    <t>Contador autorizado; periodo consolidado; sin pendientes críticos; estado Cerrado; bloqueo de edición; hash de integridad; datos mínimos del cierre; bloqueo de futuros/repetidos; rollback; auditoría; habilitación de planilla PDF.</t>
  </si>
  <si>
    <t>Implementar cierre mensual; validar rol/proyecto/periodo consolidado; bloquear pendientes/futuros/cerrados; cambiar a Cerrado; bloquear edición; generar hash; guardar cierre; usar transacción/rollback; auditar; habilitar planilla.</t>
  </si>
  <si>
    <t>Probar inicio válido; futuros; periodo ya cerrado; pendientes; operaciones no sincronizadas; estado Cerrado; bloqueo edición; hash; datos guardados; rollback; auditoría; habilitación HU-13.</t>
  </si>
  <si>
    <t>HU-01, HU-02, HU-03, HU-04, HU-05, HU-06, HU-07, HU-08, HU-09, HU-10, HU-11, HU-13, HU-14, HU-17, HU-18, HU-19, HU-21, HU-22, HU-23, HU-24, HU-25, HU-26</t>
  </si>
  <si>
    <t>Contabilidad / Cierre</t>
  </si>
  <si>
    <t>HU-13</t>
  </si>
  <si>
    <t>Exportar planilla mensual en PDF</t>
  </si>
  <si>
    <t>Como Contador o Presidente/Gerente, quiero generar y exportar la planilla mensual de obra en formato PDF a partir de un periodo contable cerrado, para disponer de un soporte formal de revisión, respaldo y cobro que integre avances, cálculos económicos y anexos fotográficos del proyecto.</t>
  </si>
  <si>
    <t>Rol autorizado; periodo cerrado; bloqueo de abiertos/futuros/pendientes; consulta de cierre/avances/rubros/cálculos/consumos/inventario/evidencias; anexos ordenados; hash; generación síncrona o diferida con QueueService; StorageService; NotificationService; auditoría.</t>
  </si>
  <si>
    <t>Implementar generación PDF; validar permisos/periodo cerrado; consultar datos; incorporar anexos y hash; generar/almacenar PDF; usar QueueService si es extenso; StorageService; notificar; registrar estado y auditoría.</t>
  </si>
  <si>
    <t>Probar permisos; solo periodo cerrado; bloqueo inválidos; contenido PDF; anexos ordenados; hash; generación síncrona; QueueService; StorageService; notificación; error de generación; denegación; auditoría.</t>
  </si>
  <si>
    <t>HU-01, HU-02, HU-03, HU-04, HU-05, HU-06, HU-07, HU-08, HU-09, HU-10, HU-11, HU-12, HU-14, HU-15, HU-16, HU-17, HU-18, HU-19, HU-20, HU-21, HU-22, HU-23, HU-24, HU-25, HU-26</t>
  </si>
  <si>
    <t>RF 1.6</t>
  </si>
  <si>
    <t>CU-06</t>
  </si>
  <si>
    <t>Planillas / PDF</t>
  </si>
  <si>
    <t>HU-14</t>
  </si>
  <si>
    <t>Consultar planilla mensual</t>
  </si>
  <si>
    <t>Como Contador o Presidente/Gerente, quiero consultar la planilla mensual de obra de un proyecto y periodo cerrado, para revisar el consolidado técnico-económico, validar su contenido de cobro y acceder al archivo PDF generado cuando se encuentre disponible.</t>
  </si>
  <si>
    <t>Rol autorizado; proyecto/periodo cerrado; planilla generada o en proceso; estados Pendiente/En proceso/Generada/Error; información de planilla; descarga solo si PDF disponible; anexos correctos; mensajes sin cierre/sin generación; permisos; errores de archivo; trazabilidad.</t>
  </si>
  <si>
    <t>Implementar consulta de planillas; validar permisos; validar proyecto/periodo cerrado; mostrar estado e información; habilitar descarga si PDF disponible; bloquear descarga pendiente; manejar errores de archivo; auditar consulta/descarga.</t>
  </si>
  <si>
    <t>Probar consulta autorizada; bloqueo por permisos; periodo cerrado; planilla generada; estados en proceso; info básica; descarga; sin cierre; sin generación; anexos; error archivo; trazabilidad.</t>
  </si>
  <si>
    <t>HU-01, HU-02, HU-03, HU-04, HU-05, HU-06, HU-07, HU-08, HU-09, HU-10, HU-11, HU-12, HU-13, HU-15, HU-16, HU-17, HU-18, HU-19, HU-20, HU-21, HU-22, HU-23, HU-24, HU-25, HU-26</t>
  </si>
  <si>
    <t>Planillas / Consulta</t>
  </si>
  <si>
    <t>HU-15</t>
  </si>
  <si>
    <t>Crear proyecto</t>
  </si>
  <si>
    <t>Como Administrador del Sistema, quiero crear nuevos proyectos dentro de la plataforma, registrando sus datos mínimos de identificación, configuración y estado inicial, para habilitar instancias independientes de operación, control, asignación de usuarios, carga de rubros, inventario, avances, cierres y reportes por cada obra.</t>
  </si>
  <si>
    <t>Administrador; datos mínimos; estado inicial; consulta de configuración; campos obligatorios; no duplicados; independencia de datos; disponible para rubros/asignaciones; denegación por rol; transaccionalidad; auditoría.</t>
  </si>
  <si>
    <t>Implementar formulario; validar rol; definir datos mínimos; validar obligatorios/no duplicados; registrar estado inicial; garantizar independencia; dejar disponible para HU-16/HU-21; transaccionalidad; auditar.</t>
  </si>
  <si>
    <t>Probar acceso Admin; creación válida; consulta de datos; campos incompletos; duplicados; estado inicial; independencia; disponibilidad para rubros/asignaciones; denegación; error transaccional; auditoría.</t>
  </si>
  <si>
    <t>HU-16, HU-17, HU-18, HU-19, HU-20, HU-21, HU-23, HU-24, HU-25, HU-26</t>
  </si>
  <si>
    <t>RF 1.7</t>
  </si>
  <si>
    <t>CU-07</t>
  </si>
  <si>
    <t>Configuración / Proyectos</t>
  </si>
  <si>
    <t>HU-16</t>
  </si>
  <si>
    <t>Cargar rubros masivamente desde archivo CSV</t>
  </si>
  <si>
    <t>Como Administrador del Sistema, quiero cargar rubros masivamente desde un archivo CSV válido asociado a un proyecto habilitado, para crear rápidamente el catálogo operativo de rubros de una obra sin registrar cada ítem de forma manual y asegurar que los avances posteriores se reporten sobre rubros correctamente parametrizados.</t>
  </si>
  <si>
    <t>Administrador; proyecto activo; CSV válido; cabecera exacta Código/Descripción/Unidad/Precio Unitario; filas válidas; asociación al proyecto; resumen; rollback completo; error por línea; duplicados; auditoría; rubros disponibles para avances.</t>
  </si>
  <si>
    <t>Implementar carga CSV; validar rol/proyecto; validar archivo/cabecera/filas/tipos; detectar duplicados; insertar asociados; rollback; mostrar resumen y errores; auditar; activar rubros para avance.</t>
  </si>
  <si>
    <t>Probar acceso Admin; proyecto activo; CSV válido; cabecera exacta; cabecera inválida; filas inválidas; duplicados; inserción válida; rollback; resumen; error por línea; auditoría; selección posterior en HU-01.</t>
  </si>
  <si>
    <t>HU-15, HU-17, HU-18, HU-19, HU-20, HU-21, HU-23, HU-24, HU-25, HU-26</t>
  </si>
  <si>
    <t>Configuración / Rubros</t>
  </si>
  <si>
    <t>HU-17</t>
  </si>
  <si>
    <t>Controlar acceso por proyecto asignado</t>
  </si>
  <si>
    <t>Como Administrador del Sistema, quiero restringir el acceso de Residentes y Bodegueros únicamente a los proyectos que tienen asignados, para proteger la información operativa, evitar registros sobre obras ajenas y asegurar la segregación correcta de accesos por proyecto.</t>
  </si>
  <si>
    <t>Administrador configura asignaciones; usuario-proyecto; acceso solo a proyectos autorizados; denegación sin exposición; backend 403; segregación de datos; múltiples proyectos; sin proyectos; revocatoria; cambios sin afectar otros; auditoría.</t>
  </si>
  <si>
    <t>Implementar asignación usuario-proyecto; validar rol Admin; registrar relación; validar antes de interfaces; mostrar solo proyectos asignados; denegar proyectos ajenos; retornar 403; revocar/actualizar; auditar.</t>
  </si>
  <si>
    <t>Probar configuración Admin; asignación válida; acceso autorizado; bloqueo proyecto ajeno; lista de proyectos; usuario sin proyectos; backend 403; revocatoria; cambios independientes; segregación; auditoría denegados.</t>
  </si>
  <si>
    <t>HU-01, HU-08, HU-09, HU-10, HU-15, HU-16, HU-18, HU-19, HU-21, HU-22, HU-24, HU-25</t>
  </si>
  <si>
    <t>RF 1.8</t>
  </si>
  <si>
    <t>CU-08</t>
  </si>
  <si>
    <t>Seguridad / Acceso por proyecto</t>
  </si>
  <si>
    <t>HU-18</t>
  </si>
  <si>
    <t>Controlar acceso por rango de fechas autorizado</t>
  </si>
  <si>
    <t>Como Administrador del Sistema, quiero restringir el acceso de Residentes y Bodegueros al rango de fechas autorizado en cada asignación usuario-proyecto, para impedir operaciones fuera de la vigencia definida, proteger la información del proyecto y conservar trazabilidad de los intentos de acceso.</t>
  </si>
  <si>
    <t>Definir inicio/fin; registrar vigencia; acceso solo vigente; bloqueo vencido/no iniciado; validar formato y rango; mensaje controlado; backend 403; restricción aunque exista proyecto; modificación/revocatoria; vigencia independiente; auditoría.</t>
  </si>
  <si>
    <t>Implementar vigencia; validar rol Admin; permitir fechas; validar inicio&lt;=fin y formato; registrar vigencia; validar fecha actual; denegar vencida/no vigente; retornar 403; actualizar/revocar; auditar.</t>
  </si>
  <si>
    <t>Probar configuración Admin; fechas válidas; inicio posterior a fin; fechas incompletas; acceso vigente; acceso vencido/no iniciado; backend 403; módulos operativos bloqueados; modificación; revocatoria; múltiples proyectos; auditoría.</t>
  </si>
  <si>
    <t>HU-01, HU-08, HU-09, HU-10, HU-15, HU-16, HU-17, HU-19, HU-21, HU-22, HU-24, HU-25</t>
  </si>
  <si>
    <t>Seguridad / Vigencia</t>
  </si>
  <si>
    <t>HU-19</t>
  </si>
  <si>
    <t>Autenticarse y gestionar sesión de usuario</t>
  </si>
  <si>
    <t>Como usuario autorizado del sistema, quiero iniciar sesión mediante credenciales válidas y acceder únicamente a las funcionalidades permitidas según mi rol, para operar el sistema de forma segura, controlada y trazable.</t>
  </si>
  <si>
    <t>Usuario activo con rol; credenciales válidas; token seguro; interfaz por rol; acceso autorizado; denegación por credenciales/estado/rol; sesión expirada; cierre de sesión; backend 401/403; trazabilidad.</t>
  </si>
  <si>
    <t>Implementar login; validar usuario activo/rol; verificar contraseña; generar token; cargar interfaz por rol; controlar módulos; manejar 401/403; expiración; logout; auditar eventos relevantes.</t>
  </si>
  <si>
    <t>Probar login válido; credenciales incorrectas; usuario inactivo/sin rol; token; interfaz por rol; acceso permitido/restringido; 401; 403; sesión expirada; logout; trazabilidad.</t>
  </si>
  <si>
    <t>HU-01, HU-05, HU-08, HU-11, HU-13, HU-17, HU-18, HU-21, HU-25</t>
  </si>
  <si>
    <t>Seguridad/RBAC</t>
  </si>
  <si>
    <t>CU-00</t>
  </si>
  <si>
    <t>Seguridad / Autenticación</t>
  </si>
  <si>
    <t>HU-20</t>
  </si>
  <si>
    <t>Editar, activar y desactivar proyectos</t>
  </si>
  <si>
    <t>Como Administrador del Sistema, quiero editar, activar o desactivar proyectos existentes dentro de la plataforma, para mantener actualizada la configuración de cada obra sin perder la independencia operativa entre proyectos.</t>
  </si>
  <si>
    <t>Consulta de proyectos; edición permitida; no alterar históricos; campos obligatorios; no duplicados; desactivación sin eliminar historial; bloqueo de operaciones en inactivos; reactivación con permisos/vigencias; independencia; auditoría.</t>
  </si>
  <si>
    <t>Implementar consulta/edición/activar/desactivar; validar rol; validar campos y duplicados; desactivar sin eliminar; bloquear operaciones en inactivos; reactivar; mantener independencia; manejar errores; auditar.</t>
  </si>
  <si>
    <t>Probar acceso Admin; edición válida; historial intacto; campos incompletos; duplicados; desactivación; historial conservado; bloqueo operativo; reactivación; independencia; error persistencia; auditoría.</t>
  </si>
  <si>
    <t>HU-15, HU-16, HU-17, HU-18, HU-19, HU-21, HU-23, HU-24, HU-25, HU-26</t>
  </si>
  <si>
    <t>HU-21</t>
  </si>
  <si>
    <t>Configurar asignación de usuario a proyecto y vigencia</t>
  </si>
  <si>
    <t>Como Administrador del Sistema, quiero asignar usuarios a proyectos definiendo rol operativo, modo de acceso y rango de fechas autorizado, para controlar quién puede operar cada obra y durante qué periodo.</t>
  </si>
  <si>
    <t>Seleccionar usuario/proyecto/modo/fechas; usuario y proyecto activos; fecha inicio/fin válidas; no duplicar asignación; revocatoria; proyectos visibles solo autorizados y vigentes; bloqueo de usuarios inactivos; auditoría.</t>
  </si>
  <si>
    <t>Implementar módulo de asignaciones; validar rol; seleccionar usuario/proyecto/modo/fechas; validar obligatorios y rango; bloquear inactivos; crear/actualizar sin duplicar; revocar; restringir visualización/operación; auditar.</t>
  </si>
  <si>
    <t>Probar acceso Admin; asignación válida; campos obligatorios; rango inválido; usuario/proyecto inactivo; relación creada; actualización sin duplicar; revocatoria; visualización autorizada; cambios independientes; auditoría.</t>
  </si>
  <si>
    <t>HU-15, HU-17, HU-18, HU-19, HU-20, HU-24, HU-25</t>
  </si>
  <si>
    <t>Seguridad / Asignaciones</t>
  </si>
  <si>
    <t>HU-22</t>
  </si>
  <si>
    <t>Registrar operaciones offline y sincronizar datos</t>
  </si>
  <si>
    <t>Como Residente, quiero registrar avances, consumos y evidencias fotográficas aun cuando no tenga conexión a Internet, para continuar trabajando en campo y sincronizar la información automáticamente cuando se restablezca la conectividad.</t>
  </si>
  <si>
    <t>Registro sin conexión; almacenamiento local; estado Pendiente; identificador local/tipo/fecha/usuario/proyecto/rubro/payload; mismas validaciones online; indicadores; Sync Manager; API REST; estados Sincronizado/Error; evitar duplicados; revisión de errores persistentes.</t>
  </si>
  <si>
    <t>Implementar almacenamiento local; validar permisos offline; aplicar validaciones; registrar payload/estado; cola local; estados visuales; Sync Manager; reintentos; evitar duplicados; manejar conflictos; descarte con confirmación; preservar relaciones.</t>
  </si>
  <si>
    <t>Probar operaciones offline; estado pendiente; metadatos; validaciones; estados visuales; recuperación de conexión; sincronización; pérdida durante envío; conflicto; duplicados; eliminación con confirmación; relaciones; errores persistentes.</t>
  </si>
  <si>
    <t>HU-01, HU-02, HU-03, HU-04, HU-09, HU-10, HU-17, HU-18, HU-19, HU-21, HU-24</t>
  </si>
  <si>
    <t>RF 1.9</t>
  </si>
  <si>
    <t>CU-09</t>
  </si>
  <si>
    <t>Offline / Sincronización</t>
  </si>
  <si>
    <t>HU-23</t>
  </si>
  <si>
    <t>Consultar dashboards y reportes gerenciales</t>
  </si>
  <si>
    <t>Como Presidente/Gerente o Contador, quiero consultar dashboards y reportes consolidados por proyecto y periodo, para analizar avances, compras, inventario, cierres y planillas que apoyen la toma de decisiones.</t>
  </si>
  <si>
    <t>Roles autorizados; selección proyecto/periodo/tipo; validación de permisos/rango; consulta avances/compras/inventario/cierres/planillas; indicadores en tarjetas/gráficos/tablas; sin datos; no mezclar proyectos; exportación si aplica; auditoría.</t>
  </si>
  <si>
    <t>Implementar dashboards/reportes; validar roles/permisos; seleccionar filtros; consultar datos consolidados; calcular indicadores; separar proyectos; mensaje sin datos; exportar si autorizado; manejar errores; auditar.</t>
  </si>
  <si>
    <t>Probar acceso autorizado; bloqueo sin rol; permisos proyecto; filtros válidos; consulta de datos; indicadores; segregación; sin datos; periodo fuera rango; exportación por rol; falla exportación; auditoría.</t>
  </si>
  <si>
    <t>HU-01, HU-05, HU-08, HU-09, HU-10, HU-11, HU-12, HU-13, HU-14, HU-15, HU-17, HU-18, HU-19, HU-21, HU-24, HU-25, HU-26</t>
  </si>
  <si>
    <t>Reportes gerenciales</t>
  </si>
  <si>
    <t>CU-10</t>
  </si>
  <si>
    <t>Reportes / Dashboard</t>
  </si>
  <si>
    <t>HU-24</t>
  </si>
  <si>
    <t>Consultar auditoría y trazabilidad del sistema</t>
  </si>
  <si>
    <t>Como Administrador del Sistema, Presidente/Gerente o Contador autorizado, quiero consultar los eventos de auditoría y trazabilidad del sistema, para revisar quién realizó operaciones críticas, cuándo las ejecutó y sobre qué registros o módulos actuó.</t>
  </si>
  <si>
    <t>Rol autorizado; filtros por usuario/proyecto/módulo/operación/fechas; campos del evento; datos antes/después; accesos denegados; operaciones críticas; sin permisos; sin resultados; audit_log inmutable; exportación filtrada; trazabilidad de consulta.</t>
  </si>
  <si>
    <t>Implementar consulta de auditoría; validar permisos; filtros; listar eventos; detalle antes/después; accesos denegados; operaciones críticas; bloquear modificación/eliminación; exportar por rol; auditar acceso.</t>
  </si>
  <si>
    <t>Probar acceso autorizado; bloqueo sin permisos; filtros; campos; detalle antes/después; accesos denegados; eventos críticos; sin resultados; inmutabilidad; exportación; trazabilidad de consulta/exportación.</t>
  </si>
  <si>
    <t>HU-05, HU-06, HU-07, HU-08, HU-09, HU-12, HU-13, HU-17, HU-18, HU-19, HU-20, HU-21, HU-22, HU-23, HU-25, HU-26</t>
  </si>
  <si>
    <t>RNF Auditoría</t>
  </si>
  <si>
    <t>CU-11</t>
  </si>
  <si>
    <t>Auditoría / Trazabilidad</t>
  </si>
  <si>
    <t>HU-25</t>
  </si>
  <si>
    <t>Gestionar usuarios, roles y permisos</t>
  </si>
  <si>
    <t>Como Administrador del Sistema, quiero crear, editar, activar, desactivar usuarios y asignar roles o permisos, para controlar quién puede ingresar al sistema y qué funcionalidades puede utilizar según su responsabilidad.</t>
  </si>
  <si>
    <t>Consulta usuarios/roles/permisos; creación con datos completos; no duplicados; roles válidos; edición permitida; activar/desactivar; bloqueo del único Administrador; actualización de permisos por rol; asignaciones según estado/rol; auditoría.</t>
  </si>
  <si>
    <t>Implementar módulo usuarios/roles/permisos; validar rol Admin; consultar; crear; validar duplicados; asignar roles válidos; editar; activar/desactivar; bloquear único Admin; actualizar permisos; definir asignaciones; auditar.</t>
  </si>
  <si>
    <t>Probar acceso Admin; consulta; creación válida; duplicados; rol válido/inválido; edición; usuario desactivado no inicia sesión; reactivación; bloqueo único Admin; cambio de rol; asignaciones; auditoría.</t>
  </si>
  <si>
    <t>HU-19, HU-21, HU-24</t>
  </si>
  <si>
    <t>CU-12</t>
  </si>
  <si>
    <t>Seguridad / Usuarios</t>
  </si>
  <si>
    <t>HU-26</t>
  </si>
  <si>
    <t>Gestionar catálogo de materiales</t>
  </si>
  <si>
    <t>Como Administrador del Sistema, quiero crear, editar, activar y desactivar materiales del catálogo vigente, para asegurar que compras, recepciones, consumos e inventario utilicen materiales válidos, normalizados y trazables.</t>
  </si>
  <si>
    <t>Catálogo consultable; creación con código/nombre/unidad/categoría; no duplicados; material activo seleccionable; inactivo no seleccionable; historial conservado; edición sin romper históricos; consistencia en inventario; sin cambios parciales; auditoría.</t>
  </si>
  <si>
    <t>Implementar catálogo; validar rol; consultar/crear/editar/activar/desactivar; validar obligatorios; bloquear duplicados; permitir activos; impedir inactivos en nuevas operaciones; conservar históricos; mantener consistencia; auditar.</t>
  </si>
  <si>
    <t>Probar acceso Admin; consulta; creación válida; incompletos; duplicados; material activo seleccionable; inactivo bloqueado; historial conservado; edición consistente; inventario muestra datos; error persistencia; auditoría.</t>
  </si>
  <si>
    <t>HU-05, HU-08, HU-09, HU-10, HU-19, HU-21, HU-24, HU-25</t>
  </si>
  <si>
    <t>RF 1.3 / RF 1.4</t>
  </si>
  <si>
    <t>CU-03 / CU-04</t>
  </si>
  <si>
    <t>Configuración / Materiales</t>
  </si>
  <si>
    <t>Caso de uso</t>
  </si>
  <si>
    <t>Nombre del caso de uso</t>
  </si>
  <si>
    <t>HU principales asociadas</t>
  </si>
  <si>
    <t>Cobertura</t>
  </si>
  <si>
    <t>Observación de actualización</t>
  </si>
  <si>
    <t>Autenticarse en el sistema</t>
  </si>
  <si>
    <t>HU-19, HU-25</t>
  </si>
  <si>
    <t>Completa</t>
  </si>
  <si>
    <t>Se añadió HU-19 y se vincula con gestión de usuarios/roles.</t>
  </si>
  <si>
    <t>HU-01, HU-02, HU-17, HU-18, HU-22</t>
  </si>
  <si>
    <t>Se actualizan validaciones de proyecto, vigencia, presupuesto y offline.</t>
  </si>
  <si>
    <t>Capturar y asociar evidencia fotográfica</t>
  </si>
  <si>
    <t>HU-03, HU-04, HU-22</t>
  </si>
  <si>
    <t>Se incorpora StorageService, validación de formato/tamaño y sincronización.</t>
  </si>
  <si>
    <t>Gestionar requerimiento de compra</t>
  </si>
  <si>
    <t>HU-05, HU-06, HU-07, HU-26, HU-24</t>
  </si>
  <si>
    <t>Se separan creación, aprobación, rechazo, catálogo y auditoría.</t>
  </si>
  <si>
    <t>Gestionar inventario y consumos de materiales</t>
  </si>
  <si>
    <t>HU-08, HU-09, HU-10, HU-26, HU-22, HU-24</t>
  </si>
  <si>
    <t>Se integran recepción, consumo, consulta de stock, catálogo y sincronización.</t>
  </si>
  <si>
    <t>Ejecutar cierre contable mensual</t>
  </si>
  <si>
    <t>HU-11, HU-12, HU-22, HU-24</t>
  </si>
  <si>
    <t>Se diferencia consolidación de ejecución del cierre con hash e inmutabilidad.</t>
  </si>
  <si>
    <t>Generar planilla mensual de obra en PDF</t>
  </si>
  <si>
    <t>HU-13, HU-14, HU-12, HU-23, HU-24</t>
  </si>
  <si>
    <t>Se incorpora QueueService, StorageService, NotificationService y auditoría.</t>
  </si>
  <si>
    <t>Gestionar proyectos y carga masiva de rubros</t>
  </si>
  <si>
    <t>HU-15, HU-16, HU-20, HU-24</t>
  </si>
  <si>
    <t>Se separa creación, edición/estado y carga masiva CSV.</t>
  </si>
  <si>
    <t>Controlar acceso por proyecto y vigencia</t>
  </si>
  <si>
    <t>HU-17, HU-18, HU-21, HU-19, HU-25, HU-24</t>
  </si>
  <si>
    <t>Se agrega HU-21 para configuración formal de asignación usuario-proyecto-vigencia.</t>
  </si>
  <si>
    <t>HU-22, HU-01, HU-03, HU-04, HU-09, HU-10</t>
  </si>
  <si>
    <t>Se crea HU-22 para Local Cache, cola local y Sync Manager.</t>
  </si>
  <si>
    <t>HU-23, HU-11, HU-12, HU-13, HU-14, HU-24</t>
  </si>
  <si>
    <t>Se crea HU-23 para indicadores, gráficos, reportes y exportación.</t>
  </si>
  <si>
    <t>Consultar auditoría y trazabilidad</t>
  </si>
  <si>
    <t>HU-24, HU-05, HU-06, HU-07, HU-08, HU-09, HU-12, HU-13, HU-17, HU-18, HU-21, HU-22, HU-23</t>
  </si>
  <si>
    <t>Se crea HU-24 para consulta controlada de audit_log.</t>
  </si>
  <si>
    <t>HU-25, HU-19, HU-21, HU-24</t>
  </si>
  <si>
    <t>Se crea HU-25 para administración de usuarios, roles y permisos.</t>
  </si>
  <si>
    <t>Descripción técnica</t>
  </si>
  <si>
    <t>HU relacionadas</t>
  </si>
  <si>
    <t>CU/RF relacionados</t>
  </si>
  <si>
    <t>HT-01</t>
  </si>
  <si>
    <t>Arquitectura base por capas y API REST</t>
  </si>
  <si>
    <t>Consolidar backend monolítico por capas, rutas /api/v1, controladores, servicios, repositorios y contratos REST.</t>
  </si>
  <si>
    <t>HU-01 a HU-26</t>
  </si>
  <si>
    <t>Arquitectura v2</t>
  </si>
  <si>
    <t>Alta</t>
  </si>
  <si>
    <t>HT-02</t>
  </si>
  <si>
    <t>Autenticación JWT y RBAC</t>
  </si>
  <si>
    <t>Implementar AuthService, JWT, bcrypt, requireAuth y requireRole para acceso por rol.</t>
  </si>
  <si>
    <t>CU-00, CU-12</t>
  </si>
  <si>
    <t>HT-03</t>
  </si>
  <si>
    <t>ProjectAccessService por proyecto y vigencia</t>
  </si>
  <si>
    <t>Implementar validación de usuario-proyecto-vigencia con respuesta 403 y auditoría de denegaciones.</t>
  </si>
  <si>
    <t>HU-17, HU-18, HU-21</t>
  </si>
  <si>
    <t>CU-08, RF 1.8</t>
  </si>
  <si>
    <t>HT-04</t>
  </si>
  <si>
    <t>Modelo relacional PostgreSQL/Prisma</t>
  </si>
  <si>
    <t>Actualizar modelos: usuarios, roles, proyectos, rubros, avances, evidencias, compras, inventario, cierres, planillas y audit_log.</t>
  </si>
  <si>
    <t>RF 1.1 a RF 1.9</t>
  </si>
  <si>
    <t>HT-05</t>
  </si>
  <si>
    <t>Módulo móvil de avance físico</t>
  </si>
  <si>
    <t>Implementar vistas y endpoints para registro de avances, validación de rubro, cantidad y presupuesto.</t>
  </si>
  <si>
    <t>HU-01, HU-02</t>
  </si>
  <si>
    <t>CU-01, RF 1.1</t>
  </si>
  <si>
    <t>HT-06</t>
  </si>
  <si>
    <t>StorageService para evidencias y planillas</t>
  </si>
  <si>
    <t>Gestionar almacenamiento de imágenes y PDFs, validación de formato, tamaño, nombre único y URL persistente.</t>
  </si>
  <si>
    <t>HU-03, HU-04, HU-13, HU-14</t>
  </si>
  <si>
    <t>CU-02, CU-06</t>
  </si>
  <si>
    <t>HT-07</t>
  </si>
  <si>
    <t>Capa offline móvil: Local Cache e IndexedDB</t>
  </si>
  <si>
    <t>Persistir operaciones móviles, evidencias y cache de datos maestros en el cliente.</t>
  </si>
  <si>
    <t>HU-01, HU-03, HU-04, HU-09, HU-22</t>
  </si>
  <si>
    <t>CU-09, RF 1.9</t>
  </si>
  <si>
    <t>HT-08</t>
  </si>
  <si>
    <t>Sync Manager y cola local de operaciones</t>
  </si>
  <si>
    <t>Procesar cola FIFO, reintentos, estados Pendiente/Sincronizado/Error y prevención de duplicados.</t>
  </si>
  <si>
    <t>HT-09</t>
  </si>
  <si>
    <t>Flujo administrativo de requerimientos de compra</t>
  </si>
  <si>
    <t>Implementar requerimientos, detalle, validaciones de catálogo, estado En Revisión y notificaciones.</t>
  </si>
  <si>
    <t>HU-05, HU-06, HU-07, HU-26</t>
  </si>
  <si>
    <t>CU-03, RF 1.3</t>
  </si>
  <si>
    <t>HT-10</t>
  </si>
  <si>
    <t>NotificationService funcional</t>
  </si>
  <si>
    <t>Notificar solicitudes nuevas, aprobaciones, rechazos, planillas listas o fallidas.</t>
  </si>
  <si>
    <t>HU-05, HU-06, HU-07, HU-13</t>
  </si>
  <si>
    <t>CU-03, CU-06</t>
  </si>
  <si>
    <t>HT-11</t>
  </si>
  <si>
    <t>Inventario por proyecto y movimientos</t>
  </si>
  <si>
    <t>Implementar inventario_proyecto, movimientos de ingreso/salida, stock, bloqueo de excedentes y consulta.</t>
  </si>
  <si>
    <t>HU-08, HU-09, HU-10, HU-26</t>
  </si>
  <si>
    <t>CU-04, RF 1.4</t>
  </si>
  <si>
    <t>HT-12</t>
  </si>
  <si>
    <t>Consolidación contable mensual</t>
  </si>
  <si>
    <t>Integrar avances, compras, recepciones, consumos e inventario por proyecto/periodo.</t>
  </si>
  <si>
    <t>CU-05, RF 1.5</t>
  </si>
  <si>
    <t>HT-13</t>
  </si>
  <si>
    <t>Cierre seguro con hash e inmutabilidad</t>
  </si>
  <si>
    <t>Bloquear edición de periodos cerrados, generar hash y garantizar reversión transaccional.</t>
  </si>
  <si>
    <t>HT-14</t>
  </si>
  <si>
    <t>QueueService para planillas PDF</t>
  </si>
  <si>
    <t>Procesar planillas pesadas de forma diferida, estados del trabajo y reintentos.</t>
  </si>
  <si>
    <t>HU-13, HU-14</t>
  </si>
  <si>
    <t>CU-06, RF 1.6</t>
  </si>
  <si>
    <t>HT-15</t>
  </si>
  <si>
    <t>Dashboards y reportes gerenciales</t>
  </si>
  <si>
    <t>Consultas agregadas por proyecto/periodo, indicadores, gráficos, exportación y permisos.</t>
  </si>
  <si>
    <t>HT-16</t>
  </si>
  <si>
    <t>AuditService y audit_log inmutable</t>
  </si>
  <si>
    <t>Registrar CUD, accesos denegados, cierres, aprobaciones, consumos, planillas y consultas críticas.</t>
  </si>
  <si>
    <t>CU-11, RNF Auditoría</t>
  </si>
  <si>
    <t>HT-17</t>
  </si>
  <si>
    <t>Gestión de usuarios, roles y permisos</t>
  </si>
  <si>
    <t>Implementar CRUD de usuarios, roles, activación/desactivación, bloqueo único admin y permisos por módulo.</t>
  </si>
  <si>
    <t>HT-18</t>
  </si>
  <si>
    <t>Catálogos de proyectos, rubros y materiales</t>
  </si>
  <si>
    <t>Parametrización de proyectos, carga CSV de rubros y catálogo de materiales vigente.</t>
  </si>
  <si>
    <t>HU-15, HU-16, HU-20, HU-26</t>
  </si>
  <si>
    <t>CU-07, CU-03, CU-04</t>
  </si>
  <si>
    <t>HT-19</t>
  </si>
  <si>
    <t>Pruebas automatizadas e integración</t>
  </si>
  <si>
    <t>Crear pruebas unitarias/integración para auth, RBAC, acceso proyecto, compras, inventario, cierre, PDF y offline.</t>
  </si>
  <si>
    <t>Plan de pruebas</t>
  </si>
  <si>
    <t>HT-20</t>
  </si>
  <si>
    <t>Calidad, rendimiento y validación SUS</t>
  </si>
  <si>
    <t>Medir P95, usabilidad SUS, disponibilidad, fiabilidad, seguridad y evidencia de resultados.</t>
  </si>
  <si>
    <t>HU-23, HU-24</t>
  </si>
  <si>
    <t>RNF ISO/IEC 25010, SUS</t>
  </si>
  <si>
    <t>Orden</t>
  </si>
  <si>
    <t>Épica/Módulo</t>
  </si>
  <si>
    <t>HU</t>
  </si>
  <si>
    <t>Descripción resumida</t>
  </si>
  <si>
    <t>Criterio de terminado</t>
  </si>
  <si>
    <t>CU</t>
  </si>
  <si>
    <t>RF</t>
  </si>
  <si>
    <t>Estado</t>
  </si>
  <si>
    <t>Obra móvil - avance</t>
  </si>
  <si>
    <t>Pendiente</t>
  </si>
  <si>
    <t>Obra móvil - evidencia y offline</t>
  </si>
  <si>
    <t>Inventario</t>
  </si>
  <si>
    <t>Contabilidad</t>
  </si>
  <si>
    <t>Planillas PDF</t>
  </si>
  <si>
    <t>Proyectos y control de acceso</t>
  </si>
  <si>
    <t>Parametrización y catálogos</t>
  </si>
  <si>
    <t>Seguridad base y usuarios</t>
  </si>
  <si>
    <t>Reportes y auditoría</t>
  </si>
  <si>
    <t>Sprint</t>
  </si>
  <si>
    <t>Semana</t>
  </si>
  <si>
    <t>Día</t>
  </si>
  <si>
    <t>Actividad Detallada</t>
  </si>
  <si>
    <t>Criterios de Aceptación</t>
  </si>
  <si>
    <t>Tipo/Número</t>
  </si>
  <si>
    <t>Módulo/Tema</t>
  </si>
  <si>
    <t>Horas</t>
  </si>
  <si>
    <t>Configuración de entorno Node.js, React y PostgreSQL. Configuración de CI/CD (GitHub Actions).</t>
  </si>
  <si>
    <t>Pipeline de CI/CD funcional y entornos locales/dev listos.</t>
  </si>
  <si>
    <t>Arquitectura y Seguridad Base</t>
  </si>
  <si>
    <t>Diseño de Arquitectura por Capas (Dominio, Aplicación, Infraestructura).</t>
  </si>
  <si>
    <t>Estructura de carpetas en Node.js separa claramente la lógica de negocio.</t>
  </si>
  <si>
    <t>Diseño UI/UX en Figma: Pantalla de Login y Dashboard base.</t>
  </si>
  <si>
    <t>Prototipos en Figma validados para web y móvil.</t>
  </si>
  <si>
    <t>Implementación del Esquema Relacional en PostgreSQL con integridad referencial.</t>
  </si>
  <si>
    <t>Tablas principales creadas con FKs y restricciones de integridad.</t>
  </si>
  <si>
    <t>Desarrollo de Autenticación JWT y Cifrado de contraseñas con Bcrypt.</t>
  </si>
  <si>
    <t>Login funcional, tokens seguros y contraseñas cifradas en BD.</t>
  </si>
  <si>
    <t>Desarrollo de Middleware de Autorización por Roles (RBAC) en Node.js.</t>
  </si>
  <si>
    <t>Acceso restringido según rol (Presidente, Contador, Residente, etc.).</t>
  </si>
  <si>
    <t>Gestión de Usuarios y Auditoría</t>
  </si>
  <si>
    <t>Implementación de la Tabla de Auditoría Inmutable.</t>
  </si>
  <si>
    <t>Toda acción CUD registra ID, fecha, IP y acción.</t>
  </si>
  <si>
    <t>RNF-02</t>
  </si>
  <si>
    <t>Interfaz de Gestión de Usuarios y Asignación de Roles en React.</t>
  </si>
  <si>
    <t>Administrador puede crear usuarios y asignar roles dinámicamente.</t>
  </si>
  <si>
    <t>Implementación de Control de Acceso por Proyecto y Fecha.</t>
  </si>
  <si>
    <t>Middleware valida token contra ID de proyecto y rango de fechas.</t>
  </si>
  <si>
    <t>Pruebas de Seguridad y Validación de Token JWT.</t>
  </si>
  <si>
    <t>Retorno de error 403 Forbidden ante accesos no autorizados.</t>
  </si>
  <si>
    <t>RF-08</t>
  </si>
  <si>
    <t>Diseño e interfaz para Creación de Proyectos y Catálogos.</t>
  </si>
  <si>
    <t>Formularios web para administración de proyectos activos.</t>
  </si>
  <si>
    <t>Configuración y Carga Masiva</t>
  </si>
  <si>
    <t>Desarrollo de lógica de Carga Masiva de Rubros vía CSV hasta 1000 ítems.</t>
  </si>
  <si>
    <t>Parser de CSV con validación de cabeceras y tipos de datos.</t>
  </si>
  <si>
    <t>Implementación de Transaccionalidad (Rollback) en carga masiva.</t>
  </si>
  <si>
    <t>Si falla una fila, se revierte toda la inserción e indica el error.</t>
  </si>
  <si>
    <t>RF-07</t>
  </si>
  <si>
    <t>Interfaz de visualización y edición de rubros cargados.</t>
  </si>
  <si>
    <t>Lista de rubros con búsqueda y paginación funcional.</t>
  </si>
  <si>
    <t>Pruebas de rendimiento en carga masiva y validación de integridad.</t>
  </si>
  <si>
    <t>Carga de 1000 rubros procesada sin errores de consistencia.</t>
  </si>
  <si>
    <t>Diseño de Interfaz Móvil para Registro de Avance (enfoque en campo).</t>
  </si>
  <si>
    <t>Diseño optimizado para uso rápido en dispositivos móviles.</t>
  </si>
  <si>
    <t>Módulo Obra - Avance Físico</t>
  </si>
  <si>
    <t>Desarrollo de API para Registro de Avance Físico por Rubro.</t>
  </si>
  <si>
    <t>Endpoint recibe cantidad, valida ID Proyecto/Rubro y presupuesto.</t>
  </si>
  <si>
    <t>RF-01</t>
  </si>
  <si>
    <t>Implementación de Validación de Presupuesto Central.</t>
  </si>
  <si>
    <t>Bloqueo de avance si supera presupuesto; alerta de Orden de Cambio.</t>
  </si>
  <si>
    <t>Desarrollo de Almacenamiento Local (IndexedDB/SQLite) para modo Offline.</t>
  </si>
  <si>
    <t>Datos guardados localmente si no hay red.</t>
  </si>
  <si>
    <t>RNF-04</t>
  </si>
  <si>
    <t>Lógica de Sincronización Automática en Segundo Plano.</t>
  </si>
  <si>
    <t>Sincronización al detectar red estable sin intervención manual.</t>
  </si>
  <si>
    <t>Regularizar autenticación, sesión y RBAC; asegurar expiración de sesión, cierre de sesión y respuestas 401/403.</t>
  </si>
  <si>
    <t>Login, cierre, expiración y permisos por rol funcionan; accesos no autorizados retornan 401/403 según corresponda.</t>
  </si>
  <si>
    <t>HU-19 / HT-02</t>
  </si>
  <si>
    <t>Seguridad, sesión y RBAC</t>
  </si>
  <si>
    <t>Completar gestión de usuarios, roles y permisos; bloquear duplicados y desactivación del único Administrador activo.</t>
  </si>
  <si>
    <t>Administrador gestiona usuarios/roles; no se permiten duplicados ni pérdida del único administrador activo.</t>
  </si>
  <si>
    <t>HU-25 / CU-12</t>
  </si>
  <si>
    <t>Usuarios, roles y permisos</t>
  </si>
  <si>
    <t>Completar asignación usuario-proyecto-vigencia y aplicar la restricción en módulos críticos de obra e inventario.</t>
  </si>
  <si>
    <t>Usuarios solo acceden a proyectos asignados y vigentes; fuera de proyecto o fecha se retorna 403 Forbidden.</t>
  </si>
  <si>
    <t>HU-17 / HU-18 / HU-21</t>
  </si>
  <si>
    <t>Acceso por proyecto y vigencia</t>
  </si>
  <si>
    <t>Implementar captura desde cámara/galería, compresión JPG/PNG menor a 5 MB y evidencia obligatoria asociada al avance.</t>
  </si>
  <si>
    <t>La evidencia válida queda asociada a avance, rubro, proyecto y usuario; formatos o tamaños inválidos se rechazan.</t>
  </si>
  <si>
    <t>HU-03 / HU-04 / HT-06</t>
  </si>
  <si>
    <t>Obra móvil - Evidencia fotográfica</t>
  </si>
  <si>
    <t>Integrar StorageService y sincronización de evidencias pendientes; probar continuidad avance-evidencia-acceso.</t>
  </si>
  <si>
    <t>Evidencias se guardan en StorageService o localmente; estados pendiente, sincronizado y error son visibles.</t>
  </si>
  <si>
    <t>HU-03 / HU-04 / HU-22</t>
  </si>
  <si>
    <t>StorageService y sincronización móvil</t>
  </si>
  <si>
    <t>Implementar catálogo de materiales: crear, editar, activar y desactivar; evitar uso de materiales inactivos.</t>
  </si>
  <si>
    <t>Materiales vigentes quedan disponibles para compras/consumos; materiales inactivos no se seleccionan y conservan historial.</t>
  </si>
  <si>
    <t>Configuración - Catálogo de materiales</t>
  </si>
  <si>
    <t>Actualizar gestión de proyectos: edición, activación y desactivación sin pérdida de historial operativo.</t>
  </si>
  <si>
    <t>Proyecto inactivo bloquea nuevas operaciones sin eliminar rubros, inventario, avances, consumos o cierres previos.</t>
  </si>
  <si>
    <t>HU-20 / HU-15</t>
  </si>
  <si>
    <t>Configuración - Proyectos</t>
  </si>
  <si>
    <t>Desarrollar formulario y API de requerimientos con catálogo vigente, cantidades enteras positivas y justificación obligatoria.</t>
  </si>
  <si>
    <t>Requerimiento válido queda En Revisión; campos incompletos, materiales inválidos o cantidades incorrectas se bloquean.</t>
  </si>
  <si>
    <t>HU-05 / HT-08</t>
  </si>
  <si>
    <t>Compras - Requerimientos</t>
  </si>
  <si>
    <t>Implementar NotificationService para requerimientos nuevos y preparar bandeja gerencial de revisión.</t>
  </si>
  <si>
    <t>Presidente/Gerente recibe alerta y visualiza requerimientos pendientes según permisos.</t>
  </si>
  <si>
    <t>HU-05 / HU-06 / NotificationService</t>
  </si>
  <si>
    <t>Compras - Notificaciones</t>
  </si>
  <si>
    <t>Pruebas integradas de creación de requerimientos, catálogo, permisos y auditoría.</t>
  </si>
  <si>
    <t>Creación en estado En Revisión, notificación y audit_log quedan verificados con datos persistidos.</t>
  </si>
  <si>
    <t>HU-05 / HU-24 / HU-26</t>
  </si>
  <si>
    <t>Compras - Pruebas de flujo base</t>
  </si>
  <si>
    <t>Implementar bandeja de revisión gerencial y detalle del requerimiento por proyecto y solicitante.</t>
  </si>
  <si>
    <t>Presidente/Gerente visualiza solicitudes autorizadas con materiales, cantidades, justificación y estado.</t>
  </si>
  <si>
    <t>HU-06 / HU-07</t>
  </si>
  <si>
    <t>Compras - Revisión gerencial</t>
  </si>
  <si>
    <t>Implementar aprobación y rechazo con comentario obligatorio, cambio de estado y notificación al creador.</t>
  </si>
  <si>
    <t>Aprobación cambia a Aprobado; rechazo exige comentario, cambia a Rechazado y notifica al solicitante.</t>
  </si>
  <si>
    <t>HU-06 / HU-07 / NotificationService</t>
  </si>
  <si>
    <t>Compras - Aprobación/Rechazo</t>
  </si>
  <si>
    <t>Integrar requerimientos aprobados con recepción de materiales y bloquear reprocesamiento de estados finales.</t>
  </si>
  <si>
    <t>Solo requerimientos aprobados quedan disponibles para recepción; aprobados/rechazados no se reprocesan indebidamente.</t>
  </si>
  <si>
    <t>HU-06 / HU-08</t>
  </si>
  <si>
    <t>Compras e inventario - Integración</t>
  </si>
  <si>
    <t>Ajustar validación de presupuesto de avance y orden de cambio aprobada como condición para excedentes.</t>
  </si>
  <si>
    <t>Avance excedente sin orden aprobada se bloquea; con orden aprobada vigente se permite dentro del nuevo límite.</t>
  </si>
  <si>
    <t>HU-02 / HT-05</t>
  </si>
  <si>
    <t>Obra - Control presupuestario</t>
  </si>
  <si>
    <t>Pruebas E2E de compras, aprobación/rechazo, control presupuestario y trazabilidad.</t>
  </si>
  <si>
    <t>Ciclo de creación, decisión, notificación, presupuesto y auditoría queda registrado correctamente en BD.</t>
  </si>
  <si>
    <t>HU-02 / HU-05 / HU-06 / HU-07 / HU-24</t>
  </si>
  <si>
    <t>Compras - Pruebas E2E</t>
  </si>
  <si>
    <t>Actualizar interfaz del Bodeguero para recepción y movimientos por proyecto.</t>
  </si>
  <si>
    <t>Bodeguero ve requerimientos aprobados y movimientos filtrados por proyecto autorizado.</t>
  </si>
  <si>
    <t>HU-08 / HU-10</t>
  </si>
  <si>
    <t>Inventario - Recepción y movimientos</t>
  </si>
  <si>
    <t>Implementar recepción transaccional, incremento de stock y movimiento de ingreso.</t>
  </si>
  <si>
    <t>Recepción válida actualiza stock del proyecto y genera movimiento de inventario tipo Ingreso.</t>
  </si>
  <si>
    <t>HU-08 / HT-10</t>
  </si>
  <si>
    <t>Inventario - Recepción transaccional</t>
  </si>
  <si>
    <t>Implementar bloqueo por requerimiento no aprobado y alerta de Excedente de recepción.</t>
  </si>
  <si>
    <t>Recepciones sobre requerimientos no aprobados o cantidades excedentes se bloquean con alerta clara.</t>
  </si>
  <si>
    <t>Inventario - Validaciones de recepción</t>
  </si>
  <si>
    <t>Implementar consulta de inventario con saldos, entradas, salidas y última sincronización disponible.</t>
  </si>
  <si>
    <t>Inventario por proyecto muestra saldo correcto, detalle de movimientos y diferencia movimientos pendientes.</t>
  </si>
  <si>
    <t>HU-10 / HU-22</t>
  </si>
  <si>
    <t>Inventario - Consulta de stock</t>
  </si>
  <si>
    <t>Pruebas de recepción, movimientos, stock y auditoría transaccional.</t>
  </si>
  <si>
    <t>Errores revierten la operación; stock no se altera parcialmente y audit_log registra la recepción.</t>
  </si>
  <si>
    <t>HU-08 / HU-10 / HU-24</t>
  </si>
  <si>
    <t>Inventario - Pruebas de recepción</t>
  </si>
  <si>
    <t>Actualizar interfaz móvil de consumo de materiales con selección desde inventario del proyecto.</t>
  </si>
  <si>
    <t>Residente consume solo materiales del proyecto autorizado y vigente.</t>
  </si>
  <si>
    <t>HU-09 / HU-10</t>
  </si>
  <si>
    <t>Inventario - Consumo en obra</t>
  </si>
  <si>
    <t>Implementar descuento transaccional de stock y movimiento de salida por consumo.</t>
  </si>
  <si>
    <t>Consumo válido descuenta stock y genera movimiento de inventario tipo Salida.</t>
  </si>
  <si>
    <t>HU-09 / HT-11</t>
  </si>
  <si>
    <t>Inventario - Descuento de stock</t>
  </si>
  <si>
    <t>Implementar bloqueo por stock insuficiente, conflicto de stock y materiales de otro proyecto.</t>
  </si>
  <si>
    <t>Consumos sin stock, sobre material ajeno o con conflicto son rechazados sin afectar inventario.</t>
  </si>
  <si>
    <t>Inventario - Validaciones de consumo</t>
  </si>
  <si>
    <t>Completar cola offline para avances, consumos y evidencias con reintentos y prevención de duplicados.</t>
  </si>
  <si>
    <t>Sync Manager procesa pendientes; estados pendiente, sincronizado y error se actualizan sin duplicar operaciones.</t>
  </si>
  <si>
    <t>HU-22 / RF-1.9</t>
  </si>
  <si>
    <t>Obra móvil - Offline y sincronización</t>
  </si>
  <si>
    <t>Pruebas integradas de consumo, inventario final, offline/sync y trazabilidad.</t>
  </si>
  <si>
    <t>Stock nunca queda negativo; sincronización conserva relaciones y audit_log registra la operación.</t>
  </si>
  <si>
    <t>HU-09 / HU-10 / HU-22 / HU-24</t>
  </si>
  <si>
    <t>Inventario - Pruebas integradas</t>
  </si>
  <si>
    <t>Implementar consolidación mensual por proyecto y periodo con avances, compras, recepciones, consumos e inventario.</t>
  </si>
  <si>
    <t>Resumen contable-operativo muestra datos completos del periodo seleccionado.</t>
  </si>
  <si>
    <t>Contabilidad - Consolidación mensual</t>
  </si>
  <si>
    <t>Validar pendientes, inconsistencias y operaciones no sincronizadas antes del cierre.</t>
  </si>
  <si>
    <t>Cierre se bloquea si hay transacciones pendientes, inconsistencias u operaciones móviles sin sincronizar.</t>
  </si>
  <si>
    <t>HU-11 / HU-12 / HU-22</t>
  </si>
  <si>
    <t>Contabilidad - Validaciones previas</t>
  </si>
  <si>
    <t>Implementar cierre mensual, bloqueo de registros cerrados y hash de integridad.</t>
  </si>
  <si>
    <t>Periodo queda Cerrado; registros del periodo no se editan y se almacena hash de integridad.</t>
  </si>
  <si>
    <t>HU-12 / HT-13</t>
  </si>
  <si>
    <t>Contabilidad - Cierre con integridad</t>
  </si>
  <si>
    <t>Implementar módulo de consulta de auditoría con filtros por usuario, proyecto, módulo, operación y fecha.</t>
  </si>
  <si>
    <t>Eventos críticos son consultables; audit_log permanece inmutable y exportable según rol.</t>
  </si>
  <si>
    <t>HU-24 / AuditService</t>
  </si>
  <si>
    <t>Auditoría y trazabilidad</t>
  </si>
  <si>
    <t>Pruebas de cierre, inmutabilidad, reversión ante falla y auditoría.</t>
  </si>
  <si>
    <t>Cierre revierte ante error; hash, bloqueo posterior y audit_log quedan verificados.</t>
  </si>
  <si>
    <t>HU-11 / HU-12 / HU-24</t>
  </si>
  <si>
    <t>Contabilidad - Pruebas de cierre</t>
  </si>
  <si>
    <t>Implementar generación de planilla PDF con cierre, avances, cálculos económicos y evidencias fotográficas.</t>
  </si>
  <si>
    <t>PDF se genera solo para periodos cerrados e incluye datos técnicos, económicos y anexos.</t>
  </si>
  <si>
    <t>HU-13 / RF-1.6</t>
  </si>
  <si>
    <t>Implementar QueueService, StorageService y NotificationService para planillas pesadas.</t>
  </si>
  <si>
    <t>Solicitudes extensas se procesan en cola, se almacenan y notifican al usuario al finalizar o fallar.</t>
  </si>
  <si>
    <t>HU-13 / HT-15</t>
  </si>
  <si>
    <t>Planillas - Procesamiento diferido</t>
  </si>
  <si>
    <t>Implementar consulta/descarga de planillas y dashboards gerenciales por proyecto y periodo.</t>
  </si>
  <si>
    <t>Planillas disponibles se descargan; dashboards muestran indicadores autorizados por rol y proyecto.</t>
  </si>
  <si>
    <t>HU-14 / HU-23</t>
  </si>
  <si>
    <t>Reportes y dashboards</t>
  </si>
  <si>
    <t>Ejecutar pruebas SUS, rendimiento P95, portabilidad y seguridad final.</t>
  </si>
  <si>
    <t>SUS documentado, P95 menor a 2 segundos en consultas clave, 401/403 y compatibilidad verificados.</t>
  </si>
  <si>
    <t>RNF-01 / RNF-06 / RNF-07</t>
  </si>
  <si>
    <t>Validación y RNF</t>
  </si>
  <si>
    <t>Corrección final, documentación de evidencias, actualización de matriz CU-HU-HT y despliegue Docker Compose.</t>
  </si>
  <si>
    <t>Evidencias, matriz de trazabilidad y despliegue reproducible quedan listos para entrega final.</t>
  </si>
  <si>
    <t>CU-HU-HT / RNF-06</t>
  </si>
  <si>
    <t>Cierre técnico y académico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</si>
</sst>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name val="Carlito"/>
    </font>
  </fonts>
  <fills count="6">
    <fill>
      <patternFill patternType="none"/>
    </fill>
    <fill>
      <patternFill patternType="gray125"/>
    </fill>
    <fill>
      <patternFill patternType="solid">
        <fgColor rgb="FFEAF4FF"/>
      </patternFill>
    </fill>
    <fill>
      <patternFill patternType="solid">
        <fgColor rgb="FFD9EAF7"/>
      </patternFill>
    </fill>
    <fill>
      <patternFill patternType="solid">
        <fgColor rgb="FFE2F0D9"/>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wrapText="1"/>
    </xf>
    <xf numFmtId="0" fontId="0" fillId="0" borderId="0" xfId="0" applyAlignment="1">
      <alignment wrapText="1"/>
    </xf>
    <xf numFmtId="0" fontId="1" fillId="3" borderId="0" xfId="0" applyFont="1" applyFill="1" applyAlignment="1">
      <alignment wrapText="1"/>
    </xf>
    <xf numFmtId="0" fontId="1" fillId="4" borderId="0" xfId="0" applyFont="1" applyFill="1" applyAlignment="1">
      <alignment wrapText="1"/>
    </xf>
    <xf numFmtId="1" fontId="0" fillId="0" borderId="0" xfId="0" applyNumberFormat="1" applyAlignment="1">
      <alignment wrapText="1"/>
    </xf>
    <xf numFmtId="0" fontId="1" fillId="5" borderId="0" xfId="0" applyFont="1" applyFill="1" applyAlignment="1">
      <alignment vertical="top" wrapText="1"/>
    </xf>
  </cellXfs>
  <cellStyles count="1">
    <cellStyle name="Normal" xfId="0" builtinId="0"/>
  </cellStyles>
  <dxfs count="4">
    <dxf>
      <font>
        <b/>
        <color rgb="FF7F6000"/>
      </font>
      <fill>
        <patternFill patternType="solid">
          <bgColor rgb="FFFFF2CC"/>
        </patternFill>
      </fill>
    </dxf>
    <dxf>
      <font>
        <b/>
        <color rgb="FF166534"/>
      </font>
      <fill>
        <patternFill patternType="solid">
          <bgColor rgb="FFE2F0D9"/>
        </patternFill>
      </fill>
    </dxf>
    <dxf>
      <font>
        <b/>
        <color rgb="FF166534"/>
      </font>
      <fill>
        <patternFill patternType="solid">
          <bgColor rgb="FFE2F0D9"/>
        </patternFill>
      </fill>
    </dxf>
    <dxf>
      <font>
        <b/>
        <color rgb="FF166534"/>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topLeftCell="A6" workbookViewId="0">
      <selection activeCell="A18" sqref="A18:XFD18"/>
    </sheetView>
  </sheetViews>
  <sheetFormatPr baseColWidth="10" defaultColWidth="9" defaultRowHeight="14.25"/>
  <cols>
    <col min="1" max="1" width="26" customWidth="1"/>
    <col min="2" max="2" width="64" customWidth="1"/>
    <col min="3" max="3" width="28" customWidth="1"/>
    <col min="4" max="4" width="52" customWidth="1"/>
  </cols>
  <sheetData>
    <row r="1" spans="1:4" ht="33.950000000000003" customHeight="1">
      <c r="A1" s="1" t="s">
        <v>0</v>
      </c>
      <c r="B1" s="1"/>
      <c r="C1" s="1"/>
      <c r="D1" s="1"/>
    </row>
    <row r="2" spans="1:4" ht="39.75" customHeight="1">
      <c r="A2" s="2" t="s">
        <v>1</v>
      </c>
      <c r="B2" s="2" t="s">
        <v>2</v>
      </c>
      <c r="C2" s="2"/>
      <c r="D2" s="2"/>
    </row>
    <row r="3" spans="1:4" ht="39.75" customHeight="1">
      <c r="A3" s="2" t="s">
        <v>3</v>
      </c>
      <c r="B3" s="2" t="s">
        <v>4</v>
      </c>
      <c r="C3" s="2"/>
      <c r="D3" s="2"/>
    </row>
    <row r="4" spans="1:4" ht="24" customHeight="1">
      <c r="A4" s="2"/>
      <c r="B4" s="2"/>
      <c r="C4" s="2"/>
      <c r="D4" s="2"/>
    </row>
    <row r="5" spans="1:4" ht="24" customHeight="1">
      <c r="A5" s="3" t="s">
        <v>5</v>
      </c>
      <c r="B5" s="3" t="s">
        <v>6</v>
      </c>
      <c r="C5" s="3" t="s">
        <v>7</v>
      </c>
      <c r="D5" s="3" t="s">
        <v>8</v>
      </c>
    </row>
    <row r="6" spans="1:4" ht="24" customHeight="1">
      <c r="A6" s="2" t="s">
        <v>9</v>
      </c>
      <c r="B6" s="2">
        <f>COUNTA('Historias de Usuario'!A2:A27)</f>
        <v>26</v>
      </c>
      <c r="C6" s="2" t="s">
        <v>10</v>
      </c>
      <c r="D6" s="2" t="s">
        <v>11</v>
      </c>
    </row>
    <row r="7" spans="1:4" ht="24" customHeight="1">
      <c r="A7" s="2" t="s">
        <v>12</v>
      </c>
      <c r="B7" s="2">
        <v>18</v>
      </c>
      <c r="C7" s="2" t="s">
        <v>13</v>
      </c>
      <c r="D7" s="2" t="s">
        <v>14</v>
      </c>
    </row>
    <row r="8" spans="1:4" ht="24" customHeight="1">
      <c r="A8" s="2" t="s">
        <v>15</v>
      </c>
      <c r="B8" s="2">
        <v>8</v>
      </c>
      <c r="C8" s="2" t="s">
        <v>16</v>
      </c>
      <c r="D8" s="2" t="s">
        <v>17</v>
      </c>
    </row>
    <row r="9" spans="1:4" ht="24" customHeight="1">
      <c r="A9" s="2" t="s">
        <v>18</v>
      </c>
      <c r="B9" s="2">
        <f>SUM('Historias de Usuario'!H2:H27)</f>
        <v>242</v>
      </c>
      <c r="C9" s="2" t="s">
        <v>10</v>
      </c>
      <c r="D9" s="2" t="s">
        <v>19</v>
      </c>
    </row>
    <row r="10" spans="1:4" ht="24" customHeight="1">
      <c r="A10" s="2" t="s">
        <v>20</v>
      </c>
      <c r="B10" s="2">
        <v>13</v>
      </c>
      <c r="C10" s="2" t="s">
        <v>21</v>
      </c>
      <c r="D10" s="2" t="s">
        <v>22</v>
      </c>
    </row>
    <row r="11" spans="1:4" ht="24" customHeight="1">
      <c r="A11" s="2" t="s">
        <v>23</v>
      </c>
      <c r="B11" s="2">
        <f>COUNTIF('Historias de Usuario'!I2:I27,"Alta/Esencial")</f>
        <v>26</v>
      </c>
      <c r="C11" s="2" t="s">
        <v>10</v>
      </c>
      <c r="D11" s="2" t="s">
        <v>24</v>
      </c>
    </row>
    <row r="12" spans="1:4" ht="24" customHeight="1">
      <c r="A12" s="2" t="s">
        <v>25</v>
      </c>
      <c r="B12" s="2">
        <f>COUNTA('Product Backlog'!A2:A27)</f>
        <v>26</v>
      </c>
      <c r="C12" s="2" t="s">
        <v>26</v>
      </c>
      <c r="D12" s="2" t="s">
        <v>27</v>
      </c>
    </row>
    <row r="13" spans="1:4" ht="24" customHeight="1">
      <c r="A13" s="2"/>
      <c r="B13" s="2"/>
      <c r="C13" s="2"/>
      <c r="D13" s="2"/>
    </row>
    <row r="14" spans="1:4" ht="24" customHeight="1">
      <c r="A14" s="4" t="s">
        <v>28</v>
      </c>
      <c r="B14" s="4"/>
      <c r="C14" s="4"/>
      <c r="D14" s="4"/>
    </row>
    <row r="15" spans="1:4" ht="44.25" customHeight="1">
      <c r="A15" s="2" t="s">
        <v>29</v>
      </c>
      <c r="B15" s="2" t="s">
        <v>30</v>
      </c>
      <c r="C15" s="2"/>
      <c r="D15" s="2"/>
    </row>
    <row r="16" spans="1:4" ht="40.5" customHeight="1">
      <c r="A16" s="2" t="s">
        <v>31</v>
      </c>
      <c r="B16" s="2" t="s">
        <v>32</v>
      </c>
      <c r="C16" s="2"/>
      <c r="D16" s="2"/>
    </row>
    <row r="17" spans="1:4" ht="45" customHeight="1">
      <c r="A17" s="2" t="s">
        <v>33</v>
      </c>
      <c r="B17" s="2" t="s">
        <v>34</v>
      </c>
      <c r="C17" s="2"/>
      <c r="D17" s="2"/>
    </row>
    <row r="18" spans="1:4" ht="41.25" customHeight="1">
      <c r="A18" s="2" t="s">
        <v>35</v>
      </c>
      <c r="B18" s="2" t="s">
        <v>36</v>
      </c>
      <c r="C18" s="2"/>
      <c r="D18" s="2"/>
    </row>
    <row r="19" spans="1:4" ht="51.75" customHeight="1">
      <c r="A19" s="2" t="s">
        <v>37</v>
      </c>
      <c r="B19" s="2" t="s">
        <v>38</v>
      </c>
      <c r="C19" s="2"/>
      <c r="D19"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7"/>
  <sheetViews>
    <sheetView topLeftCell="A9" workbookViewId="0"/>
  </sheetViews>
  <sheetFormatPr baseColWidth="10" defaultColWidth="9" defaultRowHeight="14.25"/>
  <cols>
    <col min="1" max="1" width="10" customWidth="1"/>
    <col min="2" max="2" width="32" customWidth="1"/>
    <col min="3" max="3" width="52" customWidth="1"/>
    <col min="4" max="4" width="58" customWidth="1"/>
    <col min="5" max="6" width="48" customWidth="1"/>
    <col min="7" max="7" width="38" customWidth="1"/>
    <col min="8" max="8" width="12" customWidth="1"/>
    <col min="9" max="9" width="18" customWidth="1"/>
    <col min="10" max="11" width="16" customWidth="1"/>
    <col min="12" max="12" width="26" customWidth="1"/>
  </cols>
  <sheetData>
    <row r="1" spans="1:12" ht="27.95" customHeight="1">
      <c r="A1" s="3" t="s">
        <v>39</v>
      </c>
      <c r="B1" s="3" t="s">
        <v>40</v>
      </c>
      <c r="C1" s="3" t="s">
        <v>41</v>
      </c>
      <c r="D1" s="3" t="s">
        <v>42</v>
      </c>
      <c r="E1" s="3" t="s">
        <v>43</v>
      </c>
      <c r="F1" s="3" t="s">
        <v>44</v>
      </c>
      <c r="G1" s="3" t="s">
        <v>45</v>
      </c>
      <c r="H1" s="3" t="s">
        <v>46</v>
      </c>
      <c r="I1" s="3" t="s">
        <v>47</v>
      </c>
      <c r="J1" s="3" t="s">
        <v>48</v>
      </c>
      <c r="K1" s="3" t="s">
        <v>49</v>
      </c>
      <c r="L1" s="3" t="s">
        <v>50</v>
      </c>
    </row>
    <row r="2" spans="1:12" ht="50.1" customHeight="1">
      <c r="A2" s="2" t="s">
        <v>51</v>
      </c>
      <c r="B2" s="2" t="s">
        <v>52</v>
      </c>
      <c r="C2" s="2" t="s">
        <v>53</v>
      </c>
      <c r="D2" s="2" t="s">
        <v>54</v>
      </c>
      <c r="E2" s="2" t="s">
        <v>55</v>
      </c>
      <c r="F2" s="2" t="s">
        <v>56</v>
      </c>
      <c r="G2" s="2" t="s">
        <v>57</v>
      </c>
      <c r="H2" s="5">
        <v>16</v>
      </c>
      <c r="I2" s="2" t="s">
        <v>58</v>
      </c>
      <c r="J2" s="2" t="s">
        <v>59</v>
      </c>
      <c r="K2" s="2" t="s">
        <v>60</v>
      </c>
      <c r="L2" s="2" t="s">
        <v>61</v>
      </c>
    </row>
    <row r="3" spans="1:12" ht="50.1" customHeight="1">
      <c r="A3" s="2" t="s">
        <v>62</v>
      </c>
      <c r="B3" s="2" t="s">
        <v>63</v>
      </c>
      <c r="C3" s="2" t="s">
        <v>64</v>
      </c>
      <c r="D3" s="2" t="s">
        <v>65</v>
      </c>
      <c r="E3" s="2" t="s">
        <v>66</v>
      </c>
      <c r="F3" s="2" t="s">
        <v>67</v>
      </c>
      <c r="G3" s="2" t="s">
        <v>51</v>
      </c>
      <c r="H3" s="5">
        <v>12</v>
      </c>
      <c r="I3" s="2" t="s">
        <v>58</v>
      </c>
      <c r="J3" s="2" t="s">
        <v>59</v>
      </c>
      <c r="K3" s="2" t="s">
        <v>60</v>
      </c>
      <c r="L3" s="2" t="s">
        <v>68</v>
      </c>
    </row>
    <row r="4" spans="1:12" ht="50.1" customHeight="1">
      <c r="A4" s="2" t="s">
        <v>69</v>
      </c>
      <c r="B4" s="2" t="s">
        <v>70</v>
      </c>
      <c r="C4" s="2" t="s">
        <v>71</v>
      </c>
      <c r="D4" s="2" t="s">
        <v>72</v>
      </c>
      <c r="E4" s="2" t="s">
        <v>73</v>
      </c>
      <c r="F4" s="2" t="s">
        <v>74</v>
      </c>
      <c r="G4" s="2" t="s">
        <v>75</v>
      </c>
      <c r="H4" s="5">
        <v>15</v>
      </c>
      <c r="I4" s="2" t="s">
        <v>58</v>
      </c>
      <c r="J4" s="2" t="s">
        <v>76</v>
      </c>
      <c r="K4" s="2" t="s">
        <v>77</v>
      </c>
      <c r="L4" s="2" t="s">
        <v>78</v>
      </c>
    </row>
    <row r="5" spans="1:12" ht="50.1" customHeight="1">
      <c r="A5" s="2" t="s">
        <v>79</v>
      </c>
      <c r="B5" s="2" t="s">
        <v>80</v>
      </c>
      <c r="C5" s="2" t="s">
        <v>81</v>
      </c>
      <c r="D5" s="2" t="s">
        <v>82</v>
      </c>
      <c r="E5" s="2" t="s">
        <v>83</v>
      </c>
      <c r="F5" s="2" t="s">
        <v>84</v>
      </c>
      <c r="G5" s="2" t="s">
        <v>85</v>
      </c>
      <c r="H5" s="5">
        <v>8</v>
      </c>
      <c r="I5" s="2" t="s">
        <v>58</v>
      </c>
      <c r="J5" s="2" t="s">
        <v>76</v>
      </c>
      <c r="K5" s="2" t="s">
        <v>77</v>
      </c>
      <c r="L5" s="2" t="s">
        <v>78</v>
      </c>
    </row>
    <row r="6" spans="1:12" ht="50.1" customHeight="1">
      <c r="A6" s="2" t="s">
        <v>86</v>
      </c>
      <c r="B6" s="2" t="s">
        <v>87</v>
      </c>
      <c r="C6" s="2" t="s">
        <v>88</v>
      </c>
      <c r="D6" s="2" t="s">
        <v>89</v>
      </c>
      <c r="E6" s="2" t="s">
        <v>90</v>
      </c>
      <c r="F6" s="2" t="s">
        <v>91</v>
      </c>
      <c r="G6" s="2" t="s">
        <v>92</v>
      </c>
      <c r="H6" s="5">
        <v>10</v>
      </c>
      <c r="I6" s="2" t="s">
        <v>58</v>
      </c>
      <c r="J6" s="2" t="s">
        <v>93</v>
      </c>
      <c r="K6" s="2" t="s">
        <v>94</v>
      </c>
      <c r="L6" s="2" t="s">
        <v>95</v>
      </c>
    </row>
    <row r="7" spans="1:12" ht="50.1" customHeight="1">
      <c r="A7" s="2" t="s">
        <v>96</v>
      </c>
      <c r="B7" s="2" t="s">
        <v>97</v>
      </c>
      <c r="C7" s="2" t="s">
        <v>98</v>
      </c>
      <c r="D7" s="2" t="s">
        <v>99</v>
      </c>
      <c r="E7" s="2" t="s">
        <v>100</v>
      </c>
      <c r="F7" s="2" t="s">
        <v>101</v>
      </c>
      <c r="G7" s="2" t="s">
        <v>102</v>
      </c>
      <c r="H7" s="5">
        <v>8</v>
      </c>
      <c r="I7" s="2" t="s">
        <v>58</v>
      </c>
      <c r="J7" s="2" t="s">
        <v>93</v>
      </c>
      <c r="K7" s="2" t="s">
        <v>94</v>
      </c>
      <c r="L7" s="2" t="s">
        <v>103</v>
      </c>
    </row>
    <row r="8" spans="1:12" ht="50.1" customHeight="1">
      <c r="A8" s="2" t="s">
        <v>104</v>
      </c>
      <c r="B8" s="2" t="s">
        <v>105</v>
      </c>
      <c r="C8" s="2" t="s">
        <v>106</v>
      </c>
      <c r="D8" s="2" t="s">
        <v>107</v>
      </c>
      <c r="E8" s="2" t="s">
        <v>108</v>
      </c>
      <c r="F8" s="2" t="s">
        <v>109</v>
      </c>
      <c r="G8" s="2" t="s">
        <v>110</v>
      </c>
      <c r="H8" s="5">
        <v>6</v>
      </c>
      <c r="I8" s="2" t="s">
        <v>58</v>
      </c>
      <c r="J8" s="2" t="s">
        <v>93</v>
      </c>
      <c r="K8" s="2" t="s">
        <v>94</v>
      </c>
      <c r="L8" s="2" t="s">
        <v>103</v>
      </c>
    </row>
    <row r="9" spans="1:12" ht="50.1" customHeight="1">
      <c r="A9" s="2" t="s">
        <v>111</v>
      </c>
      <c r="B9" s="2" t="s">
        <v>112</v>
      </c>
      <c r="C9" s="2" t="s">
        <v>113</v>
      </c>
      <c r="D9" s="2" t="s">
        <v>114</v>
      </c>
      <c r="E9" s="2" t="s">
        <v>115</v>
      </c>
      <c r="F9" s="2" t="s">
        <v>116</v>
      </c>
      <c r="G9" s="2" t="s">
        <v>117</v>
      </c>
      <c r="H9" s="5">
        <v>6</v>
      </c>
      <c r="I9" s="2" t="s">
        <v>58</v>
      </c>
      <c r="J9" s="2" t="s">
        <v>118</v>
      </c>
      <c r="K9" s="2" t="s">
        <v>119</v>
      </c>
      <c r="L9" s="2" t="s">
        <v>120</v>
      </c>
    </row>
    <row r="10" spans="1:12" ht="50.1" customHeight="1">
      <c r="A10" s="2" t="s">
        <v>121</v>
      </c>
      <c r="B10" s="2" t="s">
        <v>122</v>
      </c>
      <c r="C10" s="2" t="s">
        <v>123</v>
      </c>
      <c r="D10" s="2" t="s">
        <v>124</v>
      </c>
      <c r="E10" s="2" t="s">
        <v>125</v>
      </c>
      <c r="F10" s="2" t="s">
        <v>126</v>
      </c>
      <c r="G10" s="2" t="s">
        <v>127</v>
      </c>
      <c r="H10" s="5">
        <v>8</v>
      </c>
      <c r="I10" s="2" t="s">
        <v>58</v>
      </c>
      <c r="J10" s="2" t="s">
        <v>118</v>
      </c>
      <c r="K10" s="2" t="s">
        <v>119</v>
      </c>
      <c r="L10" s="2" t="s">
        <v>128</v>
      </c>
    </row>
    <row r="11" spans="1:12" ht="50.1" customHeight="1">
      <c r="A11" s="2" t="s">
        <v>129</v>
      </c>
      <c r="B11" s="2" t="s">
        <v>130</v>
      </c>
      <c r="C11" s="2" t="s">
        <v>131</v>
      </c>
      <c r="D11" s="2" t="s">
        <v>132</v>
      </c>
      <c r="E11" s="2" t="s">
        <v>133</v>
      </c>
      <c r="F11" s="2" t="s">
        <v>134</v>
      </c>
      <c r="G11" s="2" t="s">
        <v>135</v>
      </c>
      <c r="H11" s="5">
        <v>4</v>
      </c>
      <c r="I11" s="2" t="s">
        <v>58</v>
      </c>
      <c r="J11" s="2" t="s">
        <v>118</v>
      </c>
      <c r="K11" s="2" t="s">
        <v>119</v>
      </c>
      <c r="L11" s="2" t="s">
        <v>136</v>
      </c>
    </row>
    <row r="12" spans="1:12" ht="50.1" customHeight="1">
      <c r="A12" s="2" t="s">
        <v>137</v>
      </c>
      <c r="B12" s="2" t="s">
        <v>138</v>
      </c>
      <c r="C12" s="2" t="s">
        <v>139</v>
      </c>
      <c r="D12" s="2" t="s">
        <v>140</v>
      </c>
      <c r="E12" s="2" t="s">
        <v>141</v>
      </c>
      <c r="F12" s="2" t="s">
        <v>142</v>
      </c>
      <c r="G12" s="2" t="s">
        <v>143</v>
      </c>
      <c r="H12" s="5">
        <v>10</v>
      </c>
      <c r="I12" s="2" t="s">
        <v>58</v>
      </c>
      <c r="J12" s="2" t="s">
        <v>144</v>
      </c>
      <c r="K12" s="2" t="s">
        <v>145</v>
      </c>
      <c r="L12" s="2" t="s">
        <v>146</v>
      </c>
    </row>
    <row r="13" spans="1:12" ht="50.1" customHeight="1">
      <c r="A13" s="2" t="s">
        <v>147</v>
      </c>
      <c r="B13" s="2" t="s">
        <v>148</v>
      </c>
      <c r="C13" s="2" t="s">
        <v>149</v>
      </c>
      <c r="D13" s="2" t="s">
        <v>150</v>
      </c>
      <c r="E13" s="2" t="s">
        <v>151</v>
      </c>
      <c r="F13" s="2" t="s">
        <v>152</v>
      </c>
      <c r="G13" s="2" t="s">
        <v>153</v>
      </c>
      <c r="H13" s="5">
        <v>14</v>
      </c>
      <c r="I13" s="2" t="s">
        <v>58</v>
      </c>
      <c r="J13" s="2" t="s">
        <v>144</v>
      </c>
      <c r="K13" s="2" t="s">
        <v>145</v>
      </c>
      <c r="L13" s="2" t="s">
        <v>154</v>
      </c>
    </row>
    <row r="14" spans="1:12" ht="50.1" customHeight="1">
      <c r="A14" s="2" t="s">
        <v>155</v>
      </c>
      <c r="B14" s="2" t="s">
        <v>156</v>
      </c>
      <c r="C14" s="2" t="s">
        <v>157</v>
      </c>
      <c r="D14" s="2" t="s">
        <v>158</v>
      </c>
      <c r="E14" s="2" t="s">
        <v>159</v>
      </c>
      <c r="F14" s="2" t="s">
        <v>160</v>
      </c>
      <c r="G14" s="2" t="s">
        <v>161</v>
      </c>
      <c r="H14" s="5">
        <v>10</v>
      </c>
      <c r="I14" s="2" t="s">
        <v>58</v>
      </c>
      <c r="J14" s="2" t="s">
        <v>162</v>
      </c>
      <c r="K14" s="2" t="s">
        <v>163</v>
      </c>
      <c r="L14" s="2" t="s">
        <v>164</v>
      </c>
    </row>
    <row r="15" spans="1:12" ht="50.1" customHeight="1">
      <c r="A15" s="2" t="s">
        <v>165</v>
      </c>
      <c r="B15" s="2" t="s">
        <v>166</v>
      </c>
      <c r="C15" s="2" t="s">
        <v>167</v>
      </c>
      <c r="D15" s="2" t="s">
        <v>168</v>
      </c>
      <c r="E15" s="2" t="s">
        <v>169</v>
      </c>
      <c r="F15" s="2" t="s">
        <v>170</v>
      </c>
      <c r="G15" s="2" t="s">
        <v>171</v>
      </c>
      <c r="H15" s="5">
        <v>5</v>
      </c>
      <c r="I15" s="2" t="s">
        <v>58</v>
      </c>
      <c r="J15" s="2" t="s">
        <v>162</v>
      </c>
      <c r="K15" s="2" t="s">
        <v>163</v>
      </c>
      <c r="L15" s="2" t="s">
        <v>172</v>
      </c>
    </row>
    <row r="16" spans="1:12" ht="50.1" customHeight="1">
      <c r="A16" s="2" t="s">
        <v>173</v>
      </c>
      <c r="B16" s="2" t="s">
        <v>174</v>
      </c>
      <c r="C16" s="2" t="s">
        <v>175</v>
      </c>
      <c r="D16" s="2" t="s">
        <v>176</v>
      </c>
      <c r="E16" s="2" t="s">
        <v>177</v>
      </c>
      <c r="F16" s="2" t="s">
        <v>178</v>
      </c>
      <c r="G16" s="2" t="s">
        <v>179</v>
      </c>
      <c r="H16" s="5">
        <v>6</v>
      </c>
      <c r="I16" s="2" t="s">
        <v>58</v>
      </c>
      <c r="J16" s="2" t="s">
        <v>180</v>
      </c>
      <c r="K16" s="2" t="s">
        <v>181</v>
      </c>
      <c r="L16" s="2" t="s">
        <v>182</v>
      </c>
    </row>
    <row r="17" spans="1:12" ht="50.1" customHeight="1">
      <c r="A17" s="2" t="s">
        <v>183</v>
      </c>
      <c r="B17" s="2" t="s">
        <v>184</v>
      </c>
      <c r="C17" s="2" t="s">
        <v>185</v>
      </c>
      <c r="D17" s="2" t="s">
        <v>186</v>
      </c>
      <c r="E17" s="2" t="s">
        <v>187</v>
      </c>
      <c r="F17" s="2" t="s">
        <v>188</v>
      </c>
      <c r="G17" s="2" t="s">
        <v>189</v>
      </c>
      <c r="H17" s="5">
        <v>12</v>
      </c>
      <c r="I17" s="2" t="s">
        <v>58</v>
      </c>
      <c r="J17" s="2" t="s">
        <v>180</v>
      </c>
      <c r="K17" s="2" t="s">
        <v>181</v>
      </c>
      <c r="L17" s="2" t="s">
        <v>190</v>
      </c>
    </row>
    <row r="18" spans="1:12" ht="50.1" customHeight="1">
      <c r="A18" s="2" t="s">
        <v>191</v>
      </c>
      <c r="B18" s="2" t="s">
        <v>192</v>
      </c>
      <c r="C18" s="2" t="s">
        <v>193</v>
      </c>
      <c r="D18" s="2" t="s">
        <v>194</v>
      </c>
      <c r="E18" s="2" t="s">
        <v>195</v>
      </c>
      <c r="F18" s="2" t="s">
        <v>196</v>
      </c>
      <c r="G18" s="2" t="s">
        <v>197</v>
      </c>
      <c r="H18" s="5">
        <v>6</v>
      </c>
      <c r="I18" s="2" t="s">
        <v>58</v>
      </c>
      <c r="J18" s="2" t="s">
        <v>198</v>
      </c>
      <c r="K18" s="2" t="s">
        <v>199</v>
      </c>
      <c r="L18" s="2" t="s">
        <v>200</v>
      </c>
    </row>
    <row r="19" spans="1:12" ht="50.1" customHeight="1">
      <c r="A19" s="2" t="s">
        <v>201</v>
      </c>
      <c r="B19" s="2" t="s">
        <v>202</v>
      </c>
      <c r="C19" s="2" t="s">
        <v>203</v>
      </c>
      <c r="D19" s="2" t="s">
        <v>204</v>
      </c>
      <c r="E19" s="2" t="s">
        <v>205</v>
      </c>
      <c r="F19" s="2" t="s">
        <v>206</v>
      </c>
      <c r="G19" s="2" t="s">
        <v>207</v>
      </c>
      <c r="H19" s="5">
        <v>10</v>
      </c>
      <c r="I19" s="2" t="s">
        <v>58</v>
      </c>
      <c r="J19" s="2" t="s">
        <v>198</v>
      </c>
      <c r="K19" s="2" t="s">
        <v>199</v>
      </c>
      <c r="L19" s="2" t="s">
        <v>208</v>
      </c>
    </row>
    <row r="20" spans="1:12" ht="50.1" customHeight="1">
      <c r="A20" s="2" t="s">
        <v>209</v>
      </c>
      <c r="B20" s="2" t="s">
        <v>210</v>
      </c>
      <c r="C20" s="2" t="s">
        <v>211</v>
      </c>
      <c r="D20" s="2" t="s">
        <v>212</v>
      </c>
      <c r="E20" s="2" t="s">
        <v>213</v>
      </c>
      <c r="F20" s="2" t="s">
        <v>214</v>
      </c>
      <c r="G20" s="2" t="s">
        <v>215</v>
      </c>
      <c r="H20" s="5">
        <v>10</v>
      </c>
      <c r="I20" s="2" t="s">
        <v>58</v>
      </c>
      <c r="J20" s="2" t="s">
        <v>216</v>
      </c>
      <c r="K20" s="2" t="s">
        <v>217</v>
      </c>
      <c r="L20" s="2" t="s">
        <v>218</v>
      </c>
    </row>
    <row r="21" spans="1:12" ht="50.1" customHeight="1">
      <c r="A21" s="2" t="s">
        <v>219</v>
      </c>
      <c r="B21" s="2" t="s">
        <v>220</v>
      </c>
      <c r="C21" s="2" t="s">
        <v>221</v>
      </c>
      <c r="D21" s="2" t="s">
        <v>222</v>
      </c>
      <c r="E21" s="2" t="s">
        <v>223</v>
      </c>
      <c r="F21" s="2" t="s">
        <v>224</v>
      </c>
      <c r="G21" s="2" t="s">
        <v>225</v>
      </c>
      <c r="H21" s="5">
        <v>8</v>
      </c>
      <c r="I21" s="2" t="s">
        <v>58</v>
      </c>
      <c r="J21" s="2" t="s">
        <v>180</v>
      </c>
      <c r="K21" s="2" t="s">
        <v>181</v>
      </c>
      <c r="L21" s="2" t="s">
        <v>182</v>
      </c>
    </row>
    <row r="22" spans="1:12" ht="50.1" customHeight="1">
      <c r="A22" s="2" t="s">
        <v>226</v>
      </c>
      <c r="B22" s="2" t="s">
        <v>227</v>
      </c>
      <c r="C22" s="2" t="s">
        <v>228</v>
      </c>
      <c r="D22" s="2" t="s">
        <v>229</v>
      </c>
      <c r="E22" s="2" t="s">
        <v>230</v>
      </c>
      <c r="F22" s="2" t="s">
        <v>231</v>
      </c>
      <c r="G22" s="2" t="s">
        <v>232</v>
      </c>
      <c r="H22" s="5">
        <v>8</v>
      </c>
      <c r="I22" s="2" t="s">
        <v>58</v>
      </c>
      <c r="J22" s="2" t="s">
        <v>198</v>
      </c>
      <c r="K22" s="2" t="s">
        <v>199</v>
      </c>
      <c r="L22" s="2" t="s">
        <v>233</v>
      </c>
    </row>
    <row r="23" spans="1:12" ht="50.1" customHeight="1">
      <c r="A23" s="2" t="s">
        <v>234</v>
      </c>
      <c r="B23" s="2" t="s">
        <v>235</v>
      </c>
      <c r="C23" s="2" t="s">
        <v>236</v>
      </c>
      <c r="D23" s="2" t="s">
        <v>237</v>
      </c>
      <c r="E23" s="2" t="s">
        <v>238</v>
      </c>
      <c r="F23" s="2" t="s">
        <v>239</v>
      </c>
      <c r="G23" s="2" t="s">
        <v>240</v>
      </c>
      <c r="H23" s="5">
        <v>18</v>
      </c>
      <c r="I23" s="2" t="s">
        <v>58</v>
      </c>
      <c r="J23" s="2" t="s">
        <v>241</v>
      </c>
      <c r="K23" s="2" t="s">
        <v>242</v>
      </c>
      <c r="L23" s="2" t="s">
        <v>243</v>
      </c>
    </row>
    <row r="24" spans="1:12" ht="50.1" customHeight="1">
      <c r="A24" s="2" t="s">
        <v>244</v>
      </c>
      <c r="B24" s="2" t="s">
        <v>245</v>
      </c>
      <c r="C24" s="2" t="s">
        <v>246</v>
      </c>
      <c r="D24" s="2" t="s">
        <v>247</v>
      </c>
      <c r="E24" s="2" t="s">
        <v>248</v>
      </c>
      <c r="F24" s="2" t="s">
        <v>249</v>
      </c>
      <c r="G24" s="2" t="s">
        <v>250</v>
      </c>
      <c r="H24" s="5">
        <v>8</v>
      </c>
      <c r="I24" s="2" t="s">
        <v>58</v>
      </c>
      <c r="J24" s="2" t="s">
        <v>251</v>
      </c>
      <c r="K24" s="2" t="s">
        <v>252</v>
      </c>
      <c r="L24" s="2" t="s">
        <v>253</v>
      </c>
    </row>
    <row r="25" spans="1:12" ht="50.1" customHeight="1">
      <c r="A25" s="2" t="s">
        <v>254</v>
      </c>
      <c r="B25" s="2" t="s">
        <v>255</v>
      </c>
      <c r="C25" s="2" t="s">
        <v>256</v>
      </c>
      <c r="D25" s="2" t="s">
        <v>257</v>
      </c>
      <c r="E25" s="2" t="s">
        <v>258</v>
      </c>
      <c r="F25" s="2" t="s">
        <v>259</v>
      </c>
      <c r="G25" s="2" t="s">
        <v>260</v>
      </c>
      <c r="H25" s="5">
        <v>8</v>
      </c>
      <c r="I25" s="2" t="s">
        <v>58</v>
      </c>
      <c r="J25" s="2" t="s">
        <v>261</v>
      </c>
      <c r="K25" s="2" t="s">
        <v>262</v>
      </c>
      <c r="L25" s="2" t="s">
        <v>263</v>
      </c>
    </row>
    <row r="26" spans="1:12" ht="50.1" customHeight="1">
      <c r="A26" s="2" t="s">
        <v>264</v>
      </c>
      <c r="B26" s="2" t="s">
        <v>265</v>
      </c>
      <c r="C26" s="2" t="s">
        <v>266</v>
      </c>
      <c r="D26" s="2" t="s">
        <v>267</v>
      </c>
      <c r="E26" s="2" t="s">
        <v>268</v>
      </c>
      <c r="F26" s="2" t="s">
        <v>269</v>
      </c>
      <c r="G26" s="2" t="s">
        <v>270</v>
      </c>
      <c r="H26" s="5">
        <v>8</v>
      </c>
      <c r="I26" s="2" t="s">
        <v>58</v>
      </c>
      <c r="J26" s="2" t="s">
        <v>216</v>
      </c>
      <c r="K26" s="2" t="s">
        <v>271</v>
      </c>
      <c r="L26" s="2" t="s">
        <v>272</v>
      </c>
    </row>
    <row r="27" spans="1:12" ht="50.1" customHeight="1">
      <c r="A27" s="2" t="s">
        <v>273</v>
      </c>
      <c r="B27" s="2" t="s">
        <v>274</v>
      </c>
      <c r="C27" s="2" t="s">
        <v>275</v>
      </c>
      <c r="D27" s="2" t="s">
        <v>276</v>
      </c>
      <c r="E27" s="2" t="s">
        <v>277</v>
      </c>
      <c r="F27" s="2" t="s">
        <v>278</v>
      </c>
      <c r="G27" s="2" t="s">
        <v>279</v>
      </c>
      <c r="H27" s="5">
        <v>8</v>
      </c>
      <c r="I27" s="2" t="s">
        <v>58</v>
      </c>
      <c r="J27" s="2" t="s">
        <v>280</v>
      </c>
      <c r="K27" s="2" t="s">
        <v>281</v>
      </c>
      <c r="L27" s="2" t="s">
        <v>282</v>
      </c>
    </row>
  </sheetData>
  <conditionalFormatting sqref="I2:I27">
    <cfRule type="containsText" dxfId="3" priority="1" operator="containsText" text="Alta/Esencial"/>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
  <sheetViews>
    <sheetView workbookViewId="0"/>
  </sheetViews>
  <sheetFormatPr baseColWidth="10" defaultColWidth="9" defaultRowHeight="14.25"/>
  <cols>
    <col min="1" max="1" width="12" customWidth="1"/>
    <col min="2" max="2" width="38" customWidth="1"/>
    <col min="3" max="3" width="44" customWidth="1"/>
    <col min="4" max="4" width="18" customWidth="1"/>
    <col min="5" max="5" width="60" customWidth="1"/>
  </cols>
  <sheetData>
    <row r="1" spans="1:5" ht="27.95" customHeight="1">
      <c r="A1" s="3" t="s">
        <v>283</v>
      </c>
      <c r="B1" s="3" t="s">
        <v>284</v>
      </c>
      <c r="C1" s="3" t="s">
        <v>285</v>
      </c>
      <c r="D1" s="3" t="s">
        <v>286</v>
      </c>
      <c r="E1" s="3" t="s">
        <v>287</v>
      </c>
    </row>
    <row r="2" spans="1:5" ht="33.950000000000003" customHeight="1">
      <c r="A2" s="2" t="s">
        <v>217</v>
      </c>
      <c r="B2" s="2" t="s">
        <v>288</v>
      </c>
      <c r="C2" s="2" t="s">
        <v>289</v>
      </c>
      <c r="D2" s="2" t="s">
        <v>290</v>
      </c>
      <c r="E2" s="2" t="s">
        <v>291</v>
      </c>
    </row>
    <row r="3" spans="1:5" ht="33.950000000000003" customHeight="1">
      <c r="A3" s="2" t="s">
        <v>60</v>
      </c>
      <c r="B3" s="2" t="s">
        <v>52</v>
      </c>
      <c r="C3" s="2" t="s">
        <v>292</v>
      </c>
      <c r="D3" s="2" t="s">
        <v>290</v>
      </c>
      <c r="E3" s="2" t="s">
        <v>293</v>
      </c>
    </row>
    <row r="4" spans="1:5" ht="33.950000000000003" customHeight="1">
      <c r="A4" s="2" t="s">
        <v>77</v>
      </c>
      <c r="B4" s="2" t="s">
        <v>294</v>
      </c>
      <c r="C4" s="2" t="s">
        <v>295</v>
      </c>
      <c r="D4" s="2" t="s">
        <v>290</v>
      </c>
      <c r="E4" s="2" t="s">
        <v>296</v>
      </c>
    </row>
    <row r="5" spans="1:5" ht="33.950000000000003" customHeight="1">
      <c r="A5" s="2" t="s">
        <v>94</v>
      </c>
      <c r="B5" s="2" t="s">
        <v>297</v>
      </c>
      <c r="C5" s="2" t="s">
        <v>298</v>
      </c>
      <c r="D5" s="2" t="s">
        <v>290</v>
      </c>
      <c r="E5" s="2" t="s">
        <v>299</v>
      </c>
    </row>
    <row r="6" spans="1:5" ht="33.950000000000003" customHeight="1">
      <c r="A6" s="2" t="s">
        <v>119</v>
      </c>
      <c r="B6" s="2" t="s">
        <v>300</v>
      </c>
      <c r="C6" s="2" t="s">
        <v>301</v>
      </c>
      <c r="D6" s="2" t="s">
        <v>290</v>
      </c>
      <c r="E6" s="2" t="s">
        <v>302</v>
      </c>
    </row>
    <row r="7" spans="1:5" ht="33.950000000000003" customHeight="1">
      <c r="A7" s="2" t="s">
        <v>145</v>
      </c>
      <c r="B7" s="2" t="s">
        <v>303</v>
      </c>
      <c r="C7" s="2" t="s">
        <v>304</v>
      </c>
      <c r="D7" s="2" t="s">
        <v>290</v>
      </c>
      <c r="E7" s="2" t="s">
        <v>305</v>
      </c>
    </row>
    <row r="8" spans="1:5" ht="33.950000000000003" customHeight="1">
      <c r="A8" s="2" t="s">
        <v>163</v>
      </c>
      <c r="B8" s="2" t="s">
        <v>306</v>
      </c>
      <c r="C8" s="2" t="s">
        <v>307</v>
      </c>
      <c r="D8" s="2" t="s">
        <v>290</v>
      </c>
      <c r="E8" s="2" t="s">
        <v>308</v>
      </c>
    </row>
    <row r="9" spans="1:5" ht="33.950000000000003" customHeight="1">
      <c r="A9" s="2" t="s">
        <v>181</v>
      </c>
      <c r="B9" s="2" t="s">
        <v>309</v>
      </c>
      <c r="C9" s="2" t="s">
        <v>310</v>
      </c>
      <c r="D9" s="2" t="s">
        <v>290</v>
      </c>
      <c r="E9" s="2" t="s">
        <v>311</v>
      </c>
    </row>
    <row r="10" spans="1:5" ht="33.950000000000003" customHeight="1">
      <c r="A10" s="2" t="s">
        <v>199</v>
      </c>
      <c r="B10" s="2" t="s">
        <v>312</v>
      </c>
      <c r="C10" s="2" t="s">
        <v>313</v>
      </c>
      <c r="D10" s="2" t="s">
        <v>290</v>
      </c>
      <c r="E10" s="2" t="s">
        <v>314</v>
      </c>
    </row>
    <row r="11" spans="1:5" ht="33.950000000000003" customHeight="1">
      <c r="A11" s="2" t="s">
        <v>242</v>
      </c>
      <c r="B11" s="2" t="s">
        <v>235</v>
      </c>
      <c r="C11" s="2" t="s">
        <v>315</v>
      </c>
      <c r="D11" s="2" t="s">
        <v>290</v>
      </c>
      <c r="E11" s="2" t="s">
        <v>316</v>
      </c>
    </row>
    <row r="12" spans="1:5" ht="33.950000000000003" customHeight="1">
      <c r="A12" s="2" t="s">
        <v>252</v>
      </c>
      <c r="B12" s="2" t="s">
        <v>245</v>
      </c>
      <c r="C12" s="2" t="s">
        <v>317</v>
      </c>
      <c r="D12" s="2" t="s">
        <v>290</v>
      </c>
      <c r="E12" s="2" t="s">
        <v>318</v>
      </c>
    </row>
    <row r="13" spans="1:5" ht="33.950000000000003" customHeight="1">
      <c r="A13" s="2" t="s">
        <v>262</v>
      </c>
      <c r="B13" s="2" t="s">
        <v>319</v>
      </c>
      <c r="C13" s="2" t="s">
        <v>320</v>
      </c>
      <c r="D13" s="2" t="s">
        <v>290</v>
      </c>
      <c r="E13" s="2" t="s">
        <v>321</v>
      </c>
    </row>
    <row r="14" spans="1:5" ht="33.950000000000003" customHeight="1">
      <c r="A14" s="2" t="s">
        <v>271</v>
      </c>
      <c r="B14" s="2" t="s">
        <v>265</v>
      </c>
      <c r="C14" s="2" t="s">
        <v>322</v>
      </c>
      <c r="D14" s="2" t="s">
        <v>290</v>
      </c>
      <c r="E14" s="2" t="s">
        <v>323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topLeftCell="A11" workbookViewId="0"/>
  </sheetViews>
  <sheetFormatPr baseColWidth="10" defaultColWidth="9" defaultRowHeight="14.25"/>
  <cols>
    <col min="1" max="1" width="10" customWidth="1"/>
    <col min="2" max="2" width="36" customWidth="1"/>
    <col min="3" max="3" width="58" customWidth="1"/>
    <col min="4" max="4" width="34" customWidth="1"/>
    <col min="5" max="5" width="24" customWidth="1"/>
    <col min="6" max="6" width="12" customWidth="1"/>
    <col min="7" max="7" width="16" customWidth="1"/>
  </cols>
  <sheetData>
    <row r="1" spans="1:7" ht="27.95" customHeight="1">
      <c r="A1" s="3" t="s">
        <v>39</v>
      </c>
      <c r="B1" s="3" t="s">
        <v>40</v>
      </c>
      <c r="C1" s="3" t="s">
        <v>324</v>
      </c>
      <c r="D1" s="3" t="s">
        <v>325</v>
      </c>
      <c r="E1" s="3" t="s">
        <v>326</v>
      </c>
      <c r="F1" s="3" t="s">
        <v>46</v>
      </c>
      <c r="G1" s="3" t="s">
        <v>47</v>
      </c>
    </row>
    <row r="2" spans="1:7" ht="33.950000000000003" customHeight="1">
      <c r="A2" s="2" t="s">
        <v>327</v>
      </c>
      <c r="B2" s="2" t="s">
        <v>328</v>
      </c>
      <c r="C2" s="2" t="s">
        <v>329</v>
      </c>
      <c r="D2" s="2" t="s">
        <v>330</v>
      </c>
      <c r="E2" s="2" t="s">
        <v>331</v>
      </c>
      <c r="F2" s="5">
        <v>24</v>
      </c>
      <c r="G2" s="2" t="s">
        <v>332</v>
      </c>
    </row>
    <row r="3" spans="1:7" ht="33.950000000000003" customHeight="1">
      <c r="A3" s="2" t="s">
        <v>333</v>
      </c>
      <c r="B3" s="2" t="s">
        <v>334</v>
      </c>
      <c r="C3" s="2" t="s">
        <v>335</v>
      </c>
      <c r="D3" s="2" t="s">
        <v>289</v>
      </c>
      <c r="E3" s="2" t="s">
        <v>336</v>
      </c>
      <c r="F3" s="5">
        <v>24</v>
      </c>
      <c r="G3" s="2" t="s">
        <v>332</v>
      </c>
    </row>
    <row r="4" spans="1:7" ht="33.950000000000003" customHeight="1">
      <c r="A4" s="2" t="s">
        <v>337</v>
      </c>
      <c r="B4" s="2" t="s">
        <v>338</v>
      </c>
      <c r="C4" s="2" t="s">
        <v>339</v>
      </c>
      <c r="D4" s="2" t="s">
        <v>340</v>
      </c>
      <c r="E4" s="2" t="s">
        <v>341</v>
      </c>
      <c r="F4" s="5">
        <v>22</v>
      </c>
      <c r="G4" s="2" t="s">
        <v>332</v>
      </c>
    </row>
    <row r="5" spans="1:7" ht="33.950000000000003" customHeight="1">
      <c r="A5" s="2" t="s">
        <v>342</v>
      </c>
      <c r="B5" s="2" t="s">
        <v>343</v>
      </c>
      <c r="C5" s="2" t="s">
        <v>344</v>
      </c>
      <c r="D5" s="2" t="s">
        <v>330</v>
      </c>
      <c r="E5" s="2" t="s">
        <v>345</v>
      </c>
      <c r="F5" s="5">
        <v>28</v>
      </c>
      <c r="G5" s="2" t="s">
        <v>332</v>
      </c>
    </row>
    <row r="6" spans="1:7" ht="33.950000000000003" customHeight="1">
      <c r="A6" s="2" t="s">
        <v>346</v>
      </c>
      <c r="B6" s="2" t="s">
        <v>347</v>
      </c>
      <c r="C6" s="2" t="s">
        <v>348</v>
      </c>
      <c r="D6" s="2" t="s">
        <v>349</v>
      </c>
      <c r="E6" s="2" t="s">
        <v>350</v>
      </c>
      <c r="F6" s="5">
        <v>24</v>
      </c>
      <c r="G6" s="2" t="s">
        <v>332</v>
      </c>
    </row>
    <row r="7" spans="1:7" ht="33.950000000000003" customHeight="1">
      <c r="A7" s="2" t="s">
        <v>351</v>
      </c>
      <c r="B7" s="2" t="s">
        <v>352</v>
      </c>
      <c r="C7" s="2" t="s">
        <v>353</v>
      </c>
      <c r="D7" s="2" t="s">
        <v>354</v>
      </c>
      <c r="E7" s="2" t="s">
        <v>355</v>
      </c>
      <c r="F7" s="5">
        <v>20</v>
      </c>
      <c r="G7" s="2" t="s">
        <v>332</v>
      </c>
    </row>
    <row r="8" spans="1:7" ht="33.950000000000003" customHeight="1">
      <c r="A8" s="2" t="s">
        <v>356</v>
      </c>
      <c r="B8" s="2" t="s">
        <v>357</v>
      </c>
      <c r="C8" s="2" t="s">
        <v>358</v>
      </c>
      <c r="D8" s="2" t="s">
        <v>359</v>
      </c>
      <c r="E8" s="2" t="s">
        <v>360</v>
      </c>
      <c r="F8" s="5">
        <v>24</v>
      </c>
      <c r="G8" s="2" t="s">
        <v>332</v>
      </c>
    </row>
    <row r="9" spans="1:7" ht="33.950000000000003" customHeight="1">
      <c r="A9" s="2" t="s">
        <v>361</v>
      </c>
      <c r="B9" s="2" t="s">
        <v>362</v>
      </c>
      <c r="C9" s="2" t="s">
        <v>363</v>
      </c>
      <c r="D9" s="2" t="s">
        <v>234</v>
      </c>
      <c r="E9" s="2" t="s">
        <v>360</v>
      </c>
      <c r="F9" s="5">
        <v>26</v>
      </c>
      <c r="G9" s="2" t="s">
        <v>332</v>
      </c>
    </row>
    <row r="10" spans="1:7" ht="33.950000000000003" customHeight="1">
      <c r="A10" s="2" t="s">
        <v>364</v>
      </c>
      <c r="B10" s="2" t="s">
        <v>365</v>
      </c>
      <c r="C10" s="2" t="s">
        <v>366</v>
      </c>
      <c r="D10" s="2" t="s">
        <v>367</v>
      </c>
      <c r="E10" s="2" t="s">
        <v>368</v>
      </c>
      <c r="F10" s="5">
        <v>22</v>
      </c>
      <c r="G10" s="2" t="s">
        <v>332</v>
      </c>
    </row>
    <row r="11" spans="1:7" ht="33.950000000000003" customHeight="1">
      <c r="A11" s="2" t="s">
        <v>369</v>
      </c>
      <c r="B11" s="2" t="s">
        <v>370</v>
      </c>
      <c r="C11" s="2" t="s">
        <v>371</v>
      </c>
      <c r="D11" s="2" t="s">
        <v>372</v>
      </c>
      <c r="E11" s="2" t="s">
        <v>373</v>
      </c>
      <c r="F11" s="5">
        <v>14</v>
      </c>
      <c r="G11" s="2" t="s">
        <v>332</v>
      </c>
    </row>
    <row r="12" spans="1:7" ht="33.950000000000003" customHeight="1">
      <c r="A12" s="2" t="s">
        <v>374</v>
      </c>
      <c r="B12" s="2" t="s">
        <v>375</v>
      </c>
      <c r="C12" s="2" t="s">
        <v>376</v>
      </c>
      <c r="D12" s="2" t="s">
        <v>377</v>
      </c>
      <c r="E12" s="2" t="s">
        <v>378</v>
      </c>
      <c r="F12" s="5">
        <v>24</v>
      </c>
      <c r="G12" s="2" t="s">
        <v>332</v>
      </c>
    </row>
    <row r="13" spans="1:7" ht="33.950000000000003" customHeight="1">
      <c r="A13" s="2" t="s">
        <v>379</v>
      </c>
      <c r="B13" s="2" t="s">
        <v>380</v>
      </c>
      <c r="C13" s="2" t="s">
        <v>381</v>
      </c>
      <c r="D13" s="2" t="s">
        <v>137</v>
      </c>
      <c r="E13" s="2" t="s">
        <v>382</v>
      </c>
      <c r="F13" s="5">
        <v>18</v>
      </c>
      <c r="G13" s="2" t="s">
        <v>332</v>
      </c>
    </row>
    <row r="14" spans="1:7" ht="33.950000000000003" customHeight="1">
      <c r="A14" s="2" t="s">
        <v>383</v>
      </c>
      <c r="B14" s="2" t="s">
        <v>384</v>
      </c>
      <c r="C14" s="2" t="s">
        <v>385</v>
      </c>
      <c r="D14" s="2" t="s">
        <v>147</v>
      </c>
      <c r="E14" s="2" t="s">
        <v>382</v>
      </c>
      <c r="F14" s="5">
        <v>18</v>
      </c>
      <c r="G14" s="2" t="s">
        <v>332</v>
      </c>
    </row>
    <row r="15" spans="1:7" ht="33.950000000000003" customHeight="1">
      <c r="A15" s="2" t="s">
        <v>386</v>
      </c>
      <c r="B15" s="2" t="s">
        <v>387</v>
      </c>
      <c r="C15" s="2" t="s">
        <v>388</v>
      </c>
      <c r="D15" s="2" t="s">
        <v>389</v>
      </c>
      <c r="E15" s="2" t="s">
        <v>390</v>
      </c>
      <c r="F15" s="5">
        <v>20</v>
      </c>
      <c r="G15" s="2" t="s">
        <v>332</v>
      </c>
    </row>
    <row r="16" spans="1:7" ht="33.950000000000003" customHeight="1">
      <c r="A16" s="2" t="s">
        <v>391</v>
      </c>
      <c r="B16" s="2" t="s">
        <v>392</v>
      </c>
      <c r="C16" s="2" t="s">
        <v>393</v>
      </c>
      <c r="D16" s="2" t="s">
        <v>244</v>
      </c>
      <c r="E16" s="2" t="s">
        <v>252</v>
      </c>
      <c r="F16" s="5">
        <v>18</v>
      </c>
      <c r="G16" s="2" t="s">
        <v>332</v>
      </c>
    </row>
    <row r="17" spans="1:7" ht="33.950000000000003" customHeight="1">
      <c r="A17" s="2" t="s">
        <v>394</v>
      </c>
      <c r="B17" s="2" t="s">
        <v>395</v>
      </c>
      <c r="C17" s="2" t="s">
        <v>396</v>
      </c>
      <c r="D17" s="2" t="s">
        <v>254</v>
      </c>
      <c r="E17" s="2" t="s">
        <v>397</v>
      </c>
      <c r="F17" s="5">
        <v>22</v>
      </c>
      <c r="G17" s="2" t="s">
        <v>332</v>
      </c>
    </row>
    <row r="18" spans="1:7" ht="33.950000000000003" customHeight="1">
      <c r="A18" s="2" t="s">
        <v>398</v>
      </c>
      <c r="B18" s="2" t="s">
        <v>399</v>
      </c>
      <c r="C18" s="2" t="s">
        <v>400</v>
      </c>
      <c r="D18" s="2" t="s">
        <v>289</v>
      </c>
      <c r="E18" s="2" t="s">
        <v>336</v>
      </c>
      <c r="F18" s="5">
        <v>20</v>
      </c>
      <c r="G18" s="2" t="s">
        <v>332</v>
      </c>
    </row>
    <row r="19" spans="1:7" ht="33.950000000000003" customHeight="1">
      <c r="A19" s="2" t="s">
        <v>401</v>
      </c>
      <c r="B19" s="2" t="s">
        <v>402</v>
      </c>
      <c r="C19" s="2" t="s">
        <v>403</v>
      </c>
      <c r="D19" s="2" t="s">
        <v>404</v>
      </c>
      <c r="E19" s="2" t="s">
        <v>405</v>
      </c>
      <c r="F19" s="5">
        <v>22</v>
      </c>
      <c r="G19" s="2" t="s">
        <v>332</v>
      </c>
    </row>
    <row r="20" spans="1:7" ht="33.950000000000003" customHeight="1">
      <c r="A20" s="2" t="s">
        <v>406</v>
      </c>
      <c r="B20" s="2" t="s">
        <v>407</v>
      </c>
      <c r="C20" s="2" t="s">
        <v>408</v>
      </c>
      <c r="D20" s="2" t="s">
        <v>330</v>
      </c>
      <c r="E20" s="2" t="s">
        <v>409</v>
      </c>
      <c r="F20" s="5">
        <v>28</v>
      </c>
      <c r="G20" s="2" t="s">
        <v>332</v>
      </c>
    </row>
    <row r="21" spans="1:7" ht="33.950000000000003" customHeight="1">
      <c r="A21" s="2" t="s">
        <v>410</v>
      </c>
      <c r="B21" s="2" t="s">
        <v>411</v>
      </c>
      <c r="C21" s="2" t="s">
        <v>412</v>
      </c>
      <c r="D21" s="2" t="s">
        <v>413</v>
      </c>
      <c r="E21" s="2" t="s">
        <v>414</v>
      </c>
      <c r="F21" s="5">
        <v>20</v>
      </c>
      <c r="G21" s="2" t="s">
        <v>332</v>
      </c>
    </row>
  </sheetData>
  <conditionalFormatting sqref="G2:G21">
    <cfRule type="containsText" dxfId="2" priority="1" operator="containsText" text="Alta/Esencial"/>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7"/>
  <sheetViews>
    <sheetView topLeftCell="A10" zoomScale="70" zoomScaleNormal="70" workbookViewId="0">
      <selection activeCell="A6" sqref="A6"/>
    </sheetView>
  </sheetViews>
  <sheetFormatPr baseColWidth="10" defaultColWidth="9" defaultRowHeight="14.25"/>
  <cols>
    <col min="1" max="1" width="10" customWidth="1"/>
    <col min="2" max="2" width="30" customWidth="1"/>
    <col min="3" max="3" width="10" customWidth="1"/>
    <col min="4" max="4" width="34" customWidth="1"/>
    <col min="5" max="5" width="54" customWidth="1"/>
    <col min="6" max="6" width="58" customWidth="1"/>
    <col min="7" max="7" width="42" customWidth="1"/>
    <col min="8" max="8" width="12" customWidth="1"/>
    <col min="9" max="9" width="18" customWidth="1"/>
    <col min="10" max="10" width="14" customWidth="1"/>
    <col min="11" max="11" width="18" customWidth="1"/>
    <col min="12" max="12" width="14" customWidth="1"/>
  </cols>
  <sheetData>
    <row r="1" spans="1:12" ht="27.95" customHeight="1">
      <c r="A1" s="3" t="s">
        <v>415</v>
      </c>
      <c r="B1" s="3" t="s">
        <v>416</v>
      </c>
      <c r="C1" s="3" t="s">
        <v>417</v>
      </c>
      <c r="D1" s="3" t="s">
        <v>40</v>
      </c>
      <c r="E1" s="3" t="s">
        <v>418</v>
      </c>
      <c r="F1" s="3" t="s">
        <v>419</v>
      </c>
      <c r="G1" s="3" t="s">
        <v>45</v>
      </c>
      <c r="H1" s="3" t="s">
        <v>46</v>
      </c>
      <c r="I1" s="3" t="s">
        <v>47</v>
      </c>
      <c r="J1" s="3" t="s">
        <v>420</v>
      </c>
      <c r="K1" s="3" t="s">
        <v>421</v>
      </c>
      <c r="L1" s="3" t="s">
        <v>422</v>
      </c>
    </row>
    <row r="2" spans="1:12" ht="96" customHeight="1">
      <c r="A2" s="2">
        <v>1</v>
      </c>
      <c r="B2" s="2" t="s">
        <v>423</v>
      </c>
      <c r="C2" s="2" t="s">
        <v>51</v>
      </c>
      <c r="D2" s="2" t="s">
        <v>52</v>
      </c>
      <c r="E2" s="2" t="s">
        <v>53</v>
      </c>
      <c r="F2" s="2" t="s">
        <v>54</v>
      </c>
      <c r="G2" s="2" t="s">
        <v>57</v>
      </c>
      <c r="H2" s="5">
        <v>16</v>
      </c>
      <c r="I2" s="2" t="s">
        <v>58</v>
      </c>
      <c r="J2" s="2" t="s">
        <v>60</v>
      </c>
      <c r="K2" s="2" t="s">
        <v>59</v>
      </c>
      <c r="L2" s="2" t="s">
        <v>424</v>
      </c>
    </row>
    <row r="3" spans="1:12" ht="95.25" customHeight="1">
      <c r="A3" s="2">
        <v>2</v>
      </c>
      <c r="B3" s="2" t="s">
        <v>423</v>
      </c>
      <c r="C3" s="2" t="s">
        <v>62</v>
      </c>
      <c r="D3" s="2" t="s">
        <v>63</v>
      </c>
      <c r="E3" s="2" t="s">
        <v>64</v>
      </c>
      <c r="F3" s="2" t="s">
        <v>65</v>
      </c>
      <c r="G3" s="2" t="s">
        <v>51</v>
      </c>
      <c r="H3" s="5">
        <v>12</v>
      </c>
      <c r="I3" s="2" t="s">
        <v>58</v>
      </c>
      <c r="J3" s="2" t="s">
        <v>60</v>
      </c>
      <c r="K3" s="2" t="s">
        <v>59</v>
      </c>
      <c r="L3" s="2" t="s">
        <v>424</v>
      </c>
    </row>
    <row r="4" spans="1:12" ht="97.5" customHeight="1">
      <c r="A4" s="2">
        <v>3</v>
      </c>
      <c r="B4" s="2" t="s">
        <v>425</v>
      </c>
      <c r="C4" s="2" t="s">
        <v>69</v>
      </c>
      <c r="D4" s="2" t="s">
        <v>70</v>
      </c>
      <c r="E4" s="2" t="s">
        <v>71</v>
      </c>
      <c r="F4" s="2" t="s">
        <v>72</v>
      </c>
      <c r="G4" s="2" t="s">
        <v>75</v>
      </c>
      <c r="H4" s="5">
        <v>15</v>
      </c>
      <c r="I4" s="2" t="s">
        <v>58</v>
      </c>
      <c r="J4" s="2" t="s">
        <v>77</v>
      </c>
      <c r="K4" s="2" t="s">
        <v>76</v>
      </c>
      <c r="L4" s="2" t="s">
        <v>424</v>
      </c>
    </row>
    <row r="5" spans="1:12" ht="98.25" customHeight="1">
      <c r="A5" s="2">
        <v>4</v>
      </c>
      <c r="B5" s="2" t="s">
        <v>425</v>
      </c>
      <c r="C5" s="2" t="s">
        <v>79</v>
      </c>
      <c r="D5" s="2" t="s">
        <v>80</v>
      </c>
      <c r="E5" s="2" t="s">
        <v>81</v>
      </c>
      <c r="F5" s="2" t="s">
        <v>82</v>
      </c>
      <c r="G5" s="2" t="s">
        <v>85</v>
      </c>
      <c r="H5" s="5">
        <v>8</v>
      </c>
      <c r="I5" s="2" t="s">
        <v>58</v>
      </c>
      <c r="J5" s="2" t="s">
        <v>77</v>
      </c>
      <c r="K5" s="2" t="s">
        <v>76</v>
      </c>
      <c r="L5" s="2" t="s">
        <v>424</v>
      </c>
    </row>
    <row r="6" spans="1:12" ht="96.75" customHeight="1">
      <c r="A6" s="2">
        <v>5</v>
      </c>
      <c r="B6" s="2" t="s">
        <v>95</v>
      </c>
      <c r="C6" s="2" t="s">
        <v>86</v>
      </c>
      <c r="D6" s="2" t="s">
        <v>87</v>
      </c>
      <c r="E6" s="2" t="s">
        <v>88</v>
      </c>
      <c r="F6" s="2" t="s">
        <v>89</v>
      </c>
      <c r="G6" s="2" t="s">
        <v>92</v>
      </c>
      <c r="H6" s="5">
        <v>10</v>
      </c>
      <c r="I6" s="2" t="s">
        <v>58</v>
      </c>
      <c r="J6" s="2" t="s">
        <v>94</v>
      </c>
      <c r="K6" s="2" t="s">
        <v>93</v>
      </c>
      <c r="L6" s="2" t="s">
        <v>424</v>
      </c>
    </row>
    <row r="7" spans="1:12" ht="100.5" customHeight="1">
      <c r="A7" s="2">
        <v>6</v>
      </c>
      <c r="B7" s="2" t="s">
        <v>95</v>
      </c>
      <c r="C7" s="2" t="s">
        <v>96</v>
      </c>
      <c r="D7" s="2" t="s">
        <v>97</v>
      </c>
      <c r="E7" s="2" t="s">
        <v>98</v>
      </c>
      <c r="F7" s="2" t="s">
        <v>99</v>
      </c>
      <c r="G7" s="2" t="s">
        <v>102</v>
      </c>
      <c r="H7" s="5">
        <v>8</v>
      </c>
      <c r="I7" s="2" t="s">
        <v>58</v>
      </c>
      <c r="J7" s="2" t="s">
        <v>94</v>
      </c>
      <c r="K7" s="2" t="s">
        <v>93</v>
      </c>
      <c r="L7" s="2" t="s">
        <v>424</v>
      </c>
    </row>
    <row r="8" spans="1:12" ht="96" customHeight="1">
      <c r="A8" s="2">
        <v>7</v>
      </c>
      <c r="B8" s="2" t="s">
        <v>95</v>
      </c>
      <c r="C8" s="2" t="s">
        <v>104</v>
      </c>
      <c r="D8" s="2" t="s">
        <v>105</v>
      </c>
      <c r="E8" s="2" t="s">
        <v>106</v>
      </c>
      <c r="F8" s="2" t="s">
        <v>107</v>
      </c>
      <c r="G8" s="2" t="s">
        <v>110</v>
      </c>
      <c r="H8" s="5">
        <v>6</v>
      </c>
      <c r="I8" s="2" t="s">
        <v>58</v>
      </c>
      <c r="J8" s="2" t="s">
        <v>94</v>
      </c>
      <c r="K8" s="2" t="s">
        <v>93</v>
      </c>
      <c r="L8" s="2" t="s">
        <v>424</v>
      </c>
    </row>
    <row r="9" spans="1:12" ht="99" customHeight="1">
      <c r="A9" s="2">
        <v>8</v>
      </c>
      <c r="B9" s="2" t="s">
        <v>426</v>
      </c>
      <c r="C9" s="2" t="s">
        <v>111</v>
      </c>
      <c r="D9" s="2" t="s">
        <v>112</v>
      </c>
      <c r="E9" s="2" t="s">
        <v>113</v>
      </c>
      <c r="F9" s="2" t="s">
        <v>114</v>
      </c>
      <c r="G9" s="2" t="s">
        <v>117</v>
      </c>
      <c r="H9" s="5">
        <v>6</v>
      </c>
      <c r="I9" s="2" t="s">
        <v>58</v>
      </c>
      <c r="J9" s="2" t="s">
        <v>119</v>
      </c>
      <c r="K9" s="2" t="s">
        <v>118</v>
      </c>
      <c r="L9" s="2" t="s">
        <v>424</v>
      </c>
    </row>
    <row r="10" spans="1:12" ht="99" customHeight="1">
      <c r="A10" s="2">
        <v>9</v>
      </c>
      <c r="B10" s="2" t="s">
        <v>426</v>
      </c>
      <c r="C10" s="2" t="s">
        <v>121</v>
      </c>
      <c r="D10" s="2" t="s">
        <v>122</v>
      </c>
      <c r="E10" s="2" t="s">
        <v>123</v>
      </c>
      <c r="F10" s="2" t="s">
        <v>124</v>
      </c>
      <c r="G10" s="2" t="s">
        <v>127</v>
      </c>
      <c r="H10" s="5">
        <v>8</v>
      </c>
      <c r="I10" s="2" t="s">
        <v>58</v>
      </c>
      <c r="J10" s="2" t="s">
        <v>119</v>
      </c>
      <c r="K10" s="2" t="s">
        <v>118</v>
      </c>
      <c r="L10" s="2" t="s">
        <v>424</v>
      </c>
    </row>
    <row r="11" spans="1:12" ht="96" customHeight="1">
      <c r="A11" s="2">
        <v>10</v>
      </c>
      <c r="B11" s="2" t="s">
        <v>426</v>
      </c>
      <c r="C11" s="2" t="s">
        <v>129</v>
      </c>
      <c r="D11" s="2" t="s">
        <v>130</v>
      </c>
      <c r="E11" s="2" t="s">
        <v>131</v>
      </c>
      <c r="F11" s="2" t="s">
        <v>132</v>
      </c>
      <c r="G11" s="2" t="s">
        <v>135</v>
      </c>
      <c r="H11" s="5">
        <v>4</v>
      </c>
      <c r="I11" s="2" t="s">
        <v>58</v>
      </c>
      <c r="J11" s="2" t="s">
        <v>119</v>
      </c>
      <c r="K11" s="2" t="s">
        <v>118</v>
      </c>
      <c r="L11" s="2" t="s">
        <v>424</v>
      </c>
    </row>
    <row r="12" spans="1:12" ht="94.5" customHeight="1">
      <c r="A12" s="2">
        <v>11</v>
      </c>
      <c r="B12" s="2" t="s">
        <v>427</v>
      </c>
      <c r="C12" s="2" t="s">
        <v>137</v>
      </c>
      <c r="D12" s="2" t="s">
        <v>138</v>
      </c>
      <c r="E12" s="2" t="s">
        <v>139</v>
      </c>
      <c r="F12" s="2" t="s">
        <v>140</v>
      </c>
      <c r="G12" s="2" t="s">
        <v>143</v>
      </c>
      <c r="H12" s="5">
        <v>10</v>
      </c>
      <c r="I12" s="2" t="s">
        <v>58</v>
      </c>
      <c r="J12" s="2" t="s">
        <v>145</v>
      </c>
      <c r="K12" s="2" t="s">
        <v>144</v>
      </c>
      <c r="L12" s="2" t="s">
        <v>424</v>
      </c>
    </row>
    <row r="13" spans="1:12" ht="97.5" customHeight="1">
      <c r="A13" s="2">
        <v>12</v>
      </c>
      <c r="B13" s="2" t="s">
        <v>427</v>
      </c>
      <c r="C13" s="2" t="s">
        <v>147</v>
      </c>
      <c r="D13" s="2" t="s">
        <v>148</v>
      </c>
      <c r="E13" s="2" t="s">
        <v>149</v>
      </c>
      <c r="F13" s="2" t="s">
        <v>150</v>
      </c>
      <c r="G13" s="2" t="s">
        <v>153</v>
      </c>
      <c r="H13" s="5">
        <v>14</v>
      </c>
      <c r="I13" s="2" t="s">
        <v>58</v>
      </c>
      <c r="J13" s="2" t="s">
        <v>145</v>
      </c>
      <c r="K13" s="2" t="s">
        <v>144</v>
      </c>
      <c r="L13" s="2" t="s">
        <v>424</v>
      </c>
    </row>
    <row r="14" spans="1:12" ht="98.25" customHeight="1">
      <c r="A14" s="2">
        <v>13</v>
      </c>
      <c r="B14" s="2" t="s">
        <v>428</v>
      </c>
      <c r="C14" s="2" t="s">
        <v>155</v>
      </c>
      <c r="D14" s="2" t="s">
        <v>156</v>
      </c>
      <c r="E14" s="2" t="s">
        <v>157</v>
      </c>
      <c r="F14" s="2" t="s">
        <v>158</v>
      </c>
      <c r="G14" s="2" t="s">
        <v>161</v>
      </c>
      <c r="H14" s="5">
        <v>10</v>
      </c>
      <c r="I14" s="2" t="s">
        <v>58</v>
      </c>
      <c r="J14" s="2" t="s">
        <v>163</v>
      </c>
      <c r="K14" s="2" t="s">
        <v>162</v>
      </c>
      <c r="L14" s="2" t="s">
        <v>424</v>
      </c>
    </row>
    <row r="15" spans="1:12" ht="96" customHeight="1">
      <c r="A15" s="2">
        <v>14</v>
      </c>
      <c r="B15" s="2" t="s">
        <v>428</v>
      </c>
      <c r="C15" s="2" t="s">
        <v>165</v>
      </c>
      <c r="D15" s="2" t="s">
        <v>166</v>
      </c>
      <c r="E15" s="2" t="s">
        <v>167</v>
      </c>
      <c r="F15" s="2" t="s">
        <v>168</v>
      </c>
      <c r="G15" s="2" t="s">
        <v>171</v>
      </c>
      <c r="H15" s="5">
        <v>5</v>
      </c>
      <c r="I15" s="2" t="s">
        <v>58</v>
      </c>
      <c r="J15" s="2" t="s">
        <v>163</v>
      </c>
      <c r="K15" s="2" t="s">
        <v>162</v>
      </c>
      <c r="L15" s="2" t="s">
        <v>424</v>
      </c>
    </row>
    <row r="16" spans="1:12" ht="95.25" customHeight="1">
      <c r="A16" s="2">
        <v>15</v>
      </c>
      <c r="B16" s="2" t="s">
        <v>429</v>
      </c>
      <c r="C16" s="2" t="s">
        <v>173</v>
      </c>
      <c r="D16" s="2" t="s">
        <v>174</v>
      </c>
      <c r="E16" s="2" t="s">
        <v>175</v>
      </c>
      <c r="F16" s="2" t="s">
        <v>176</v>
      </c>
      <c r="G16" s="2" t="s">
        <v>179</v>
      </c>
      <c r="H16" s="5">
        <v>6</v>
      </c>
      <c r="I16" s="2" t="s">
        <v>58</v>
      </c>
      <c r="J16" s="2" t="s">
        <v>181</v>
      </c>
      <c r="K16" s="2" t="s">
        <v>180</v>
      </c>
      <c r="L16" s="2" t="s">
        <v>424</v>
      </c>
    </row>
    <row r="17" spans="1:12" ht="95.25" customHeight="1">
      <c r="A17" s="2">
        <v>16</v>
      </c>
      <c r="B17" s="2" t="s">
        <v>430</v>
      </c>
      <c r="C17" s="2" t="s">
        <v>183</v>
      </c>
      <c r="D17" s="2" t="s">
        <v>184</v>
      </c>
      <c r="E17" s="2" t="s">
        <v>185</v>
      </c>
      <c r="F17" s="2" t="s">
        <v>186</v>
      </c>
      <c r="G17" s="2" t="s">
        <v>189</v>
      </c>
      <c r="H17" s="5">
        <v>12</v>
      </c>
      <c r="I17" s="2" t="s">
        <v>58</v>
      </c>
      <c r="J17" s="2" t="s">
        <v>181</v>
      </c>
      <c r="K17" s="2" t="s">
        <v>180</v>
      </c>
      <c r="L17" s="2" t="s">
        <v>424</v>
      </c>
    </row>
    <row r="18" spans="1:12" ht="96" customHeight="1">
      <c r="A18" s="2">
        <v>17</v>
      </c>
      <c r="B18" s="2" t="s">
        <v>429</v>
      </c>
      <c r="C18" s="2" t="s">
        <v>191</v>
      </c>
      <c r="D18" s="2" t="s">
        <v>192</v>
      </c>
      <c r="E18" s="2" t="s">
        <v>193</v>
      </c>
      <c r="F18" s="2" t="s">
        <v>194</v>
      </c>
      <c r="G18" s="2" t="s">
        <v>197</v>
      </c>
      <c r="H18" s="5">
        <v>6</v>
      </c>
      <c r="I18" s="2" t="s">
        <v>58</v>
      </c>
      <c r="J18" s="2" t="s">
        <v>199</v>
      </c>
      <c r="K18" s="2" t="s">
        <v>198</v>
      </c>
      <c r="L18" s="2" t="s">
        <v>424</v>
      </c>
    </row>
    <row r="19" spans="1:12" ht="99" customHeight="1">
      <c r="A19" s="2">
        <v>18</v>
      </c>
      <c r="B19" s="2" t="s">
        <v>429</v>
      </c>
      <c r="C19" s="2" t="s">
        <v>201</v>
      </c>
      <c r="D19" s="2" t="s">
        <v>202</v>
      </c>
      <c r="E19" s="2" t="s">
        <v>203</v>
      </c>
      <c r="F19" s="2" t="s">
        <v>204</v>
      </c>
      <c r="G19" s="2" t="s">
        <v>207</v>
      </c>
      <c r="H19" s="5">
        <v>10</v>
      </c>
      <c r="I19" s="2" t="s">
        <v>58</v>
      </c>
      <c r="J19" s="2" t="s">
        <v>199</v>
      </c>
      <c r="K19" s="2" t="s">
        <v>198</v>
      </c>
      <c r="L19" s="2" t="s">
        <v>424</v>
      </c>
    </row>
    <row r="20" spans="1:12" ht="94.5" customHeight="1">
      <c r="A20" s="2">
        <v>19</v>
      </c>
      <c r="B20" s="2" t="s">
        <v>431</v>
      </c>
      <c r="C20" s="2" t="s">
        <v>209</v>
      </c>
      <c r="D20" s="2" t="s">
        <v>210</v>
      </c>
      <c r="E20" s="2" t="s">
        <v>211</v>
      </c>
      <c r="F20" s="2" t="s">
        <v>212</v>
      </c>
      <c r="G20" s="2" t="s">
        <v>215</v>
      </c>
      <c r="H20" s="5">
        <v>10</v>
      </c>
      <c r="I20" s="2" t="s">
        <v>58</v>
      </c>
      <c r="J20" s="2" t="s">
        <v>217</v>
      </c>
      <c r="K20" s="2" t="s">
        <v>216</v>
      </c>
      <c r="L20" s="2" t="s">
        <v>424</v>
      </c>
    </row>
    <row r="21" spans="1:12" ht="93" customHeight="1">
      <c r="A21" s="2">
        <v>20</v>
      </c>
      <c r="B21" s="2" t="s">
        <v>429</v>
      </c>
      <c r="C21" s="2" t="s">
        <v>219</v>
      </c>
      <c r="D21" s="2" t="s">
        <v>220</v>
      </c>
      <c r="E21" s="2" t="s">
        <v>221</v>
      </c>
      <c r="F21" s="2" t="s">
        <v>222</v>
      </c>
      <c r="G21" s="2" t="s">
        <v>225</v>
      </c>
      <c r="H21" s="5">
        <v>8</v>
      </c>
      <c r="I21" s="2" t="s">
        <v>58</v>
      </c>
      <c r="J21" s="2" t="s">
        <v>181</v>
      </c>
      <c r="K21" s="2" t="s">
        <v>180</v>
      </c>
      <c r="L21" s="2" t="s">
        <v>424</v>
      </c>
    </row>
    <row r="22" spans="1:12" ht="99" customHeight="1">
      <c r="A22" s="2">
        <v>21</v>
      </c>
      <c r="B22" s="2" t="s">
        <v>429</v>
      </c>
      <c r="C22" s="2" t="s">
        <v>226</v>
      </c>
      <c r="D22" s="2" t="s">
        <v>227</v>
      </c>
      <c r="E22" s="2" t="s">
        <v>228</v>
      </c>
      <c r="F22" s="2" t="s">
        <v>229</v>
      </c>
      <c r="G22" s="2" t="s">
        <v>232</v>
      </c>
      <c r="H22" s="5">
        <v>8</v>
      </c>
      <c r="I22" s="2" t="s">
        <v>58</v>
      </c>
      <c r="J22" s="2" t="s">
        <v>199</v>
      </c>
      <c r="K22" s="2" t="s">
        <v>198</v>
      </c>
      <c r="L22" s="2" t="s">
        <v>424</v>
      </c>
    </row>
    <row r="23" spans="1:12" ht="93.75" customHeight="1">
      <c r="A23" s="2">
        <v>22</v>
      </c>
      <c r="B23" s="2" t="s">
        <v>425</v>
      </c>
      <c r="C23" s="2" t="s">
        <v>234</v>
      </c>
      <c r="D23" s="2" t="s">
        <v>235</v>
      </c>
      <c r="E23" s="2" t="s">
        <v>236</v>
      </c>
      <c r="F23" s="2" t="s">
        <v>237</v>
      </c>
      <c r="G23" s="2" t="s">
        <v>240</v>
      </c>
      <c r="H23" s="5">
        <v>18</v>
      </c>
      <c r="I23" s="2" t="s">
        <v>58</v>
      </c>
      <c r="J23" s="2" t="s">
        <v>242</v>
      </c>
      <c r="K23" s="2" t="s">
        <v>241</v>
      </c>
      <c r="L23" s="2" t="s">
        <v>424</v>
      </c>
    </row>
    <row r="24" spans="1:12" ht="96.75" customHeight="1">
      <c r="A24" s="2">
        <v>23</v>
      </c>
      <c r="B24" s="2" t="s">
        <v>432</v>
      </c>
      <c r="C24" s="2" t="s">
        <v>244</v>
      </c>
      <c r="D24" s="2" t="s">
        <v>245</v>
      </c>
      <c r="E24" s="2" t="s">
        <v>246</v>
      </c>
      <c r="F24" s="2" t="s">
        <v>247</v>
      </c>
      <c r="G24" s="2" t="s">
        <v>250</v>
      </c>
      <c r="H24" s="5">
        <v>8</v>
      </c>
      <c r="I24" s="2" t="s">
        <v>58</v>
      </c>
      <c r="J24" s="2" t="s">
        <v>252</v>
      </c>
      <c r="K24" s="2" t="s">
        <v>251</v>
      </c>
      <c r="L24" s="2" t="s">
        <v>424</v>
      </c>
    </row>
    <row r="25" spans="1:12" ht="78.75" customHeight="1">
      <c r="A25" s="2">
        <v>24</v>
      </c>
      <c r="B25" s="2" t="s">
        <v>432</v>
      </c>
      <c r="C25" s="2" t="s">
        <v>254</v>
      </c>
      <c r="D25" s="2" t="s">
        <v>255</v>
      </c>
      <c r="E25" s="2" t="s">
        <v>256</v>
      </c>
      <c r="F25" s="2" t="s">
        <v>257</v>
      </c>
      <c r="G25" s="2" t="s">
        <v>260</v>
      </c>
      <c r="H25" s="5">
        <v>8</v>
      </c>
      <c r="I25" s="2" t="s">
        <v>58</v>
      </c>
      <c r="J25" s="2" t="s">
        <v>262</v>
      </c>
      <c r="K25" s="2" t="s">
        <v>261</v>
      </c>
      <c r="L25" s="2" t="s">
        <v>424</v>
      </c>
    </row>
    <row r="26" spans="1:12" ht="95.25" customHeight="1">
      <c r="A26" s="2">
        <v>25</v>
      </c>
      <c r="B26" s="2" t="s">
        <v>431</v>
      </c>
      <c r="C26" s="2" t="s">
        <v>264</v>
      </c>
      <c r="D26" s="2" t="s">
        <v>265</v>
      </c>
      <c r="E26" s="2" t="s">
        <v>266</v>
      </c>
      <c r="F26" s="2" t="s">
        <v>267</v>
      </c>
      <c r="G26" s="2" t="s">
        <v>270</v>
      </c>
      <c r="H26" s="5">
        <v>8</v>
      </c>
      <c r="I26" s="2" t="s">
        <v>58</v>
      </c>
      <c r="J26" s="2" t="s">
        <v>271</v>
      </c>
      <c r="K26" s="2" t="s">
        <v>216</v>
      </c>
      <c r="L26" s="2" t="s">
        <v>424</v>
      </c>
    </row>
    <row r="27" spans="1:12" ht="92.25" customHeight="1">
      <c r="A27" s="2">
        <v>26</v>
      </c>
      <c r="B27" s="2" t="s">
        <v>430</v>
      </c>
      <c r="C27" s="2" t="s">
        <v>273</v>
      </c>
      <c r="D27" s="2" t="s">
        <v>274</v>
      </c>
      <c r="E27" s="2" t="s">
        <v>275</v>
      </c>
      <c r="F27" s="2" t="s">
        <v>276</v>
      </c>
      <c r="G27" s="2" t="s">
        <v>279</v>
      </c>
      <c r="H27" s="5">
        <v>8</v>
      </c>
      <c r="I27" s="2" t="s">
        <v>58</v>
      </c>
      <c r="J27" s="2" t="s">
        <v>281</v>
      </c>
      <c r="K27" s="2" t="s">
        <v>280</v>
      </c>
      <c r="L27" s="2" t="s">
        <v>424</v>
      </c>
    </row>
  </sheetData>
  <conditionalFormatting sqref="I2:I27">
    <cfRule type="containsText" dxfId="1" priority="1" operator="containsText" text="Alta/Esencial"/>
  </conditionalFormatting>
  <conditionalFormatting sqref="L2:L27">
    <cfRule type="containsText" dxfId="0" priority="3" operator="containsText" text="Pendient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148D7-C478-44A3-8167-AA58792BDD21}">
  <dimension ref="A1:I56"/>
  <sheetViews>
    <sheetView tabSelected="1" workbookViewId="0">
      <selection activeCell="A22" sqref="A22:E26"/>
    </sheetView>
  </sheetViews>
  <sheetFormatPr baseColWidth="10" defaultRowHeight="14.25"/>
  <cols>
    <col min="4" max="4" width="103.75" bestFit="1" customWidth="1"/>
    <col min="5" max="5" width="105.75" bestFit="1" customWidth="1"/>
    <col min="6" max="7" width="33" bestFit="1" customWidth="1"/>
    <col min="8" max="8" width="6.125" bestFit="1" customWidth="1"/>
    <col min="9" max="9" width="9" bestFit="1" customWidth="1"/>
  </cols>
  <sheetData>
    <row r="1" spans="1:9" ht="15">
      <c r="A1" s="6" t="s">
        <v>433</v>
      </c>
      <c r="B1" s="6" t="s">
        <v>434</v>
      </c>
      <c r="C1" s="6" t="s">
        <v>435</v>
      </c>
      <c r="D1" s="6" t="s">
        <v>436</v>
      </c>
      <c r="E1" s="6" t="s">
        <v>437</v>
      </c>
      <c r="F1" s="6" t="s">
        <v>438</v>
      </c>
      <c r="G1" s="6" t="s">
        <v>439</v>
      </c>
      <c r="H1" s="6" t="s">
        <v>440</v>
      </c>
      <c r="I1" s="6" t="s">
        <v>47</v>
      </c>
    </row>
    <row r="2" spans="1:9">
      <c r="A2">
        <v>1</v>
      </c>
      <c r="B2">
        <v>1</v>
      </c>
      <c r="C2">
        <v>1</v>
      </c>
      <c r="D2" t="s">
        <v>441</v>
      </c>
      <c r="E2" t="s">
        <v>442</v>
      </c>
      <c r="F2" t="s">
        <v>398</v>
      </c>
      <c r="G2" t="s">
        <v>443</v>
      </c>
      <c r="H2">
        <v>6</v>
      </c>
      <c r="I2" t="s">
        <v>332</v>
      </c>
    </row>
    <row r="3" spans="1:9">
      <c r="A3">
        <v>1</v>
      </c>
      <c r="B3">
        <v>1</v>
      </c>
      <c r="C3">
        <v>2</v>
      </c>
      <c r="D3" t="s">
        <v>444</v>
      </c>
      <c r="E3" t="s">
        <v>445</v>
      </c>
      <c r="F3" t="s">
        <v>327</v>
      </c>
      <c r="G3" t="s">
        <v>443</v>
      </c>
      <c r="H3">
        <v>6</v>
      </c>
      <c r="I3" t="s">
        <v>332</v>
      </c>
    </row>
    <row r="4" spans="1:9">
      <c r="A4">
        <v>1</v>
      </c>
      <c r="B4">
        <v>1</v>
      </c>
      <c r="C4">
        <v>3</v>
      </c>
      <c r="D4" t="s">
        <v>446</v>
      </c>
      <c r="E4" t="s">
        <v>447</v>
      </c>
      <c r="F4" t="s">
        <v>51</v>
      </c>
      <c r="G4" t="s">
        <v>443</v>
      </c>
      <c r="H4">
        <v>6</v>
      </c>
      <c r="I4" t="s">
        <v>332</v>
      </c>
    </row>
    <row r="5" spans="1:9">
      <c r="A5">
        <v>1</v>
      </c>
      <c r="B5">
        <v>1</v>
      </c>
      <c r="C5">
        <v>4</v>
      </c>
      <c r="D5" t="s">
        <v>448</v>
      </c>
      <c r="E5" t="s">
        <v>449</v>
      </c>
      <c r="F5" t="s">
        <v>342</v>
      </c>
      <c r="G5" t="s">
        <v>443</v>
      </c>
      <c r="H5">
        <v>6</v>
      </c>
      <c r="I5" t="s">
        <v>332</v>
      </c>
    </row>
    <row r="6" spans="1:9">
      <c r="A6">
        <v>1</v>
      </c>
      <c r="B6">
        <v>1</v>
      </c>
      <c r="C6">
        <v>5</v>
      </c>
      <c r="D6" t="s">
        <v>450</v>
      </c>
      <c r="E6" t="s">
        <v>451</v>
      </c>
      <c r="F6" t="s">
        <v>333</v>
      </c>
      <c r="G6" t="s">
        <v>443</v>
      </c>
      <c r="H6">
        <v>6</v>
      </c>
      <c r="I6" t="s">
        <v>332</v>
      </c>
    </row>
    <row r="7" spans="1:9">
      <c r="A7">
        <v>2</v>
      </c>
      <c r="B7">
        <v>2</v>
      </c>
      <c r="C7">
        <v>1</v>
      </c>
      <c r="D7" t="s">
        <v>452</v>
      </c>
      <c r="E7" t="s">
        <v>453</v>
      </c>
      <c r="F7" t="s">
        <v>333</v>
      </c>
      <c r="G7" t="s">
        <v>454</v>
      </c>
      <c r="H7">
        <v>6</v>
      </c>
      <c r="I7" t="s">
        <v>332</v>
      </c>
    </row>
    <row r="8" spans="1:9">
      <c r="A8">
        <v>2</v>
      </c>
      <c r="B8">
        <v>2</v>
      </c>
      <c r="C8">
        <v>2</v>
      </c>
      <c r="D8" t="s">
        <v>455</v>
      </c>
      <c r="E8" t="s">
        <v>456</v>
      </c>
      <c r="F8" t="s">
        <v>457</v>
      </c>
      <c r="G8" t="s">
        <v>454</v>
      </c>
      <c r="H8">
        <v>6</v>
      </c>
      <c r="I8" t="s">
        <v>332</v>
      </c>
    </row>
    <row r="9" spans="1:9">
      <c r="A9">
        <v>2</v>
      </c>
      <c r="B9">
        <v>2</v>
      </c>
      <c r="C9">
        <v>3</v>
      </c>
      <c r="D9" t="s">
        <v>458</v>
      </c>
      <c r="E9" t="s">
        <v>459</v>
      </c>
      <c r="F9" t="s">
        <v>62</v>
      </c>
      <c r="G9" t="s">
        <v>454</v>
      </c>
      <c r="H9">
        <v>6</v>
      </c>
      <c r="I9" t="s">
        <v>332</v>
      </c>
    </row>
    <row r="10" spans="1:9">
      <c r="A10">
        <v>2</v>
      </c>
      <c r="B10">
        <v>2</v>
      </c>
      <c r="C10">
        <v>4</v>
      </c>
      <c r="D10" t="s">
        <v>460</v>
      </c>
      <c r="E10" t="s">
        <v>461</v>
      </c>
      <c r="F10" t="s">
        <v>337</v>
      </c>
      <c r="G10" t="s">
        <v>454</v>
      </c>
      <c r="H10">
        <v>6</v>
      </c>
      <c r="I10" t="s">
        <v>332</v>
      </c>
    </row>
    <row r="11" spans="1:9">
      <c r="A11">
        <v>2</v>
      </c>
      <c r="B11">
        <v>2</v>
      </c>
      <c r="C11">
        <v>5</v>
      </c>
      <c r="D11" t="s">
        <v>462</v>
      </c>
      <c r="E11" t="s">
        <v>463</v>
      </c>
      <c r="F11" t="s">
        <v>464</v>
      </c>
      <c r="G11" t="s">
        <v>454</v>
      </c>
      <c r="H11">
        <v>6</v>
      </c>
      <c r="I11" t="s">
        <v>332</v>
      </c>
    </row>
    <row r="12" spans="1:9">
      <c r="A12">
        <v>3</v>
      </c>
      <c r="B12">
        <v>3</v>
      </c>
      <c r="C12">
        <v>1</v>
      </c>
      <c r="D12" t="s">
        <v>465</v>
      </c>
      <c r="E12" t="s">
        <v>466</v>
      </c>
      <c r="F12" t="s">
        <v>69</v>
      </c>
      <c r="G12" t="s">
        <v>467</v>
      </c>
      <c r="H12">
        <v>6</v>
      </c>
      <c r="I12" t="s">
        <v>332</v>
      </c>
    </row>
    <row r="13" spans="1:9">
      <c r="A13">
        <v>3</v>
      </c>
      <c r="B13">
        <v>3</v>
      </c>
      <c r="C13">
        <v>2</v>
      </c>
      <c r="D13" t="s">
        <v>468</v>
      </c>
      <c r="E13" t="s">
        <v>469</v>
      </c>
      <c r="F13" t="s">
        <v>394</v>
      </c>
      <c r="G13" t="s">
        <v>467</v>
      </c>
      <c r="H13">
        <v>6</v>
      </c>
      <c r="I13" t="s">
        <v>332</v>
      </c>
    </row>
    <row r="14" spans="1:9">
      <c r="A14">
        <v>3</v>
      </c>
      <c r="B14">
        <v>3</v>
      </c>
      <c r="C14">
        <v>3</v>
      </c>
      <c r="D14" t="s">
        <v>470</v>
      </c>
      <c r="E14" t="s">
        <v>471</v>
      </c>
      <c r="F14" t="s">
        <v>472</v>
      </c>
      <c r="G14" t="s">
        <v>467</v>
      </c>
      <c r="H14">
        <v>6</v>
      </c>
      <c r="I14" t="s">
        <v>332</v>
      </c>
    </row>
    <row r="15" spans="1:9">
      <c r="A15">
        <v>3</v>
      </c>
      <c r="B15">
        <v>3</v>
      </c>
      <c r="C15">
        <v>4</v>
      </c>
      <c r="D15" t="s">
        <v>473</v>
      </c>
      <c r="E15" t="s">
        <v>474</v>
      </c>
      <c r="F15" t="s">
        <v>69</v>
      </c>
      <c r="G15" t="s">
        <v>467</v>
      </c>
      <c r="H15">
        <v>6</v>
      </c>
      <c r="I15" t="s">
        <v>332</v>
      </c>
    </row>
    <row r="16" spans="1:9">
      <c r="A16">
        <v>3</v>
      </c>
      <c r="B16">
        <v>3</v>
      </c>
      <c r="C16">
        <v>5</v>
      </c>
      <c r="D16" t="s">
        <v>475</v>
      </c>
      <c r="E16" t="s">
        <v>476</v>
      </c>
      <c r="F16" t="s">
        <v>394</v>
      </c>
      <c r="G16" t="s">
        <v>467</v>
      </c>
      <c r="H16">
        <v>6</v>
      </c>
      <c r="I16" t="s">
        <v>332</v>
      </c>
    </row>
    <row r="17" spans="1:9">
      <c r="A17">
        <v>4</v>
      </c>
      <c r="B17">
        <v>4</v>
      </c>
      <c r="C17">
        <v>1</v>
      </c>
      <c r="D17" t="s">
        <v>477</v>
      </c>
      <c r="E17" t="s">
        <v>478</v>
      </c>
      <c r="F17" t="s">
        <v>346</v>
      </c>
      <c r="G17" t="s">
        <v>479</v>
      </c>
      <c r="H17">
        <v>6</v>
      </c>
      <c r="I17" t="s">
        <v>332</v>
      </c>
    </row>
    <row r="18" spans="1:9">
      <c r="A18">
        <v>4</v>
      </c>
      <c r="B18">
        <v>4</v>
      </c>
      <c r="C18">
        <v>2</v>
      </c>
      <c r="D18" t="s">
        <v>480</v>
      </c>
      <c r="E18" t="s">
        <v>481</v>
      </c>
      <c r="F18" t="s">
        <v>482</v>
      </c>
      <c r="G18" t="s">
        <v>479</v>
      </c>
      <c r="H18">
        <v>6</v>
      </c>
      <c r="I18" t="s">
        <v>332</v>
      </c>
    </row>
    <row r="19" spans="1:9">
      <c r="A19">
        <v>4</v>
      </c>
      <c r="B19">
        <v>4</v>
      </c>
      <c r="C19">
        <v>3</v>
      </c>
      <c r="D19" t="s">
        <v>483</v>
      </c>
      <c r="E19" t="s">
        <v>484</v>
      </c>
      <c r="F19" t="s">
        <v>346</v>
      </c>
      <c r="G19" t="s">
        <v>479</v>
      </c>
      <c r="H19">
        <v>6</v>
      </c>
      <c r="I19" t="s">
        <v>332</v>
      </c>
    </row>
    <row r="20" spans="1:9">
      <c r="A20">
        <v>4</v>
      </c>
      <c r="B20">
        <v>4</v>
      </c>
      <c r="C20">
        <v>4</v>
      </c>
      <c r="D20" t="s">
        <v>485</v>
      </c>
      <c r="E20" t="s">
        <v>486</v>
      </c>
      <c r="F20" t="s">
        <v>487</v>
      </c>
      <c r="G20" t="s">
        <v>479</v>
      </c>
      <c r="H20">
        <v>6</v>
      </c>
      <c r="I20" t="s">
        <v>332</v>
      </c>
    </row>
    <row r="21" spans="1:9">
      <c r="A21">
        <v>4</v>
      </c>
      <c r="B21">
        <v>4</v>
      </c>
      <c r="C21">
        <v>5</v>
      </c>
      <c r="D21" t="s">
        <v>488</v>
      </c>
      <c r="E21" t="s">
        <v>489</v>
      </c>
      <c r="F21" t="s">
        <v>487</v>
      </c>
      <c r="G21" t="s">
        <v>479</v>
      </c>
      <c r="H21">
        <v>6</v>
      </c>
      <c r="I21" t="s">
        <v>332</v>
      </c>
    </row>
    <row r="22" spans="1:9">
      <c r="A22">
        <v>5</v>
      </c>
      <c r="B22">
        <v>5</v>
      </c>
      <c r="C22">
        <v>1</v>
      </c>
      <c r="D22" t="s">
        <v>490</v>
      </c>
      <c r="E22" t="s">
        <v>491</v>
      </c>
      <c r="F22" t="s">
        <v>492</v>
      </c>
      <c r="G22" t="s">
        <v>493</v>
      </c>
      <c r="H22">
        <v>6</v>
      </c>
      <c r="I22" t="s">
        <v>332</v>
      </c>
    </row>
    <row r="23" spans="1:9">
      <c r="A23">
        <v>5</v>
      </c>
      <c r="B23">
        <v>5</v>
      </c>
      <c r="C23">
        <v>2</v>
      </c>
      <c r="D23" t="s">
        <v>494</v>
      </c>
      <c r="E23" t="s">
        <v>495</v>
      </c>
      <c r="F23" t="s">
        <v>496</v>
      </c>
      <c r="G23" t="s">
        <v>497</v>
      </c>
      <c r="H23">
        <v>6</v>
      </c>
      <c r="I23" t="s">
        <v>332</v>
      </c>
    </row>
    <row r="24" spans="1:9">
      <c r="A24">
        <v>5</v>
      </c>
      <c r="B24">
        <v>5</v>
      </c>
      <c r="C24">
        <v>3</v>
      </c>
      <c r="D24" t="s">
        <v>498</v>
      </c>
      <c r="E24" t="s">
        <v>499</v>
      </c>
      <c r="F24" t="s">
        <v>500</v>
      </c>
      <c r="G24" t="s">
        <v>501</v>
      </c>
      <c r="H24">
        <v>6</v>
      </c>
      <c r="I24" t="s">
        <v>332</v>
      </c>
    </row>
    <row r="25" spans="1:9">
      <c r="A25">
        <v>5</v>
      </c>
      <c r="B25">
        <v>5</v>
      </c>
      <c r="C25">
        <v>4</v>
      </c>
      <c r="D25" t="s">
        <v>502</v>
      </c>
      <c r="E25" t="s">
        <v>503</v>
      </c>
      <c r="F25" t="s">
        <v>504</v>
      </c>
      <c r="G25" t="s">
        <v>505</v>
      </c>
      <c r="H25">
        <v>6</v>
      </c>
      <c r="I25" t="s">
        <v>332</v>
      </c>
    </row>
    <row r="26" spans="1:9">
      <c r="A26">
        <v>5</v>
      </c>
      <c r="B26">
        <v>5</v>
      </c>
      <c r="C26">
        <v>5</v>
      </c>
      <c r="D26" t="s">
        <v>506</v>
      </c>
      <c r="E26" t="s">
        <v>507</v>
      </c>
      <c r="F26" t="s">
        <v>508</v>
      </c>
      <c r="G26" t="s">
        <v>509</v>
      </c>
      <c r="H26">
        <v>6</v>
      </c>
      <c r="I26" t="s">
        <v>332</v>
      </c>
    </row>
    <row r="27" spans="1:9">
      <c r="A27">
        <v>6</v>
      </c>
      <c r="B27">
        <v>6</v>
      </c>
      <c r="C27">
        <v>1</v>
      </c>
      <c r="D27" t="s">
        <v>510</v>
      </c>
      <c r="E27" t="s">
        <v>511</v>
      </c>
      <c r="F27" t="s">
        <v>273</v>
      </c>
      <c r="G27" t="s">
        <v>512</v>
      </c>
      <c r="H27">
        <v>6</v>
      </c>
      <c r="I27" t="s">
        <v>332</v>
      </c>
    </row>
    <row r="28" spans="1:9">
      <c r="A28">
        <v>6</v>
      </c>
      <c r="B28">
        <v>6</v>
      </c>
      <c r="C28">
        <v>2</v>
      </c>
      <c r="D28" t="s">
        <v>513</v>
      </c>
      <c r="E28" t="s">
        <v>514</v>
      </c>
      <c r="F28" t="s">
        <v>515</v>
      </c>
      <c r="G28" t="s">
        <v>516</v>
      </c>
      <c r="H28">
        <v>6</v>
      </c>
      <c r="I28" t="s">
        <v>332</v>
      </c>
    </row>
    <row r="29" spans="1:9">
      <c r="A29">
        <v>6</v>
      </c>
      <c r="B29">
        <v>6</v>
      </c>
      <c r="C29">
        <v>3</v>
      </c>
      <c r="D29" t="s">
        <v>517</v>
      </c>
      <c r="E29" t="s">
        <v>518</v>
      </c>
      <c r="F29" t="s">
        <v>519</v>
      </c>
      <c r="G29" t="s">
        <v>520</v>
      </c>
      <c r="H29">
        <v>6</v>
      </c>
      <c r="I29" t="s">
        <v>332</v>
      </c>
    </row>
    <row r="30" spans="1:9">
      <c r="A30">
        <v>6</v>
      </c>
      <c r="B30">
        <v>6</v>
      </c>
      <c r="C30">
        <v>4</v>
      </c>
      <c r="D30" t="s">
        <v>521</v>
      </c>
      <c r="E30" t="s">
        <v>522</v>
      </c>
      <c r="F30" t="s">
        <v>523</v>
      </c>
      <c r="G30" t="s">
        <v>524</v>
      </c>
      <c r="H30">
        <v>6</v>
      </c>
      <c r="I30" t="s">
        <v>332</v>
      </c>
    </row>
    <row r="31" spans="1:9">
      <c r="A31">
        <v>6</v>
      </c>
      <c r="B31">
        <v>6</v>
      </c>
      <c r="C31">
        <v>5</v>
      </c>
      <c r="D31" t="s">
        <v>525</v>
      </c>
      <c r="E31" t="s">
        <v>526</v>
      </c>
      <c r="F31" t="s">
        <v>527</v>
      </c>
      <c r="G31" t="s">
        <v>528</v>
      </c>
      <c r="H31">
        <v>6</v>
      </c>
      <c r="I31" t="s">
        <v>332</v>
      </c>
    </row>
    <row r="32" spans="1:9">
      <c r="A32">
        <v>7</v>
      </c>
      <c r="B32">
        <v>7</v>
      </c>
      <c r="C32">
        <v>1</v>
      </c>
      <c r="D32" t="s">
        <v>529</v>
      </c>
      <c r="E32" t="s">
        <v>530</v>
      </c>
      <c r="F32" t="s">
        <v>531</v>
      </c>
      <c r="G32" t="s">
        <v>532</v>
      </c>
      <c r="H32">
        <v>6</v>
      </c>
      <c r="I32" t="s">
        <v>332</v>
      </c>
    </row>
    <row r="33" spans="1:9">
      <c r="A33">
        <v>7</v>
      </c>
      <c r="B33">
        <v>7</v>
      </c>
      <c r="C33">
        <v>2</v>
      </c>
      <c r="D33" t="s">
        <v>533</v>
      </c>
      <c r="E33" t="s">
        <v>534</v>
      </c>
      <c r="F33" t="s">
        <v>535</v>
      </c>
      <c r="G33" t="s">
        <v>536</v>
      </c>
      <c r="H33">
        <v>6</v>
      </c>
      <c r="I33" t="s">
        <v>332</v>
      </c>
    </row>
    <row r="34" spans="1:9">
      <c r="A34">
        <v>7</v>
      </c>
      <c r="B34">
        <v>7</v>
      </c>
      <c r="C34">
        <v>3</v>
      </c>
      <c r="D34" t="s">
        <v>537</v>
      </c>
      <c r="E34" t="s">
        <v>538</v>
      </c>
      <c r="F34" t="s">
        <v>539</v>
      </c>
      <c r="G34" t="s">
        <v>540</v>
      </c>
      <c r="H34">
        <v>6</v>
      </c>
      <c r="I34" t="s">
        <v>332</v>
      </c>
    </row>
    <row r="35" spans="1:9">
      <c r="A35">
        <v>7</v>
      </c>
      <c r="B35">
        <v>7</v>
      </c>
      <c r="C35">
        <v>4</v>
      </c>
      <c r="D35" t="s">
        <v>541</v>
      </c>
      <c r="E35" t="s">
        <v>542</v>
      </c>
      <c r="F35" t="s">
        <v>543</v>
      </c>
      <c r="G35" t="s">
        <v>544</v>
      </c>
      <c r="H35">
        <v>6</v>
      </c>
      <c r="I35" t="s">
        <v>332</v>
      </c>
    </row>
    <row r="36" spans="1:9">
      <c r="A36">
        <v>7</v>
      </c>
      <c r="B36">
        <v>7</v>
      </c>
      <c r="C36">
        <v>5</v>
      </c>
      <c r="D36" t="s">
        <v>545</v>
      </c>
      <c r="E36" t="s">
        <v>546</v>
      </c>
      <c r="F36" t="s">
        <v>547</v>
      </c>
      <c r="G36" t="s">
        <v>548</v>
      </c>
      <c r="H36">
        <v>6</v>
      </c>
      <c r="I36" t="s">
        <v>332</v>
      </c>
    </row>
    <row r="37" spans="1:9">
      <c r="A37">
        <v>8</v>
      </c>
      <c r="B37">
        <v>8</v>
      </c>
      <c r="C37">
        <v>1</v>
      </c>
      <c r="D37" t="s">
        <v>549</v>
      </c>
      <c r="E37" t="s">
        <v>550</v>
      </c>
      <c r="F37" t="s">
        <v>551</v>
      </c>
      <c r="G37" t="s">
        <v>552</v>
      </c>
      <c r="H37">
        <v>6</v>
      </c>
      <c r="I37" t="s">
        <v>332</v>
      </c>
    </row>
    <row r="38" spans="1:9">
      <c r="A38">
        <v>8</v>
      </c>
      <c r="B38">
        <v>8</v>
      </c>
      <c r="C38">
        <v>2</v>
      </c>
      <c r="D38" t="s">
        <v>553</v>
      </c>
      <c r="E38" t="s">
        <v>554</v>
      </c>
      <c r="F38" t="s">
        <v>555</v>
      </c>
      <c r="G38" t="s">
        <v>556</v>
      </c>
      <c r="H38">
        <v>6</v>
      </c>
      <c r="I38" t="s">
        <v>332</v>
      </c>
    </row>
    <row r="39" spans="1:9">
      <c r="A39">
        <v>8</v>
      </c>
      <c r="B39">
        <v>8</v>
      </c>
      <c r="C39">
        <v>3</v>
      </c>
      <c r="D39" t="s">
        <v>557</v>
      </c>
      <c r="E39" t="s">
        <v>558</v>
      </c>
      <c r="F39" t="s">
        <v>111</v>
      </c>
      <c r="G39" t="s">
        <v>559</v>
      </c>
      <c r="H39">
        <v>6</v>
      </c>
      <c r="I39" t="s">
        <v>332</v>
      </c>
    </row>
    <row r="40" spans="1:9">
      <c r="A40">
        <v>8</v>
      </c>
      <c r="B40">
        <v>8</v>
      </c>
      <c r="C40">
        <v>4</v>
      </c>
      <c r="D40" t="s">
        <v>560</v>
      </c>
      <c r="E40" t="s">
        <v>561</v>
      </c>
      <c r="F40" t="s">
        <v>562</v>
      </c>
      <c r="G40" t="s">
        <v>563</v>
      </c>
      <c r="H40">
        <v>6</v>
      </c>
      <c r="I40" t="s">
        <v>332</v>
      </c>
    </row>
    <row r="41" spans="1:9">
      <c r="A41">
        <v>8</v>
      </c>
      <c r="B41">
        <v>8</v>
      </c>
      <c r="C41">
        <v>5</v>
      </c>
      <c r="D41" t="s">
        <v>564</v>
      </c>
      <c r="E41" t="s">
        <v>565</v>
      </c>
      <c r="F41" t="s">
        <v>566</v>
      </c>
      <c r="G41" t="s">
        <v>567</v>
      </c>
      <c r="H41">
        <v>6</v>
      </c>
      <c r="I41" t="s">
        <v>332</v>
      </c>
    </row>
    <row r="42" spans="1:9">
      <c r="A42">
        <v>9</v>
      </c>
      <c r="B42">
        <v>9</v>
      </c>
      <c r="C42">
        <v>1</v>
      </c>
      <c r="D42" t="s">
        <v>568</v>
      </c>
      <c r="E42" t="s">
        <v>569</v>
      </c>
      <c r="F42" t="s">
        <v>570</v>
      </c>
      <c r="G42" t="s">
        <v>571</v>
      </c>
      <c r="H42">
        <v>6</v>
      </c>
      <c r="I42" t="s">
        <v>332</v>
      </c>
    </row>
    <row r="43" spans="1:9">
      <c r="A43">
        <v>9</v>
      </c>
      <c r="B43">
        <v>9</v>
      </c>
      <c r="C43">
        <v>2</v>
      </c>
      <c r="D43" t="s">
        <v>572</v>
      </c>
      <c r="E43" t="s">
        <v>573</v>
      </c>
      <c r="F43" t="s">
        <v>574</v>
      </c>
      <c r="G43" t="s">
        <v>575</v>
      </c>
      <c r="H43">
        <v>6</v>
      </c>
      <c r="I43" t="s">
        <v>332</v>
      </c>
    </row>
    <row r="44" spans="1:9">
      <c r="A44">
        <v>9</v>
      </c>
      <c r="B44">
        <v>9</v>
      </c>
      <c r="C44">
        <v>3</v>
      </c>
      <c r="D44" t="s">
        <v>576</v>
      </c>
      <c r="E44" t="s">
        <v>577</v>
      </c>
      <c r="F44" t="s">
        <v>121</v>
      </c>
      <c r="G44" t="s">
        <v>578</v>
      </c>
      <c r="H44">
        <v>6</v>
      </c>
      <c r="I44" t="s">
        <v>332</v>
      </c>
    </row>
    <row r="45" spans="1:9">
      <c r="A45">
        <v>9</v>
      </c>
      <c r="B45">
        <v>9</v>
      </c>
      <c r="C45">
        <v>4</v>
      </c>
      <c r="D45" t="s">
        <v>579</v>
      </c>
      <c r="E45" t="s">
        <v>580</v>
      </c>
      <c r="F45" t="s">
        <v>581</v>
      </c>
      <c r="G45" t="s">
        <v>582</v>
      </c>
      <c r="H45">
        <v>6</v>
      </c>
      <c r="I45" t="s">
        <v>332</v>
      </c>
    </row>
    <row r="46" spans="1:9">
      <c r="A46">
        <v>9</v>
      </c>
      <c r="B46">
        <v>9</v>
      </c>
      <c r="C46">
        <v>5</v>
      </c>
      <c r="D46" t="s">
        <v>583</v>
      </c>
      <c r="E46" t="s">
        <v>584</v>
      </c>
      <c r="F46" t="s">
        <v>585</v>
      </c>
      <c r="G46" t="s">
        <v>586</v>
      </c>
      <c r="H46">
        <v>6</v>
      </c>
      <c r="I46" t="s">
        <v>332</v>
      </c>
    </row>
    <row r="47" spans="1:9">
      <c r="A47">
        <v>10</v>
      </c>
      <c r="B47">
        <v>10</v>
      </c>
      <c r="C47">
        <v>1</v>
      </c>
      <c r="D47" t="s">
        <v>587</v>
      </c>
      <c r="E47" t="s">
        <v>588</v>
      </c>
      <c r="F47" t="s">
        <v>137</v>
      </c>
      <c r="G47" t="s">
        <v>589</v>
      </c>
      <c r="H47">
        <v>6</v>
      </c>
      <c r="I47" t="s">
        <v>332</v>
      </c>
    </row>
    <row r="48" spans="1:9">
      <c r="A48">
        <v>10</v>
      </c>
      <c r="B48">
        <v>10</v>
      </c>
      <c r="C48">
        <v>2</v>
      </c>
      <c r="D48" t="s">
        <v>590</v>
      </c>
      <c r="E48" t="s">
        <v>591</v>
      </c>
      <c r="F48" t="s">
        <v>592</v>
      </c>
      <c r="G48" t="s">
        <v>593</v>
      </c>
      <c r="H48">
        <v>6</v>
      </c>
      <c r="I48" t="s">
        <v>332</v>
      </c>
    </row>
    <row r="49" spans="1:9">
      <c r="A49">
        <v>10</v>
      </c>
      <c r="B49">
        <v>10</v>
      </c>
      <c r="C49">
        <v>3</v>
      </c>
      <c r="D49" t="s">
        <v>594</v>
      </c>
      <c r="E49" t="s">
        <v>595</v>
      </c>
      <c r="F49" t="s">
        <v>596</v>
      </c>
      <c r="G49" t="s">
        <v>597</v>
      </c>
      <c r="H49">
        <v>6</v>
      </c>
      <c r="I49" t="s">
        <v>332</v>
      </c>
    </row>
    <row r="50" spans="1:9">
      <c r="A50">
        <v>10</v>
      </c>
      <c r="B50">
        <v>10</v>
      </c>
      <c r="C50">
        <v>4</v>
      </c>
      <c r="D50" t="s">
        <v>598</v>
      </c>
      <c r="E50" t="s">
        <v>599</v>
      </c>
      <c r="F50" t="s">
        <v>600</v>
      </c>
      <c r="G50" t="s">
        <v>601</v>
      </c>
      <c r="H50">
        <v>6</v>
      </c>
      <c r="I50" t="s">
        <v>332</v>
      </c>
    </row>
    <row r="51" spans="1:9">
      <c r="A51">
        <v>10</v>
      </c>
      <c r="B51">
        <v>10</v>
      </c>
      <c r="C51">
        <v>5</v>
      </c>
      <c r="D51" t="s">
        <v>602</v>
      </c>
      <c r="E51" t="s">
        <v>603</v>
      </c>
      <c r="F51" t="s">
        <v>604</v>
      </c>
      <c r="G51" t="s">
        <v>605</v>
      </c>
      <c r="H51">
        <v>6</v>
      </c>
      <c r="I51" t="s">
        <v>332</v>
      </c>
    </row>
    <row r="52" spans="1:9">
      <c r="A52">
        <v>11</v>
      </c>
      <c r="B52">
        <v>11</v>
      </c>
      <c r="C52">
        <v>1</v>
      </c>
      <c r="D52" t="s">
        <v>606</v>
      </c>
      <c r="E52" t="s">
        <v>607</v>
      </c>
      <c r="F52" t="s">
        <v>608</v>
      </c>
      <c r="G52" t="s">
        <v>428</v>
      </c>
      <c r="H52">
        <v>6</v>
      </c>
      <c r="I52" t="s">
        <v>332</v>
      </c>
    </row>
    <row r="53" spans="1:9">
      <c r="A53">
        <v>11</v>
      </c>
      <c r="B53">
        <v>11</v>
      </c>
      <c r="C53">
        <v>2</v>
      </c>
      <c r="D53" t="s">
        <v>609</v>
      </c>
      <c r="E53" t="s">
        <v>610</v>
      </c>
      <c r="F53" t="s">
        <v>611</v>
      </c>
      <c r="G53" t="s">
        <v>612</v>
      </c>
      <c r="H53">
        <v>6</v>
      </c>
      <c r="I53" t="s">
        <v>332</v>
      </c>
    </row>
    <row r="54" spans="1:9">
      <c r="A54">
        <v>11</v>
      </c>
      <c r="B54">
        <v>11</v>
      </c>
      <c r="C54">
        <v>3</v>
      </c>
      <c r="D54" t="s">
        <v>613</v>
      </c>
      <c r="E54" t="s">
        <v>614</v>
      </c>
      <c r="F54" t="s">
        <v>615</v>
      </c>
      <c r="G54" t="s">
        <v>616</v>
      </c>
      <c r="H54">
        <v>6</v>
      </c>
      <c r="I54" t="s">
        <v>332</v>
      </c>
    </row>
    <row r="55" spans="1:9">
      <c r="A55">
        <v>11</v>
      </c>
      <c r="B55">
        <v>11</v>
      </c>
      <c r="C55">
        <v>4</v>
      </c>
      <c r="D55" t="s">
        <v>617</v>
      </c>
      <c r="E55" t="s">
        <v>618</v>
      </c>
      <c r="F55" t="s">
        <v>619</v>
      </c>
      <c r="G55" t="s">
        <v>620</v>
      </c>
      <c r="H55">
        <v>6</v>
      </c>
      <c r="I55" t="s">
        <v>332</v>
      </c>
    </row>
    <row r="56" spans="1:9">
      <c r="A56">
        <v>11</v>
      </c>
      <c r="B56">
        <v>11</v>
      </c>
      <c r="C56">
        <v>5</v>
      </c>
      <c r="D56" t="s">
        <v>621</v>
      </c>
      <c r="E56" t="s">
        <v>622</v>
      </c>
      <c r="F56" t="s">
        <v>623</v>
      </c>
      <c r="G56" t="s">
        <v>624</v>
      </c>
      <c r="H56">
        <v>6</v>
      </c>
      <c r="I56" t="s">
        <v>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Resumen</vt:lpstr>
      <vt:lpstr>Historias de Usuario</vt:lpstr>
      <vt:lpstr>Matriz CU-HU</vt:lpstr>
      <vt:lpstr>Historias Técnicas</vt:lpstr>
      <vt:lpstr>Product Backlog</vt:lpstr>
      <vt:lpstr>Product Backlog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SANTIAGO PULGAR LEON</cp:lastModifiedBy>
  <dcterms:modified xsi:type="dcterms:W3CDTF">2026-05-12T14:40:03Z</dcterms:modified>
</cp:coreProperties>
</file>